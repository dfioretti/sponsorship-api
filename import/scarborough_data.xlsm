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png" ContentType="image/p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6606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/Users/david.fioretti/code/teneo-apps/sponsorship-api/import/"/>
    </mc:Choice>
  </mc:AlternateContent>
  <bookViews>
    <workbookView xWindow="0" yWindow="460" windowWidth="25600" windowHeight="15460" tabRatio="0" activeTab="3"/>
  </bookViews>
  <sheets>
    <sheet name="2013 State Report" sheetId="43" r:id="rId1"/>
    <sheet name="Control" sheetId="41" r:id="rId2"/>
    <sheet name="Display" sheetId="44" r:id="rId3"/>
    <sheet name="Data Tab" sheetId="42" r:id="rId4"/>
    <sheet name="Validation" sheetId="40" r:id="rId5"/>
    <sheet name="Full List" sheetId="1" r:id="rId6"/>
    <sheet name="AL" sheetId="2" r:id="rId7"/>
    <sheet name="AR" sheetId="4" r:id="rId8"/>
    <sheet name="AZ" sheetId="5" r:id="rId9"/>
    <sheet name="CA" sheetId="6" r:id="rId10"/>
    <sheet name="CO" sheetId="7" r:id="rId11"/>
    <sheet name="CT" sheetId="8" r:id="rId12"/>
    <sheet name="DC" sheetId="45" r:id="rId13"/>
    <sheet name="FL" sheetId="9" r:id="rId14"/>
    <sheet name="GA" sheetId="10" r:id="rId15"/>
    <sheet name="HI" sheetId="11" r:id="rId16"/>
    <sheet name="IA" sheetId="12" r:id="rId17"/>
    <sheet name="IL" sheetId="13" r:id="rId18"/>
    <sheet name="IN" sheetId="14" r:id="rId19"/>
    <sheet name="KS" sheetId="15" r:id="rId20"/>
    <sheet name="KY" sheetId="16" r:id="rId21"/>
    <sheet name="LA" sheetId="17" r:id="rId22"/>
    <sheet name="MA" sheetId="18" r:id="rId23"/>
    <sheet name="MD" sheetId="19" r:id="rId24"/>
    <sheet name="MI" sheetId="20" r:id="rId25"/>
    <sheet name="MN" sheetId="21" r:id="rId26"/>
    <sheet name="MO" sheetId="22" r:id="rId27"/>
    <sheet name="NC" sheetId="23" r:id="rId28"/>
    <sheet name="NJ" sheetId="24" r:id="rId29"/>
    <sheet name="NM" sheetId="25" r:id="rId30"/>
    <sheet name="NV" sheetId="26" r:id="rId31"/>
    <sheet name="NY" sheetId="27" r:id="rId32"/>
    <sheet name="OH" sheetId="28" r:id="rId33"/>
    <sheet name="OK" sheetId="29" r:id="rId34"/>
    <sheet name="OR" sheetId="30" r:id="rId35"/>
    <sheet name="PA" sheetId="31" r:id="rId36"/>
    <sheet name="RI" sheetId="32" r:id="rId37"/>
    <sheet name="SC" sheetId="33" r:id="rId38"/>
    <sheet name="TN" sheetId="34" r:id="rId39"/>
    <sheet name="TX" sheetId="35" r:id="rId40"/>
    <sheet name="UT" sheetId="36" r:id="rId41"/>
    <sheet name="VA" sheetId="37" r:id="rId42"/>
    <sheet name="WA" sheetId="38" r:id="rId43"/>
    <sheet name="WI" sheetId="39" r:id="rId44"/>
  </sheets>
  <calcPr calcId="15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E2" i="42" l="1"/>
  <c r="G2" i="42"/>
  <c r="G12" i="42"/>
  <c r="E84" i="37"/>
  <c r="E94" i="37"/>
  <c r="E93" i="37"/>
  <c r="E89" i="37"/>
  <c r="E86" i="37"/>
  <c r="E87" i="37"/>
  <c r="E85" i="37"/>
  <c r="E95" i="37"/>
  <c r="E96" i="37"/>
  <c r="E100" i="37"/>
  <c r="E98" i="37"/>
  <c r="E97" i="37"/>
  <c r="E99" i="37"/>
  <c r="E90" i="37"/>
  <c r="E91" i="37"/>
  <c r="E92" i="37"/>
  <c r="E88" i="37"/>
  <c r="B30" i="37"/>
  <c r="E95" i="45"/>
  <c r="E94" i="45"/>
  <c r="E93" i="45"/>
  <c r="E92" i="45"/>
  <c r="E91" i="45"/>
  <c r="E90" i="45"/>
  <c r="E89" i="45"/>
  <c r="E88" i="45"/>
  <c r="E87" i="45"/>
  <c r="E86" i="45"/>
  <c r="E85" i="45"/>
  <c r="E84" i="45"/>
  <c r="B82" i="45"/>
  <c r="B81" i="45"/>
  <c r="B80" i="45"/>
  <c r="B79" i="45"/>
  <c r="B78" i="45"/>
  <c r="B77" i="45"/>
  <c r="B76" i="45"/>
  <c r="B75" i="45"/>
  <c r="B74" i="45"/>
  <c r="B73" i="45"/>
  <c r="B72" i="45"/>
  <c r="B71" i="45"/>
  <c r="B70" i="45"/>
  <c r="B69" i="45"/>
  <c r="B68" i="45"/>
  <c r="B67" i="45"/>
  <c r="B66" i="45"/>
  <c r="B65" i="45"/>
  <c r="B64" i="45"/>
  <c r="B63" i="45"/>
  <c r="B62" i="45"/>
  <c r="B61" i="45"/>
  <c r="B60" i="45"/>
  <c r="B59" i="45"/>
  <c r="B58" i="45"/>
  <c r="B57" i="45"/>
  <c r="B56" i="45"/>
  <c r="B55" i="45"/>
  <c r="B54" i="45"/>
  <c r="B53" i="45"/>
  <c r="B52" i="45"/>
  <c r="B51" i="45"/>
  <c r="B50" i="45"/>
  <c r="B49" i="45"/>
  <c r="B48" i="45"/>
  <c r="B47" i="45"/>
  <c r="B46" i="45"/>
  <c r="B45" i="45"/>
  <c r="B44" i="45"/>
  <c r="B43" i="45"/>
  <c r="B42" i="45"/>
  <c r="B41" i="45"/>
  <c r="B40" i="45"/>
  <c r="B39" i="45"/>
  <c r="B38" i="45"/>
  <c r="B37" i="45"/>
  <c r="B36" i="45"/>
  <c r="B35" i="45"/>
  <c r="B34" i="45"/>
  <c r="B33" i="45"/>
  <c r="B32" i="45"/>
  <c r="B31" i="45"/>
  <c r="B30" i="45"/>
  <c r="B29" i="45"/>
  <c r="B28" i="45"/>
  <c r="B27" i="45"/>
  <c r="B26" i="45"/>
  <c r="B25" i="45"/>
  <c r="B24" i="45"/>
  <c r="B23" i="45"/>
  <c r="B22" i="45"/>
  <c r="B21" i="45"/>
  <c r="B20" i="45"/>
  <c r="B19" i="45"/>
  <c r="B18" i="45"/>
  <c r="B17" i="45"/>
  <c r="B16" i="45"/>
  <c r="B15" i="45"/>
  <c r="B14" i="45"/>
  <c r="B13" i="45"/>
  <c r="B12" i="45"/>
  <c r="B11" i="45"/>
  <c r="B10" i="45"/>
  <c r="B9" i="45"/>
  <c r="B8" i="45"/>
  <c r="B7" i="45"/>
  <c r="B6" i="45"/>
  <c r="B5" i="45"/>
  <c r="B4" i="45"/>
  <c r="B3" i="45"/>
  <c r="B2" i="45"/>
  <c r="C6" i="45"/>
  <c r="C8" i="45"/>
  <c r="C14" i="45"/>
  <c r="C22" i="45"/>
  <c r="C26" i="45"/>
  <c r="C30" i="45"/>
  <c r="C34" i="45"/>
  <c r="C38" i="45"/>
  <c r="C42" i="45"/>
  <c r="C50" i="45"/>
  <c r="C58" i="45"/>
  <c r="C66" i="45"/>
  <c r="C70" i="45"/>
  <c r="C74" i="45"/>
  <c r="C78" i="45"/>
  <c r="C10" i="45"/>
  <c r="C18" i="45"/>
  <c r="C46" i="45"/>
  <c r="C54" i="45"/>
  <c r="C62" i="45"/>
  <c r="C7" i="45"/>
  <c r="C76" i="45"/>
  <c r="C80" i="45"/>
  <c r="C13" i="45"/>
  <c r="C4" i="45"/>
  <c r="C12" i="45"/>
  <c r="C20" i="45"/>
  <c r="C28" i="45"/>
  <c r="C36" i="45"/>
  <c r="C44" i="45"/>
  <c r="C52" i="45"/>
  <c r="C60" i="45"/>
  <c r="C68" i="45"/>
  <c r="C2" i="45"/>
  <c r="C5" i="45"/>
  <c r="C3" i="45"/>
  <c r="C11" i="45"/>
  <c r="C16" i="45"/>
  <c r="C19" i="45"/>
  <c r="C27" i="45"/>
  <c r="C35" i="45"/>
  <c r="C43" i="45"/>
  <c r="C48" i="45"/>
  <c r="C51" i="45"/>
  <c r="C56" i="45"/>
  <c r="C64" i="45"/>
  <c r="C72" i="45"/>
  <c r="C9" i="45"/>
  <c r="C17" i="45"/>
  <c r="C25" i="45"/>
  <c r="C33" i="45"/>
  <c r="C41" i="45"/>
  <c r="C49" i="45"/>
  <c r="C21" i="45"/>
  <c r="C29" i="45"/>
  <c r="C37" i="45"/>
  <c r="C45" i="45"/>
  <c r="C82" i="45"/>
  <c r="C15" i="45"/>
  <c r="C23" i="45"/>
  <c r="C31" i="45"/>
  <c r="C39" i="45"/>
  <c r="C47" i="45"/>
  <c r="C24" i="45"/>
  <c r="C32" i="45"/>
  <c r="C40" i="45"/>
  <c r="C53" i="45"/>
  <c r="C55" i="45"/>
  <c r="C57" i="45"/>
  <c r="C59" i="45"/>
  <c r="C61" i="45"/>
  <c r="C63" i="45"/>
  <c r="C65" i="45"/>
  <c r="C67" i="45"/>
  <c r="C69" i="45"/>
  <c r="C71" i="45"/>
  <c r="C73" i="45"/>
  <c r="C75" i="45"/>
  <c r="C77" i="45"/>
  <c r="C79" i="45"/>
  <c r="C81" i="45"/>
  <c r="E90" i="6"/>
  <c r="G3" i="44"/>
  <c r="D8" i="43"/>
  <c r="G4" i="44"/>
  <c r="D9" i="43"/>
  <c r="G5" i="44"/>
  <c r="D10" i="43"/>
  <c r="G6" i="44"/>
  <c r="D11" i="43"/>
  <c r="G7" i="44"/>
  <c r="D12" i="43"/>
  <c r="G8" i="44"/>
  <c r="D13" i="43"/>
  <c r="G9" i="44"/>
  <c r="D14" i="43"/>
  <c r="G10" i="44"/>
  <c r="D15" i="43"/>
  <c r="G11" i="44"/>
  <c r="D16" i="43"/>
  <c r="G2" i="44"/>
  <c r="D7" i="43"/>
  <c r="D27" i="44"/>
  <c r="D28" i="44"/>
  <c r="D29" i="44"/>
  <c r="D30" i="44"/>
  <c r="D31" i="44"/>
  <c r="D32" i="44"/>
  <c r="D33" i="44"/>
  <c r="D34" i="44"/>
  <c r="D35" i="44"/>
  <c r="D26" i="44"/>
  <c r="C27" i="44"/>
  <c r="C28" i="44"/>
  <c r="C29" i="44"/>
  <c r="C30" i="44"/>
  <c r="C31" i="44"/>
  <c r="C32" i="44"/>
  <c r="C33" i="44"/>
  <c r="C34" i="44"/>
  <c r="C35" i="44"/>
  <c r="C26" i="44"/>
  <c r="B27" i="44"/>
  <c r="B28" i="44"/>
  <c r="B29" i="44"/>
  <c r="E29" i="44"/>
  <c r="B30" i="44"/>
  <c r="E30" i="44"/>
  <c r="B31" i="44"/>
  <c r="B32" i="44"/>
  <c r="B33" i="44"/>
  <c r="E33" i="44"/>
  <c r="B34" i="44"/>
  <c r="E34" i="44"/>
  <c r="B35" i="44"/>
  <c r="B26" i="44"/>
  <c r="G26" i="44"/>
  <c r="F26" i="44"/>
  <c r="B14" i="41"/>
  <c r="B8" i="41"/>
  <c r="D23" i="44"/>
  <c r="B8" i="44"/>
  <c r="F14" i="44"/>
  <c r="G14" i="44"/>
  <c r="E35" i="44"/>
  <c r="E31" i="44"/>
  <c r="E26" i="44"/>
  <c r="E32" i="44"/>
  <c r="E28" i="44"/>
  <c r="E27" i="44"/>
  <c r="B15" i="44"/>
  <c r="B16" i="44"/>
  <c r="B17" i="44"/>
  <c r="B18" i="44"/>
  <c r="B19" i="44"/>
  <c r="B20" i="44"/>
  <c r="B21" i="44"/>
  <c r="B22" i="44"/>
  <c r="B23" i="44"/>
  <c r="B14" i="44"/>
  <c r="D15" i="44"/>
  <c r="D16" i="44"/>
  <c r="D17" i="44"/>
  <c r="D18" i="44"/>
  <c r="D19" i="44"/>
  <c r="D20" i="44"/>
  <c r="D21" i="44"/>
  <c r="D22" i="44"/>
  <c r="D14" i="44"/>
  <c r="C15" i="44"/>
  <c r="C16" i="44"/>
  <c r="C17" i="44"/>
  <c r="C18" i="44"/>
  <c r="C19" i="44"/>
  <c r="C20" i="44"/>
  <c r="C21" i="44"/>
  <c r="C22" i="44"/>
  <c r="C23" i="44"/>
  <c r="C14" i="44"/>
  <c r="H12" i="42"/>
  <c r="L12" i="42"/>
  <c r="H13" i="42"/>
  <c r="L13" i="42"/>
  <c r="H14" i="42"/>
  <c r="L14" i="42"/>
  <c r="H15" i="42"/>
  <c r="L15" i="42"/>
  <c r="H16" i="42"/>
  <c r="L16" i="42"/>
  <c r="H17" i="42"/>
  <c r="L17" i="42"/>
  <c r="H18" i="42"/>
  <c r="L18" i="42"/>
  <c r="H19" i="42"/>
  <c r="L19" i="42"/>
  <c r="H20" i="42"/>
  <c r="L20" i="42"/>
  <c r="H21" i="42"/>
  <c r="L21" i="42"/>
  <c r="H22" i="42"/>
  <c r="L22" i="42"/>
  <c r="H23" i="42"/>
  <c r="L23" i="42"/>
  <c r="H24" i="42"/>
  <c r="L24" i="42"/>
  <c r="H25" i="42"/>
  <c r="L25" i="42"/>
  <c r="H26" i="42"/>
  <c r="L26" i="42"/>
  <c r="H27" i="42"/>
  <c r="L27" i="42"/>
  <c r="H28" i="42"/>
  <c r="L28" i="42"/>
  <c r="H29" i="42"/>
  <c r="L29" i="42"/>
  <c r="H30" i="42"/>
  <c r="L30" i="42"/>
  <c r="H31" i="42"/>
  <c r="L31" i="42"/>
  <c r="H32" i="42"/>
  <c r="L32" i="42"/>
  <c r="H33" i="42"/>
  <c r="L33" i="42"/>
  <c r="H34" i="42"/>
  <c r="L34" i="42"/>
  <c r="H35" i="42"/>
  <c r="L35" i="42"/>
  <c r="H36" i="42"/>
  <c r="L36" i="42"/>
  <c r="H37" i="42"/>
  <c r="L37" i="42"/>
  <c r="H38" i="42"/>
  <c r="L38" i="42"/>
  <c r="H39" i="42"/>
  <c r="L39" i="42"/>
  <c r="H40" i="42"/>
  <c r="L40" i="42"/>
  <c r="H41" i="42"/>
  <c r="L41" i="42"/>
  <c r="H42" i="42"/>
  <c r="L42" i="42"/>
  <c r="H43" i="42"/>
  <c r="L43" i="42"/>
  <c r="H44" i="42"/>
  <c r="L44" i="42"/>
  <c r="H45" i="42"/>
  <c r="L45" i="42"/>
  <c r="H46" i="42"/>
  <c r="L46" i="42"/>
  <c r="H47" i="42"/>
  <c r="L47" i="42"/>
  <c r="H48" i="42"/>
  <c r="L48" i="42"/>
  <c r="H49" i="42"/>
  <c r="L49" i="42"/>
  <c r="H50" i="42"/>
  <c r="L50" i="42"/>
  <c r="H51" i="42"/>
  <c r="L51" i="42"/>
  <c r="H52" i="42"/>
  <c r="L52" i="42"/>
  <c r="H53" i="42"/>
  <c r="L53" i="42"/>
  <c r="H54" i="42"/>
  <c r="L54" i="42"/>
  <c r="H55" i="42"/>
  <c r="L55" i="42"/>
  <c r="H56" i="42"/>
  <c r="L56" i="42"/>
  <c r="H57" i="42"/>
  <c r="L57" i="42"/>
  <c r="H58" i="42"/>
  <c r="L58" i="42"/>
  <c r="H59" i="42"/>
  <c r="L59" i="42"/>
  <c r="H60" i="42"/>
  <c r="L60" i="42"/>
  <c r="H61" i="42"/>
  <c r="L61" i="42"/>
  <c r="H62" i="42"/>
  <c r="L62" i="42"/>
  <c r="H63" i="42"/>
  <c r="L63" i="42"/>
  <c r="H64" i="42"/>
  <c r="L64" i="42"/>
  <c r="H65" i="42"/>
  <c r="L65" i="42"/>
  <c r="H66" i="42"/>
  <c r="L66" i="42"/>
  <c r="H67" i="42"/>
  <c r="L67" i="42"/>
  <c r="H68" i="42"/>
  <c r="L68" i="42"/>
  <c r="H69" i="42"/>
  <c r="L69" i="42"/>
  <c r="H70" i="42"/>
  <c r="L70" i="42"/>
  <c r="H71" i="42"/>
  <c r="L71" i="42"/>
  <c r="H72" i="42"/>
  <c r="L72" i="42"/>
  <c r="H73" i="42"/>
  <c r="L73" i="42"/>
  <c r="H74" i="42"/>
  <c r="L74" i="42"/>
  <c r="H75" i="42"/>
  <c r="L75" i="42"/>
  <c r="H76" i="42"/>
  <c r="L76" i="42"/>
  <c r="H77" i="42"/>
  <c r="L77" i="42"/>
  <c r="H78" i="42"/>
  <c r="L78" i="42"/>
  <c r="H79" i="42"/>
  <c r="L79" i="42"/>
  <c r="H80" i="42"/>
  <c r="L80" i="42"/>
  <c r="H81" i="42"/>
  <c r="L81" i="42"/>
  <c r="F3" i="44"/>
  <c r="E8" i="43"/>
  <c r="F4" i="44"/>
  <c r="E9" i="43"/>
  <c r="F5" i="44"/>
  <c r="E10" i="43"/>
  <c r="F6" i="44"/>
  <c r="E11" i="43"/>
  <c r="F7" i="44"/>
  <c r="E12" i="43"/>
  <c r="F8" i="44"/>
  <c r="E13" i="43"/>
  <c r="F9" i="44"/>
  <c r="E14" i="43"/>
  <c r="F10" i="44"/>
  <c r="E15" i="43"/>
  <c r="F11" i="44"/>
  <c r="E16" i="43"/>
  <c r="C2" i="44"/>
  <c r="M7" i="43"/>
  <c r="D2" i="44"/>
  <c r="L7" i="43"/>
  <c r="E2" i="44"/>
  <c r="F2" i="44"/>
  <c r="E7" i="43"/>
  <c r="C3" i="44"/>
  <c r="M8" i="43"/>
  <c r="D3" i="44"/>
  <c r="L8" i="43"/>
  <c r="E3" i="44"/>
  <c r="C4" i="44"/>
  <c r="M9" i="43"/>
  <c r="D4" i="44"/>
  <c r="L9" i="43"/>
  <c r="E4" i="44"/>
  <c r="C5" i="44"/>
  <c r="M10" i="43"/>
  <c r="D5" i="44"/>
  <c r="L10" i="43"/>
  <c r="E5" i="44"/>
  <c r="C6" i="44"/>
  <c r="M11" i="43"/>
  <c r="D6" i="44"/>
  <c r="L11" i="43"/>
  <c r="E6" i="44"/>
  <c r="C7" i="44"/>
  <c r="M12" i="43"/>
  <c r="D7" i="44"/>
  <c r="L12" i="43"/>
  <c r="E7" i="44"/>
  <c r="C8" i="44"/>
  <c r="M13" i="43"/>
  <c r="D8" i="44"/>
  <c r="L13" i="43"/>
  <c r="E8" i="44"/>
  <c r="C9" i="44"/>
  <c r="M14" i="43"/>
  <c r="D9" i="44"/>
  <c r="L14" i="43"/>
  <c r="E9" i="44"/>
  <c r="C10" i="44"/>
  <c r="M15" i="43"/>
  <c r="D10" i="44"/>
  <c r="L15" i="43"/>
  <c r="E10" i="44"/>
  <c r="C11" i="44"/>
  <c r="M16" i="43"/>
  <c r="D11" i="44"/>
  <c r="L16" i="43"/>
  <c r="E11" i="44"/>
  <c r="B3" i="44"/>
  <c r="C8" i="43"/>
  <c r="B4" i="44"/>
  <c r="C9" i="43"/>
  <c r="B5" i="44"/>
  <c r="C10" i="43"/>
  <c r="B6" i="44"/>
  <c r="C11" i="43"/>
  <c r="B7" i="44"/>
  <c r="C12" i="43"/>
  <c r="C13" i="43"/>
  <c r="B9" i="44"/>
  <c r="C14" i="43"/>
  <c r="B10" i="44"/>
  <c r="C15" i="43"/>
  <c r="B11" i="44"/>
  <c r="C16" i="43"/>
  <c r="B2" i="44"/>
  <c r="C7" i="43"/>
  <c r="M3" i="43"/>
  <c r="B4" i="41"/>
  <c r="C3" i="43"/>
  <c r="L3" i="42"/>
  <c r="L4" i="42"/>
  <c r="L5" i="42"/>
  <c r="L6" i="42"/>
  <c r="L7" i="42"/>
  <c r="L8" i="42"/>
  <c r="L9" i="42"/>
  <c r="L10" i="42"/>
  <c r="L11" i="42"/>
  <c r="L2" i="42"/>
  <c r="H11" i="42"/>
  <c r="H10" i="42"/>
  <c r="H9" i="42"/>
  <c r="H8" i="42"/>
  <c r="H7" i="42"/>
  <c r="H6" i="42"/>
  <c r="H5" i="42"/>
  <c r="H4" i="42"/>
  <c r="H3" i="42"/>
  <c r="H2" i="42"/>
  <c r="AE3" i="42"/>
  <c r="AE4" i="42"/>
  <c r="AE5" i="42"/>
  <c r="AE6" i="42"/>
  <c r="AE7" i="42"/>
  <c r="AE8" i="42"/>
  <c r="AE9" i="42"/>
  <c r="AE10" i="42"/>
  <c r="AE11" i="42"/>
  <c r="AE12" i="42"/>
  <c r="AE13" i="42"/>
  <c r="AE14" i="42"/>
  <c r="AE15" i="42"/>
  <c r="AE16" i="42"/>
  <c r="AE17" i="42"/>
  <c r="AE18" i="42"/>
  <c r="AE19" i="42"/>
  <c r="AE20" i="42"/>
  <c r="AE21" i="42"/>
  <c r="AE22" i="42"/>
  <c r="AE23" i="42"/>
  <c r="AE24" i="42"/>
  <c r="AE25" i="42"/>
  <c r="AE26" i="42"/>
  <c r="AE27" i="42"/>
  <c r="AE28" i="42"/>
  <c r="AE29" i="42"/>
  <c r="AE30" i="42"/>
  <c r="AE31" i="42"/>
  <c r="AE32" i="42"/>
  <c r="AE33" i="42"/>
  <c r="AE34" i="42"/>
  <c r="AE35" i="42"/>
  <c r="AE36" i="42"/>
  <c r="AE37" i="42"/>
  <c r="AE38" i="42"/>
  <c r="AE39" i="42"/>
  <c r="AE40" i="42"/>
  <c r="AE41" i="42"/>
  <c r="AE42" i="42"/>
  <c r="AE43" i="42"/>
  <c r="AE44" i="42"/>
  <c r="AE45" i="42"/>
  <c r="AE46" i="42"/>
  <c r="AE47" i="42"/>
  <c r="AE48" i="42"/>
  <c r="AE49" i="42"/>
  <c r="AE50" i="42"/>
  <c r="AE51" i="42"/>
  <c r="AE52" i="42"/>
  <c r="AE53" i="42"/>
  <c r="AE54" i="42"/>
  <c r="AE55" i="42"/>
  <c r="AE56" i="42"/>
  <c r="AE57" i="42"/>
  <c r="AE58" i="42"/>
  <c r="AE59" i="42"/>
  <c r="AE60" i="42"/>
  <c r="AE61" i="42"/>
  <c r="AE62" i="42"/>
  <c r="AE63" i="42"/>
  <c r="AE64" i="42"/>
  <c r="AE65" i="42"/>
  <c r="AE66" i="42"/>
  <c r="AE67" i="42"/>
  <c r="AE68" i="42"/>
  <c r="AE69" i="42"/>
  <c r="AE70" i="42"/>
  <c r="AE71" i="42"/>
  <c r="AE72" i="42"/>
  <c r="AE73" i="42"/>
  <c r="AE74" i="42"/>
  <c r="AE75" i="42"/>
  <c r="AE76" i="42"/>
  <c r="AE77" i="42"/>
  <c r="AE78" i="42"/>
  <c r="AE79" i="42"/>
  <c r="AE80" i="42"/>
  <c r="AE81" i="42"/>
  <c r="AE82" i="42"/>
  <c r="B3" i="41"/>
  <c r="E87" i="39"/>
  <c r="E84" i="39"/>
  <c r="E89" i="39"/>
  <c r="E88" i="39"/>
  <c r="E86" i="39"/>
  <c r="E91" i="39"/>
  <c r="E90" i="39"/>
  <c r="E84" i="38"/>
  <c r="E86" i="38"/>
  <c r="E94" i="38"/>
  <c r="E96" i="38"/>
  <c r="E95" i="38"/>
  <c r="E97" i="38"/>
  <c r="E90" i="38"/>
  <c r="E92" i="38"/>
  <c r="E88" i="38"/>
  <c r="E93" i="38"/>
  <c r="E91" i="38"/>
  <c r="E89" i="38"/>
  <c r="E87" i="38"/>
  <c r="E85" i="39"/>
  <c r="E85" i="38"/>
  <c r="E84" i="36"/>
  <c r="E85" i="36"/>
  <c r="E87" i="36"/>
  <c r="E86" i="36"/>
  <c r="E89" i="36"/>
  <c r="E88" i="36"/>
  <c r="E85" i="35"/>
  <c r="E91" i="35"/>
  <c r="E84" i="35"/>
  <c r="E86" i="35"/>
  <c r="E95" i="35"/>
  <c r="E99" i="35"/>
  <c r="E93" i="35"/>
  <c r="E103" i="35"/>
  <c r="E100" i="35"/>
  <c r="E113" i="35"/>
  <c r="E109" i="35"/>
  <c r="E106" i="35"/>
  <c r="E94" i="35"/>
  <c r="E88" i="35"/>
  <c r="E92" i="35"/>
  <c r="E87" i="35"/>
  <c r="E111" i="35"/>
  <c r="E112" i="35"/>
  <c r="E110" i="35"/>
  <c r="E116" i="35"/>
  <c r="E97" i="35"/>
  <c r="E115" i="35"/>
  <c r="E114" i="35"/>
  <c r="E105" i="35"/>
  <c r="E90" i="35"/>
  <c r="E101" i="35"/>
  <c r="E98" i="35"/>
  <c r="E107" i="35"/>
  <c r="E104" i="35"/>
  <c r="E102" i="35"/>
  <c r="E96" i="35"/>
  <c r="E108" i="35"/>
  <c r="E89" i="35"/>
  <c r="E84" i="34"/>
  <c r="E90" i="34"/>
  <c r="E89" i="34"/>
  <c r="E92" i="34"/>
  <c r="E88" i="34"/>
  <c r="E91" i="34"/>
  <c r="E97" i="34"/>
  <c r="E93" i="34"/>
  <c r="E96" i="34"/>
  <c r="E94" i="34"/>
  <c r="E86" i="34"/>
  <c r="E85" i="34"/>
  <c r="E95" i="34"/>
  <c r="E99" i="34"/>
  <c r="E98" i="34"/>
  <c r="E87" i="34"/>
  <c r="E84" i="33"/>
  <c r="E96" i="33"/>
  <c r="E93" i="33"/>
  <c r="E91" i="33"/>
  <c r="E92" i="33"/>
  <c r="E90" i="33"/>
  <c r="E87" i="33"/>
  <c r="E97" i="33"/>
  <c r="E95" i="33"/>
  <c r="E86" i="33"/>
  <c r="E94" i="33"/>
  <c r="E89" i="33"/>
  <c r="E85" i="33"/>
  <c r="E88" i="33"/>
  <c r="E88" i="32"/>
  <c r="E92" i="32"/>
  <c r="E86" i="32"/>
  <c r="E84" i="32"/>
  <c r="E87" i="32"/>
  <c r="E91" i="32"/>
  <c r="E89" i="32"/>
  <c r="E90" i="32"/>
  <c r="E85" i="32"/>
  <c r="E102" i="31"/>
  <c r="E106" i="31"/>
  <c r="E108" i="31"/>
  <c r="E107" i="31"/>
  <c r="E105" i="31"/>
  <c r="E100" i="31"/>
  <c r="E92" i="31"/>
  <c r="E86" i="31"/>
  <c r="E89" i="31"/>
  <c r="E84" i="31"/>
  <c r="E88" i="31"/>
  <c r="E85" i="31"/>
  <c r="E96" i="31"/>
  <c r="E91" i="31"/>
  <c r="E90" i="31"/>
  <c r="E87" i="31"/>
  <c r="E109" i="31"/>
  <c r="E101" i="31"/>
  <c r="E98" i="31"/>
  <c r="E95" i="31"/>
  <c r="E97" i="31"/>
  <c r="E94" i="31"/>
  <c r="E93" i="31"/>
  <c r="E104" i="31"/>
  <c r="E99" i="31"/>
  <c r="E103" i="31"/>
  <c r="E90" i="30"/>
  <c r="E84" i="30"/>
  <c r="E86" i="30"/>
  <c r="E93" i="30"/>
  <c r="E89" i="30"/>
  <c r="E85" i="30"/>
  <c r="E92" i="30"/>
  <c r="E91" i="30"/>
  <c r="E87" i="30"/>
  <c r="E94" i="30"/>
  <c r="E88" i="30"/>
  <c r="E88" i="29"/>
  <c r="E86" i="29"/>
  <c r="E87" i="29"/>
  <c r="E84" i="29"/>
  <c r="E90" i="29"/>
  <c r="E89" i="29"/>
  <c r="E91" i="29"/>
  <c r="E85" i="29"/>
  <c r="E111" i="28"/>
  <c r="E108" i="28"/>
  <c r="E123" i="28"/>
  <c r="E121" i="28"/>
  <c r="E92" i="28"/>
  <c r="E94" i="28"/>
  <c r="E86" i="28"/>
  <c r="E88" i="28"/>
  <c r="E85" i="28"/>
  <c r="E90" i="28"/>
  <c r="E87" i="28"/>
  <c r="E113" i="28"/>
  <c r="E91" i="28"/>
  <c r="E103" i="28"/>
  <c r="E101" i="28"/>
  <c r="E119" i="28"/>
  <c r="E98" i="28"/>
  <c r="E118" i="28"/>
  <c r="E107" i="28"/>
  <c r="E97" i="28"/>
  <c r="E116" i="28"/>
  <c r="E106" i="28"/>
  <c r="E95" i="28"/>
  <c r="E100" i="28"/>
  <c r="E110" i="28"/>
  <c r="E112" i="28"/>
  <c r="E122" i="28"/>
  <c r="E99" i="28"/>
  <c r="E109" i="28"/>
  <c r="E104" i="28"/>
  <c r="E89" i="28"/>
  <c r="E84" i="28"/>
  <c r="E117" i="28"/>
  <c r="E93" i="28"/>
  <c r="E115" i="28"/>
  <c r="E102" i="28"/>
  <c r="E114" i="28"/>
  <c r="E105" i="28"/>
  <c r="E120" i="28"/>
  <c r="E96" i="28"/>
  <c r="E87" i="27"/>
  <c r="E88" i="27"/>
  <c r="E85" i="27"/>
  <c r="E86" i="27"/>
  <c r="E89" i="27"/>
  <c r="E92" i="27"/>
  <c r="E105" i="27"/>
  <c r="E106" i="27"/>
  <c r="E95" i="27"/>
  <c r="E98" i="27"/>
  <c r="E97" i="27"/>
  <c r="E93" i="27"/>
  <c r="E94" i="27"/>
  <c r="E91" i="27"/>
  <c r="E90" i="27"/>
  <c r="E96" i="27"/>
  <c r="E101" i="27"/>
  <c r="E100" i="27"/>
  <c r="E99" i="27"/>
  <c r="E108" i="27"/>
  <c r="E107" i="27"/>
  <c r="E104" i="27"/>
  <c r="E103" i="27"/>
  <c r="E102" i="27"/>
  <c r="E84" i="27"/>
  <c r="E87" i="26"/>
  <c r="E89" i="26"/>
  <c r="E88" i="26"/>
  <c r="E85" i="26"/>
  <c r="E92" i="26"/>
  <c r="E84" i="26"/>
  <c r="E86" i="26"/>
  <c r="E90" i="26"/>
  <c r="E91" i="26"/>
  <c r="E87" i="25"/>
  <c r="E88" i="25"/>
  <c r="E89" i="25"/>
  <c r="E85" i="25"/>
  <c r="E84" i="25"/>
  <c r="E86" i="25"/>
  <c r="E85" i="24"/>
  <c r="E94" i="24"/>
  <c r="E88" i="24"/>
  <c r="E84" i="24"/>
  <c r="E86" i="24"/>
  <c r="E89" i="24"/>
  <c r="E95" i="24"/>
  <c r="E91" i="24"/>
  <c r="E90" i="24"/>
  <c r="E97" i="24"/>
  <c r="E96" i="24"/>
  <c r="E93" i="24"/>
  <c r="E92" i="24"/>
  <c r="E87" i="24"/>
  <c r="E93" i="23"/>
  <c r="E84" i="23"/>
  <c r="E92" i="23"/>
  <c r="E100" i="23"/>
  <c r="E87" i="23"/>
  <c r="E90" i="23"/>
  <c r="E98" i="23"/>
  <c r="E97" i="23"/>
  <c r="E101" i="23"/>
  <c r="E88" i="23"/>
  <c r="E89" i="23"/>
  <c r="E85" i="23"/>
  <c r="E99" i="23"/>
  <c r="E86" i="23"/>
  <c r="E94" i="23"/>
  <c r="E96" i="23"/>
  <c r="E95" i="23"/>
  <c r="E102" i="23"/>
  <c r="E91" i="23"/>
  <c r="E97" i="22"/>
  <c r="E88" i="22"/>
  <c r="E85" i="22"/>
  <c r="E95" i="22"/>
  <c r="E96" i="22"/>
  <c r="E94" i="22"/>
  <c r="E99" i="22"/>
  <c r="E101" i="22"/>
  <c r="E100" i="22"/>
  <c r="E93" i="22"/>
  <c r="E90" i="22"/>
  <c r="E84" i="22"/>
  <c r="E86" i="22"/>
  <c r="E91" i="22"/>
  <c r="E92" i="22"/>
  <c r="E89" i="22"/>
  <c r="E87" i="22"/>
  <c r="E98" i="22"/>
  <c r="E86" i="21"/>
  <c r="E90" i="21"/>
  <c r="E87" i="21"/>
  <c r="E85" i="21"/>
  <c r="E84" i="21"/>
  <c r="E88" i="21"/>
  <c r="E89" i="21"/>
  <c r="E92" i="20"/>
  <c r="E98" i="20"/>
  <c r="E100" i="20"/>
  <c r="E97" i="20"/>
  <c r="E94" i="20"/>
  <c r="E89" i="20"/>
  <c r="E87" i="20"/>
  <c r="E84" i="20"/>
  <c r="E91" i="20"/>
  <c r="E85" i="20"/>
  <c r="E86" i="20"/>
  <c r="E93" i="20"/>
  <c r="E99" i="20"/>
  <c r="E96" i="20"/>
  <c r="E101" i="20"/>
  <c r="E95" i="20"/>
  <c r="E88" i="20"/>
  <c r="E90" i="20"/>
  <c r="E85" i="19"/>
  <c r="E84" i="19"/>
  <c r="E95" i="19"/>
  <c r="E94" i="19"/>
  <c r="E93" i="19"/>
  <c r="E92" i="19"/>
  <c r="E87" i="19"/>
  <c r="E88" i="19"/>
  <c r="E90" i="19"/>
  <c r="E89" i="19"/>
  <c r="E86" i="19"/>
  <c r="E91" i="19"/>
  <c r="E86" i="18"/>
  <c r="E84" i="18"/>
  <c r="E87" i="18"/>
  <c r="E91" i="18"/>
  <c r="E88" i="18"/>
  <c r="E89" i="18"/>
  <c r="E102" i="18"/>
  <c r="E92" i="18"/>
  <c r="E94" i="18"/>
  <c r="E101" i="18"/>
  <c r="E96" i="18"/>
  <c r="E95" i="18"/>
  <c r="E103" i="18"/>
  <c r="E99" i="18"/>
  <c r="E98" i="18"/>
  <c r="E100" i="18"/>
  <c r="E93" i="18"/>
  <c r="E97" i="18"/>
  <c r="E90" i="18"/>
  <c r="E85" i="18"/>
  <c r="E84" i="17"/>
  <c r="E91" i="17"/>
  <c r="E88" i="17"/>
  <c r="E87" i="17"/>
  <c r="E85" i="17"/>
  <c r="E92" i="17"/>
  <c r="E94" i="17"/>
  <c r="E93" i="17"/>
  <c r="E90" i="17"/>
  <c r="E89" i="17"/>
  <c r="E86" i="17"/>
  <c r="E87" i="16"/>
  <c r="E100" i="16"/>
  <c r="E91" i="16"/>
  <c r="E94" i="16"/>
  <c r="E96" i="16"/>
  <c r="E89" i="16"/>
  <c r="E86" i="16"/>
  <c r="E84" i="16"/>
  <c r="E99" i="16"/>
  <c r="E90" i="16"/>
  <c r="E85" i="16"/>
  <c r="E98" i="16"/>
  <c r="E93" i="16"/>
  <c r="E97" i="16"/>
  <c r="E92" i="16"/>
  <c r="E95" i="16"/>
  <c r="E88" i="16"/>
  <c r="E90" i="15"/>
  <c r="E85" i="15"/>
  <c r="E89" i="15"/>
  <c r="E87" i="15"/>
  <c r="E86" i="15"/>
  <c r="E88" i="15"/>
  <c r="E91" i="15"/>
  <c r="E94" i="15"/>
  <c r="E93" i="15"/>
  <c r="E92" i="15"/>
  <c r="E95" i="15"/>
  <c r="E84" i="15"/>
  <c r="E88" i="14"/>
  <c r="E84" i="14"/>
  <c r="E86" i="14"/>
  <c r="E91" i="14"/>
  <c r="E93" i="14"/>
  <c r="E89" i="14"/>
  <c r="E90" i="14"/>
  <c r="E95" i="14"/>
  <c r="E94" i="14"/>
  <c r="E87" i="14"/>
  <c r="E92" i="14"/>
  <c r="E85" i="14"/>
  <c r="E99" i="13"/>
  <c r="E106" i="13"/>
  <c r="E101" i="13"/>
  <c r="E103" i="13"/>
  <c r="E102" i="13"/>
  <c r="E91" i="13"/>
  <c r="E90" i="13"/>
  <c r="E107" i="13"/>
  <c r="E105" i="13"/>
  <c r="E104" i="13"/>
  <c r="E85" i="13"/>
  <c r="E87" i="13"/>
  <c r="E94" i="13"/>
  <c r="E86" i="13"/>
  <c r="E84" i="13"/>
  <c r="E88" i="13"/>
  <c r="E98" i="13"/>
  <c r="E100" i="13"/>
  <c r="E97" i="13"/>
  <c r="E95" i="13"/>
  <c r="E92" i="13"/>
  <c r="E93" i="13"/>
  <c r="E89" i="13"/>
  <c r="E96" i="13"/>
  <c r="E93" i="12"/>
  <c r="E86" i="12"/>
  <c r="E85" i="12"/>
  <c r="E90" i="12"/>
  <c r="E94" i="12"/>
  <c r="E87" i="12"/>
  <c r="E92" i="12"/>
  <c r="E91" i="12"/>
  <c r="E88" i="12"/>
  <c r="E84" i="12"/>
  <c r="E89" i="12"/>
  <c r="E85" i="11"/>
  <c r="E84" i="11"/>
  <c r="E84" i="10"/>
  <c r="E87" i="10"/>
  <c r="E89" i="10"/>
  <c r="E93" i="10"/>
  <c r="E92" i="10"/>
  <c r="E91" i="10"/>
  <c r="E88" i="10"/>
  <c r="E86" i="10"/>
  <c r="E90" i="10"/>
  <c r="E85" i="10"/>
  <c r="E102" i="9"/>
  <c r="E101" i="9"/>
  <c r="E105" i="9"/>
  <c r="E104" i="9"/>
  <c r="E90" i="9"/>
  <c r="E84" i="9"/>
  <c r="E103" i="9"/>
  <c r="E98" i="9"/>
  <c r="E99" i="9"/>
  <c r="E88" i="9"/>
  <c r="E93" i="9"/>
  <c r="E85" i="9"/>
  <c r="E86" i="9"/>
  <c r="E95" i="9"/>
  <c r="E92" i="9"/>
  <c r="E91" i="9"/>
  <c r="E94" i="9"/>
  <c r="E87" i="9"/>
  <c r="E96" i="9"/>
  <c r="E89" i="9"/>
  <c r="E106" i="9"/>
  <c r="E100" i="9"/>
  <c r="E97" i="9"/>
  <c r="E92" i="8"/>
  <c r="E87" i="8"/>
  <c r="E95" i="8"/>
  <c r="E91" i="8"/>
  <c r="E88" i="8"/>
  <c r="E86" i="8"/>
  <c r="E96" i="8"/>
  <c r="E85" i="8"/>
  <c r="E97" i="8"/>
  <c r="E89" i="8"/>
  <c r="E93" i="8"/>
  <c r="E90" i="8"/>
  <c r="E94" i="8"/>
  <c r="E98" i="8"/>
  <c r="E84" i="8"/>
  <c r="E102" i="8"/>
  <c r="E101" i="8"/>
  <c r="E100" i="8"/>
  <c r="E99" i="8"/>
  <c r="E91" i="7"/>
  <c r="E86" i="7"/>
  <c r="E84" i="7"/>
  <c r="E87" i="7"/>
  <c r="E90" i="7"/>
  <c r="E88" i="7"/>
  <c r="E93" i="7"/>
  <c r="E89" i="7"/>
  <c r="E94" i="7"/>
  <c r="E92" i="7"/>
  <c r="E85" i="7"/>
  <c r="E103" i="6"/>
  <c r="E114" i="6"/>
  <c r="E113" i="6"/>
  <c r="E109" i="6"/>
  <c r="E99" i="6"/>
  <c r="E97" i="6"/>
  <c r="E89" i="6"/>
  <c r="E91" i="6"/>
  <c r="E86" i="6"/>
  <c r="E95" i="6"/>
  <c r="E84" i="6"/>
  <c r="E92" i="6"/>
  <c r="E85" i="6"/>
  <c r="E106" i="6"/>
  <c r="E122" i="6"/>
  <c r="E120" i="6"/>
  <c r="E96" i="6"/>
  <c r="E112" i="6"/>
  <c r="E110" i="6"/>
  <c r="E87" i="6"/>
  <c r="E88" i="6"/>
  <c r="E111" i="6"/>
  <c r="E100" i="6"/>
  <c r="E118" i="6"/>
  <c r="E115" i="6"/>
  <c r="E119" i="6"/>
  <c r="E116" i="6"/>
  <c r="E108" i="6"/>
  <c r="E104" i="6"/>
  <c r="E107" i="6"/>
  <c r="E105" i="6"/>
  <c r="E98" i="6"/>
  <c r="E94" i="6"/>
  <c r="E121" i="6"/>
  <c r="E117" i="6"/>
  <c r="E102" i="6"/>
  <c r="E93" i="6"/>
  <c r="E101" i="6"/>
  <c r="E90" i="5"/>
  <c r="E86" i="5"/>
  <c r="E84" i="5"/>
  <c r="E89" i="5"/>
  <c r="E93" i="5"/>
  <c r="E88" i="5"/>
  <c r="E92" i="5"/>
  <c r="E91" i="5"/>
  <c r="E87" i="5"/>
  <c r="E85" i="5"/>
  <c r="E86" i="4"/>
  <c r="E87" i="4"/>
  <c r="E85" i="4"/>
  <c r="E84" i="4"/>
  <c r="E88" i="4"/>
  <c r="E85" i="2"/>
  <c r="E86" i="2"/>
  <c r="E87" i="2"/>
  <c r="E88" i="2"/>
  <c r="E89" i="2"/>
  <c r="E90" i="2"/>
  <c r="E91" i="2"/>
  <c r="E92" i="2"/>
  <c r="E93" i="2"/>
  <c r="E84" i="2"/>
  <c r="M4" i="44"/>
  <c r="J9" i="43"/>
  <c r="L4" i="44"/>
  <c r="I9" i="43"/>
  <c r="I4" i="44"/>
  <c r="M6" i="44"/>
  <c r="J11" i="43"/>
  <c r="L6" i="44"/>
  <c r="I11" i="43"/>
  <c r="I6" i="44"/>
  <c r="M5" i="44"/>
  <c r="J10" i="43"/>
  <c r="I5" i="44"/>
  <c r="G10" i="43"/>
  <c r="I7" i="44"/>
  <c r="H7" i="44"/>
  <c r="L7" i="44"/>
  <c r="I12" i="43"/>
  <c r="M7" i="44"/>
  <c r="J12" i="43"/>
  <c r="I3" i="44"/>
  <c r="G8" i="43"/>
  <c r="H3" i="44"/>
  <c r="L3" i="44"/>
  <c r="I8" i="43"/>
  <c r="M3" i="44"/>
  <c r="J8" i="43"/>
  <c r="M2" i="44"/>
  <c r="J7" i="43"/>
  <c r="L2" i="44"/>
  <c r="I7" i="43"/>
  <c r="I2" i="44"/>
  <c r="G30" i="42"/>
  <c r="I30" i="42"/>
  <c r="H4" i="44"/>
  <c r="M8" i="44"/>
  <c r="J13" i="43"/>
  <c r="I8" i="44"/>
  <c r="G13" i="43"/>
  <c r="M9" i="44"/>
  <c r="J14" i="43"/>
  <c r="I9" i="44"/>
  <c r="I10" i="44"/>
  <c r="M10" i="44"/>
  <c r="J15" i="43"/>
  <c r="I11" i="44"/>
  <c r="G16" i="43"/>
  <c r="M11" i="44"/>
  <c r="J16" i="43"/>
  <c r="AF2" i="42"/>
  <c r="H5" i="44"/>
  <c r="L5" i="44"/>
  <c r="I10" i="43"/>
  <c r="B3" i="39"/>
  <c r="B4" i="39"/>
  <c r="B5" i="39"/>
  <c r="B6" i="39"/>
  <c r="B7" i="39"/>
  <c r="B8" i="39"/>
  <c r="B9" i="39"/>
  <c r="B10" i="39"/>
  <c r="B11" i="39"/>
  <c r="B12" i="39"/>
  <c r="B13" i="39"/>
  <c r="B14" i="39"/>
  <c r="B15" i="39"/>
  <c r="B16" i="39"/>
  <c r="B17" i="39"/>
  <c r="B18" i="39"/>
  <c r="B19" i="39"/>
  <c r="B20" i="39"/>
  <c r="B21" i="39"/>
  <c r="B22" i="39"/>
  <c r="B23" i="39"/>
  <c r="B24" i="39"/>
  <c r="B25" i="39"/>
  <c r="B26" i="39"/>
  <c r="B27" i="39"/>
  <c r="B28" i="39"/>
  <c r="B29" i="39"/>
  <c r="B30" i="39"/>
  <c r="B31" i="39"/>
  <c r="B32" i="39"/>
  <c r="B33" i="39"/>
  <c r="B34" i="39"/>
  <c r="B35" i="39"/>
  <c r="B36" i="39"/>
  <c r="B37" i="39"/>
  <c r="B38" i="39"/>
  <c r="B39" i="39"/>
  <c r="B40" i="39"/>
  <c r="B41" i="39"/>
  <c r="B42" i="39"/>
  <c r="B43" i="39"/>
  <c r="B44" i="39"/>
  <c r="B45" i="39"/>
  <c r="B46" i="39"/>
  <c r="B47" i="39"/>
  <c r="B48" i="39"/>
  <c r="B49" i="39"/>
  <c r="B50" i="39"/>
  <c r="B51" i="39"/>
  <c r="B52" i="39"/>
  <c r="B53" i="39"/>
  <c r="B54" i="39"/>
  <c r="B55" i="39"/>
  <c r="B56" i="39"/>
  <c r="B57" i="39"/>
  <c r="B58" i="39"/>
  <c r="B59" i="39"/>
  <c r="B60" i="39"/>
  <c r="B61" i="39"/>
  <c r="B62" i="39"/>
  <c r="B63" i="39"/>
  <c r="B64" i="39"/>
  <c r="B65" i="39"/>
  <c r="B66" i="39"/>
  <c r="B67" i="39"/>
  <c r="B68" i="39"/>
  <c r="B69" i="39"/>
  <c r="B70" i="39"/>
  <c r="B71" i="39"/>
  <c r="B72" i="39"/>
  <c r="B73" i="39"/>
  <c r="B74" i="39"/>
  <c r="B75" i="39"/>
  <c r="B76" i="39"/>
  <c r="B77" i="39"/>
  <c r="B78" i="39"/>
  <c r="B79" i="39"/>
  <c r="B80" i="39"/>
  <c r="B81" i="39"/>
  <c r="B82" i="39"/>
  <c r="B2" i="39"/>
  <c r="C2" i="39"/>
  <c r="B3" i="38"/>
  <c r="B4" i="38"/>
  <c r="B5" i="38"/>
  <c r="B6" i="38"/>
  <c r="B7" i="38"/>
  <c r="B8" i="38"/>
  <c r="B9" i="38"/>
  <c r="B10" i="38"/>
  <c r="B11" i="38"/>
  <c r="B12" i="38"/>
  <c r="B13" i="38"/>
  <c r="B14" i="38"/>
  <c r="B15" i="38"/>
  <c r="B16" i="38"/>
  <c r="B17" i="38"/>
  <c r="B18" i="38"/>
  <c r="B19" i="38"/>
  <c r="B20" i="38"/>
  <c r="B21" i="38"/>
  <c r="B22" i="38"/>
  <c r="B23" i="38"/>
  <c r="B24" i="38"/>
  <c r="B25" i="38"/>
  <c r="B26" i="38"/>
  <c r="B27" i="38"/>
  <c r="B28" i="38"/>
  <c r="B29" i="38"/>
  <c r="B30" i="38"/>
  <c r="B31" i="38"/>
  <c r="B32" i="38"/>
  <c r="B33" i="38"/>
  <c r="B34" i="38"/>
  <c r="B35" i="38"/>
  <c r="B36" i="38"/>
  <c r="B37" i="38"/>
  <c r="B38" i="38"/>
  <c r="B39" i="38"/>
  <c r="B40" i="38"/>
  <c r="B41" i="38"/>
  <c r="B42" i="38"/>
  <c r="B43" i="38"/>
  <c r="B44" i="38"/>
  <c r="B45" i="38"/>
  <c r="B46" i="38"/>
  <c r="B47" i="38"/>
  <c r="B48" i="38"/>
  <c r="B49" i="38"/>
  <c r="B50" i="38"/>
  <c r="B51" i="38"/>
  <c r="B52" i="38"/>
  <c r="B53" i="38"/>
  <c r="B54" i="38"/>
  <c r="B55" i="38"/>
  <c r="B56" i="38"/>
  <c r="B57" i="38"/>
  <c r="B58" i="38"/>
  <c r="B59" i="38"/>
  <c r="B60" i="38"/>
  <c r="B61" i="38"/>
  <c r="B62" i="38"/>
  <c r="B63" i="38"/>
  <c r="B64" i="38"/>
  <c r="B65" i="38"/>
  <c r="B66" i="38"/>
  <c r="B67" i="38"/>
  <c r="B68" i="38"/>
  <c r="B69" i="38"/>
  <c r="B70" i="38"/>
  <c r="B71" i="38"/>
  <c r="B72" i="38"/>
  <c r="B73" i="38"/>
  <c r="B74" i="38"/>
  <c r="B75" i="38"/>
  <c r="B76" i="38"/>
  <c r="B77" i="38"/>
  <c r="B78" i="38"/>
  <c r="B79" i="38"/>
  <c r="B80" i="38"/>
  <c r="B81" i="38"/>
  <c r="B82" i="38"/>
  <c r="B2" i="38"/>
  <c r="C2" i="38"/>
  <c r="B3" i="37"/>
  <c r="B4" i="37"/>
  <c r="B5" i="37"/>
  <c r="B6" i="37"/>
  <c r="B7" i="37"/>
  <c r="B8" i="37"/>
  <c r="B9" i="37"/>
  <c r="B10" i="37"/>
  <c r="B11" i="37"/>
  <c r="B12" i="37"/>
  <c r="B13" i="37"/>
  <c r="B14" i="37"/>
  <c r="B15" i="37"/>
  <c r="B16" i="37"/>
  <c r="B17" i="37"/>
  <c r="B18" i="37"/>
  <c r="B19" i="37"/>
  <c r="B20" i="37"/>
  <c r="B21" i="37"/>
  <c r="B22" i="37"/>
  <c r="B23" i="37"/>
  <c r="B24" i="37"/>
  <c r="B25" i="37"/>
  <c r="B26" i="37"/>
  <c r="B27" i="37"/>
  <c r="B28" i="37"/>
  <c r="B29" i="37"/>
  <c r="B31" i="37"/>
  <c r="B32" i="37"/>
  <c r="B33" i="37"/>
  <c r="B34" i="37"/>
  <c r="B35" i="37"/>
  <c r="B36" i="37"/>
  <c r="B37" i="37"/>
  <c r="B38" i="37"/>
  <c r="B39" i="37"/>
  <c r="B40" i="37"/>
  <c r="B41" i="37"/>
  <c r="B42" i="37"/>
  <c r="B43" i="37"/>
  <c r="B44" i="37"/>
  <c r="B45" i="37"/>
  <c r="B46" i="37"/>
  <c r="B47" i="37"/>
  <c r="B48" i="37"/>
  <c r="B49" i="37"/>
  <c r="B50" i="37"/>
  <c r="B51" i="37"/>
  <c r="B52" i="37"/>
  <c r="B53" i="37"/>
  <c r="B54" i="37"/>
  <c r="B55" i="37"/>
  <c r="B56" i="37"/>
  <c r="B57" i="37"/>
  <c r="B58" i="37"/>
  <c r="B59" i="37"/>
  <c r="B60" i="37"/>
  <c r="B61" i="37"/>
  <c r="B62" i="37"/>
  <c r="B63" i="37"/>
  <c r="B64" i="37"/>
  <c r="B65" i="37"/>
  <c r="B66" i="37"/>
  <c r="B67" i="37"/>
  <c r="B68" i="37"/>
  <c r="B69" i="37"/>
  <c r="B70" i="37"/>
  <c r="B71" i="37"/>
  <c r="B72" i="37"/>
  <c r="B73" i="37"/>
  <c r="B74" i="37"/>
  <c r="B75" i="37"/>
  <c r="B76" i="37"/>
  <c r="B77" i="37"/>
  <c r="B78" i="37"/>
  <c r="B79" i="37"/>
  <c r="B80" i="37"/>
  <c r="B81" i="37"/>
  <c r="B82" i="37"/>
  <c r="B2" i="37"/>
  <c r="B3" i="36"/>
  <c r="B4" i="36"/>
  <c r="B5" i="36"/>
  <c r="B6" i="36"/>
  <c r="B7" i="36"/>
  <c r="B8" i="36"/>
  <c r="B9" i="36"/>
  <c r="B10" i="36"/>
  <c r="B11" i="36"/>
  <c r="B12" i="36"/>
  <c r="B13" i="36"/>
  <c r="B14" i="36"/>
  <c r="B15" i="36"/>
  <c r="B16" i="36"/>
  <c r="B17" i="36"/>
  <c r="B18" i="36"/>
  <c r="B19" i="36"/>
  <c r="B20" i="36"/>
  <c r="B21" i="36"/>
  <c r="B22" i="36"/>
  <c r="B23" i="36"/>
  <c r="B24" i="36"/>
  <c r="B25" i="36"/>
  <c r="B26" i="36"/>
  <c r="B27" i="36"/>
  <c r="B28" i="36"/>
  <c r="B29" i="36"/>
  <c r="B30" i="36"/>
  <c r="B31" i="36"/>
  <c r="B32" i="36"/>
  <c r="B33" i="36"/>
  <c r="B34" i="36"/>
  <c r="B35" i="36"/>
  <c r="B36" i="36"/>
  <c r="B37" i="36"/>
  <c r="B38" i="36"/>
  <c r="B39" i="36"/>
  <c r="B40" i="36"/>
  <c r="B41" i="36"/>
  <c r="B42" i="36"/>
  <c r="B43" i="36"/>
  <c r="B44" i="36"/>
  <c r="B45" i="36"/>
  <c r="B46" i="36"/>
  <c r="B47" i="36"/>
  <c r="B48" i="36"/>
  <c r="B49" i="36"/>
  <c r="B50" i="36"/>
  <c r="B51" i="36"/>
  <c r="B52" i="36"/>
  <c r="B53" i="36"/>
  <c r="B54" i="36"/>
  <c r="B55" i="36"/>
  <c r="B56" i="36"/>
  <c r="B57" i="36"/>
  <c r="B58" i="36"/>
  <c r="B59" i="36"/>
  <c r="B60" i="36"/>
  <c r="B61" i="36"/>
  <c r="B62" i="36"/>
  <c r="B63" i="36"/>
  <c r="B64" i="36"/>
  <c r="B65" i="36"/>
  <c r="B66" i="36"/>
  <c r="B67" i="36"/>
  <c r="B68" i="36"/>
  <c r="B69" i="36"/>
  <c r="B70" i="36"/>
  <c r="B71" i="36"/>
  <c r="B72" i="36"/>
  <c r="B73" i="36"/>
  <c r="B74" i="36"/>
  <c r="B75" i="36"/>
  <c r="B76" i="36"/>
  <c r="B77" i="36"/>
  <c r="B78" i="36"/>
  <c r="B79" i="36"/>
  <c r="B80" i="36"/>
  <c r="B81" i="36"/>
  <c r="B82" i="36"/>
  <c r="B2" i="36"/>
  <c r="C89" i="36"/>
  <c r="B3" i="35"/>
  <c r="B4" i="35"/>
  <c r="B5" i="35"/>
  <c r="B6" i="35"/>
  <c r="B7" i="35"/>
  <c r="B8" i="35"/>
  <c r="B9" i="35"/>
  <c r="B10" i="35"/>
  <c r="B11" i="35"/>
  <c r="B12" i="35"/>
  <c r="B13" i="35"/>
  <c r="B14" i="35"/>
  <c r="B15" i="35"/>
  <c r="B16" i="35"/>
  <c r="B17" i="35"/>
  <c r="B18" i="35"/>
  <c r="B19" i="35"/>
  <c r="B20" i="35"/>
  <c r="B21" i="35"/>
  <c r="B22" i="35"/>
  <c r="B23" i="35"/>
  <c r="B24" i="35"/>
  <c r="B25" i="35"/>
  <c r="B26" i="35"/>
  <c r="B27" i="35"/>
  <c r="B28" i="35"/>
  <c r="B29" i="35"/>
  <c r="B30" i="35"/>
  <c r="B31" i="35"/>
  <c r="B32" i="35"/>
  <c r="B33" i="35"/>
  <c r="B34" i="35"/>
  <c r="B35" i="35"/>
  <c r="B36" i="35"/>
  <c r="B37" i="35"/>
  <c r="B38" i="35"/>
  <c r="B39" i="35"/>
  <c r="B40" i="35"/>
  <c r="B41" i="35"/>
  <c r="B42" i="35"/>
  <c r="B43" i="35"/>
  <c r="B44" i="35"/>
  <c r="B45" i="35"/>
  <c r="B46" i="35"/>
  <c r="B47" i="35"/>
  <c r="B48" i="35"/>
  <c r="B49" i="35"/>
  <c r="B50" i="35"/>
  <c r="B51" i="35"/>
  <c r="B52" i="35"/>
  <c r="B53" i="35"/>
  <c r="B54" i="35"/>
  <c r="B55" i="35"/>
  <c r="B56" i="35"/>
  <c r="B57" i="35"/>
  <c r="B58" i="35"/>
  <c r="B59" i="35"/>
  <c r="B60" i="35"/>
  <c r="B61" i="35"/>
  <c r="B62" i="35"/>
  <c r="B63" i="35"/>
  <c r="B64" i="35"/>
  <c r="B65" i="35"/>
  <c r="B66" i="35"/>
  <c r="B67" i="35"/>
  <c r="B68" i="35"/>
  <c r="B69" i="35"/>
  <c r="B70" i="35"/>
  <c r="B71" i="35"/>
  <c r="B72" i="35"/>
  <c r="B73" i="35"/>
  <c r="B74" i="35"/>
  <c r="B75" i="35"/>
  <c r="B76" i="35"/>
  <c r="B77" i="35"/>
  <c r="B78" i="35"/>
  <c r="B79" i="35"/>
  <c r="B80" i="35"/>
  <c r="B81" i="35"/>
  <c r="B82" i="35"/>
  <c r="B2" i="35"/>
  <c r="B4" i="34"/>
  <c r="B5" i="34"/>
  <c r="B6" i="34"/>
  <c r="B7" i="34"/>
  <c r="B8" i="34"/>
  <c r="B9" i="34"/>
  <c r="B10" i="34"/>
  <c r="B11" i="34"/>
  <c r="B12" i="34"/>
  <c r="B13" i="34"/>
  <c r="B14" i="34"/>
  <c r="B15" i="34"/>
  <c r="B16" i="34"/>
  <c r="B17" i="34"/>
  <c r="B18" i="34"/>
  <c r="B19" i="34"/>
  <c r="B20" i="34"/>
  <c r="B21" i="34"/>
  <c r="B22" i="34"/>
  <c r="B23" i="34"/>
  <c r="B24" i="34"/>
  <c r="B25" i="34"/>
  <c r="B26" i="34"/>
  <c r="B27" i="34"/>
  <c r="B28" i="34"/>
  <c r="B29" i="34"/>
  <c r="B30" i="34"/>
  <c r="B31" i="34"/>
  <c r="B32" i="34"/>
  <c r="B33" i="34"/>
  <c r="B34" i="34"/>
  <c r="B35" i="34"/>
  <c r="B36" i="34"/>
  <c r="B37" i="34"/>
  <c r="B38" i="34"/>
  <c r="B39" i="34"/>
  <c r="B40" i="34"/>
  <c r="B41" i="34"/>
  <c r="B42" i="34"/>
  <c r="B43" i="34"/>
  <c r="B44" i="34"/>
  <c r="B45" i="34"/>
  <c r="B46" i="34"/>
  <c r="B47" i="34"/>
  <c r="B48" i="34"/>
  <c r="B49" i="34"/>
  <c r="B50" i="34"/>
  <c r="B51" i="34"/>
  <c r="B52" i="34"/>
  <c r="B53" i="34"/>
  <c r="B54" i="34"/>
  <c r="B55" i="34"/>
  <c r="B56" i="34"/>
  <c r="B57" i="34"/>
  <c r="B58" i="34"/>
  <c r="B59" i="34"/>
  <c r="B60" i="34"/>
  <c r="B61" i="34"/>
  <c r="B62" i="34"/>
  <c r="B63" i="34"/>
  <c r="B64" i="34"/>
  <c r="B65" i="34"/>
  <c r="B66" i="34"/>
  <c r="B67" i="34"/>
  <c r="B68" i="34"/>
  <c r="B69" i="34"/>
  <c r="B70" i="34"/>
  <c r="B71" i="34"/>
  <c r="B72" i="34"/>
  <c r="B73" i="34"/>
  <c r="B74" i="34"/>
  <c r="B75" i="34"/>
  <c r="B76" i="34"/>
  <c r="B77" i="34"/>
  <c r="B78" i="34"/>
  <c r="B79" i="34"/>
  <c r="B80" i="34"/>
  <c r="B81" i="34"/>
  <c r="B82" i="34"/>
  <c r="B3" i="34"/>
  <c r="B2" i="34"/>
  <c r="B3" i="33"/>
  <c r="B4" i="33"/>
  <c r="B5" i="33"/>
  <c r="B6" i="33"/>
  <c r="B7" i="33"/>
  <c r="B8" i="33"/>
  <c r="B9" i="33"/>
  <c r="B10" i="33"/>
  <c r="B11" i="33"/>
  <c r="B12" i="33"/>
  <c r="B13" i="33"/>
  <c r="B14" i="33"/>
  <c r="B15" i="33"/>
  <c r="B16" i="33"/>
  <c r="B17" i="33"/>
  <c r="B18" i="33"/>
  <c r="B19" i="33"/>
  <c r="B20" i="33"/>
  <c r="B21" i="33"/>
  <c r="B22" i="33"/>
  <c r="B23" i="33"/>
  <c r="B24" i="33"/>
  <c r="B25" i="33"/>
  <c r="B26" i="33"/>
  <c r="B27" i="33"/>
  <c r="B28" i="33"/>
  <c r="B29" i="33"/>
  <c r="B30" i="33"/>
  <c r="B31" i="33"/>
  <c r="B32" i="33"/>
  <c r="B33" i="33"/>
  <c r="B34" i="33"/>
  <c r="B35" i="33"/>
  <c r="B36" i="33"/>
  <c r="B37" i="33"/>
  <c r="B38" i="33"/>
  <c r="B39" i="33"/>
  <c r="B40" i="33"/>
  <c r="B41" i="33"/>
  <c r="B42" i="33"/>
  <c r="B43" i="33"/>
  <c r="B44" i="33"/>
  <c r="B45" i="33"/>
  <c r="B46" i="33"/>
  <c r="B47" i="33"/>
  <c r="B48" i="33"/>
  <c r="B49" i="33"/>
  <c r="B50" i="33"/>
  <c r="B51" i="33"/>
  <c r="B52" i="33"/>
  <c r="B53" i="33"/>
  <c r="B54" i="33"/>
  <c r="B55" i="33"/>
  <c r="B56" i="33"/>
  <c r="B57" i="33"/>
  <c r="B58" i="33"/>
  <c r="B59" i="33"/>
  <c r="B60" i="33"/>
  <c r="B61" i="33"/>
  <c r="B62" i="33"/>
  <c r="B63" i="33"/>
  <c r="B64" i="33"/>
  <c r="B65" i="33"/>
  <c r="B66" i="33"/>
  <c r="B67" i="33"/>
  <c r="B68" i="33"/>
  <c r="B69" i="33"/>
  <c r="B70" i="33"/>
  <c r="B71" i="33"/>
  <c r="B72" i="33"/>
  <c r="B73" i="33"/>
  <c r="B74" i="33"/>
  <c r="B75" i="33"/>
  <c r="B76" i="33"/>
  <c r="B77" i="33"/>
  <c r="B78" i="33"/>
  <c r="B79" i="33"/>
  <c r="B80" i="33"/>
  <c r="B81" i="33"/>
  <c r="B82" i="33"/>
  <c r="B2" i="33"/>
  <c r="B3" i="32"/>
  <c r="B4" i="32"/>
  <c r="B5" i="32"/>
  <c r="B6" i="32"/>
  <c r="B7" i="32"/>
  <c r="B8" i="32"/>
  <c r="B9" i="32"/>
  <c r="B10" i="32"/>
  <c r="B11" i="32"/>
  <c r="B12" i="32"/>
  <c r="B13" i="32"/>
  <c r="B14" i="32"/>
  <c r="B15" i="32"/>
  <c r="B16" i="32"/>
  <c r="B17" i="32"/>
  <c r="B18" i="32"/>
  <c r="B19" i="32"/>
  <c r="B20" i="32"/>
  <c r="B21" i="32"/>
  <c r="B22" i="32"/>
  <c r="B23" i="32"/>
  <c r="B24" i="32"/>
  <c r="B25" i="32"/>
  <c r="B26" i="32"/>
  <c r="B27" i="32"/>
  <c r="B28" i="32"/>
  <c r="B29" i="32"/>
  <c r="B30" i="32"/>
  <c r="B31" i="32"/>
  <c r="B32" i="32"/>
  <c r="B33" i="32"/>
  <c r="B34" i="32"/>
  <c r="B35" i="32"/>
  <c r="B36" i="32"/>
  <c r="B37" i="32"/>
  <c r="B38" i="32"/>
  <c r="B39" i="32"/>
  <c r="B40" i="32"/>
  <c r="B41" i="32"/>
  <c r="B42" i="32"/>
  <c r="B43" i="32"/>
  <c r="B44" i="32"/>
  <c r="B45" i="32"/>
  <c r="B46" i="32"/>
  <c r="B47" i="32"/>
  <c r="B48" i="32"/>
  <c r="B49" i="32"/>
  <c r="B50" i="32"/>
  <c r="B51" i="32"/>
  <c r="B52" i="32"/>
  <c r="B53" i="32"/>
  <c r="B54" i="32"/>
  <c r="B55" i="32"/>
  <c r="B56" i="32"/>
  <c r="B57" i="32"/>
  <c r="B58" i="32"/>
  <c r="B59" i="32"/>
  <c r="B60" i="32"/>
  <c r="B61" i="32"/>
  <c r="B62" i="32"/>
  <c r="B63" i="32"/>
  <c r="B64" i="32"/>
  <c r="B65" i="32"/>
  <c r="B66" i="32"/>
  <c r="B67" i="32"/>
  <c r="B68" i="32"/>
  <c r="B69" i="32"/>
  <c r="B70" i="32"/>
  <c r="B71" i="32"/>
  <c r="B72" i="32"/>
  <c r="B73" i="32"/>
  <c r="B74" i="32"/>
  <c r="B75" i="32"/>
  <c r="B76" i="32"/>
  <c r="B77" i="32"/>
  <c r="B78" i="32"/>
  <c r="B79" i="32"/>
  <c r="B80" i="32"/>
  <c r="B81" i="32"/>
  <c r="B82" i="32"/>
  <c r="B2" i="32"/>
  <c r="B3" i="31"/>
  <c r="B4" i="31"/>
  <c r="B5" i="31"/>
  <c r="B6" i="31"/>
  <c r="B7" i="31"/>
  <c r="B8" i="31"/>
  <c r="B9" i="31"/>
  <c r="B10" i="31"/>
  <c r="B11" i="31"/>
  <c r="B12" i="31"/>
  <c r="B13" i="31"/>
  <c r="B14" i="31"/>
  <c r="B15" i="31"/>
  <c r="B16" i="31"/>
  <c r="B17" i="31"/>
  <c r="B18" i="31"/>
  <c r="B19" i="31"/>
  <c r="B20" i="31"/>
  <c r="B21" i="31"/>
  <c r="B22" i="31"/>
  <c r="B23" i="31"/>
  <c r="B24" i="31"/>
  <c r="B25" i="31"/>
  <c r="B26" i="31"/>
  <c r="B27" i="31"/>
  <c r="B28" i="31"/>
  <c r="B29" i="31"/>
  <c r="B30" i="31"/>
  <c r="B31" i="31"/>
  <c r="B32" i="31"/>
  <c r="B33" i="31"/>
  <c r="B34" i="31"/>
  <c r="B35" i="31"/>
  <c r="B36" i="31"/>
  <c r="B37" i="31"/>
  <c r="B38" i="31"/>
  <c r="B39" i="31"/>
  <c r="B40" i="31"/>
  <c r="B41" i="31"/>
  <c r="B42" i="31"/>
  <c r="B43" i="31"/>
  <c r="B44" i="31"/>
  <c r="B45" i="31"/>
  <c r="B46" i="31"/>
  <c r="B47" i="31"/>
  <c r="B48" i="31"/>
  <c r="B49" i="31"/>
  <c r="B50" i="31"/>
  <c r="B51" i="31"/>
  <c r="B52" i="31"/>
  <c r="B53" i="31"/>
  <c r="B54" i="31"/>
  <c r="B55" i="31"/>
  <c r="B56" i="31"/>
  <c r="B57" i="31"/>
  <c r="B58" i="31"/>
  <c r="B59" i="31"/>
  <c r="B60" i="31"/>
  <c r="B61" i="31"/>
  <c r="B62" i="31"/>
  <c r="B63" i="31"/>
  <c r="B64" i="31"/>
  <c r="B65" i="31"/>
  <c r="B66" i="31"/>
  <c r="B67" i="31"/>
  <c r="B68" i="31"/>
  <c r="B69" i="31"/>
  <c r="B70" i="31"/>
  <c r="B71" i="31"/>
  <c r="B72" i="31"/>
  <c r="B73" i="31"/>
  <c r="B74" i="31"/>
  <c r="B75" i="31"/>
  <c r="B76" i="31"/>
  <c r="B77" i="31"/>
  <c r="B78" i="31"/>
  <c r="B79" i="31"/>
  <c r="B80" i="31"/>
  <c r="B81" i="31"/>
  <c r="B82" i="31"/>
  <c r="B2" i="31"/>
  <c r="C2" i="31"/>
  <c r="B3" i="30"/>
  <c r="B4" i="30"/>
  <c r="B5" i="30"/>
  <c r="B6" i="30"/>
  <c r="B7" i="30"/>
  <c r="B8" i="30"/>
  <c r="B9" i="30"/>
  <c r="B10" i="30"/>
  <c r="B11" i="30"/>
  <c r="B12" i="30"/>
  <c r="B13" i="30"/>
  <c r="B14" i="30"/>
  <c r="B15" i="30"/>
  <c r="B16" i="30"/>
  <c r="B17" i="30"/>
  <c r="B18" i="30"/>
  <c r="B19" i="30"/>
  <c r="B20" i="30"/>
  <c r="B21" i="30"/>
  <c r="B22" i="30"/>
  <c r="B23" i="30"/>
  <c r="B24" i="30"/>
  <c r="B25" i="30"/>
  <c r="B26" i="30"/>
  <c r="B27" i="30"/>
  <c r="B28" i="30"/>
  <c r="B29" i="30"/>
  <c r="B30" i="30"/>
  <c r="B31" i="30"/>
  <c r="B32" i="30"/>
  <c r="B33" i="30"/>
  <c r="B34" i="30"/>
  <c r="B35" i="30"/>
  <c r="B36" i="30"/>
  <c r="B37" i="30"/>
  <c r="B38" i="30"/>
  <c r="B39" i="30"/>
  <c r="B40" i="30"/>
  <c r="B41" i="30"/>
  <c r="B42" i="30"/>
  <c r="B43" i="30"/>
  <c r="B44" i="30"/>
  <c r="B45" i="30"/>
  <c r="B46" i="30"/>
  <c r="B47" i="30"/>
  <c r="B48" i="30"/>
  <c r="B49" i="30"/>
  <c r="B50" i="30"/>
  <c r="B51" i="30"/>
  <c r="B52" i="30"/>
  <c r="B53" i="30"/>
  <c r="B54" i="30"/>
  <c r="B55" i="30"/>
  <c r="B56" i="30"/>
  <c r="B57" i="30"/>
  <c r="B58" i="30"/>
  <c r="B59" i="30"/>
  <c r="B60" i="30"/>
  <c r="B61" i="30"/>
  <c r="B62" i="30"/>
  <c r="B63" i="30"/>
  <c r="B64" i="30"/>
  <c r="B65" i="30"/>
  <c r="B66" i="30"/>
  <c r="B67" i="30"/>
  <c r="B68" i="30"/>
  <c r="B69" i="30"/>
  <c r="B70" i="30"/>
  <c r="B71" i="30"/>
  <c r="B72" i="30"/>
  <c r="B73" i="30"/>
  <c r="B74" i="30"/>
  <c r="B75" i="30"/>
  <c r="B76" i="30"/>
  <c r="B77" i="30"/>
  <c r="B78" i="30"/>
  <c r="B79" i="30"/>
  <c r="B80" i="30"/>
  <c r="B81" i="30"/>
  <c r="B82" i="30"/>
  <c r="B2" i="30"/>
  <c r="C2" i="30"/>
  <c r="B3" i="29"/>
  <c r="B4" i="29"/>
  <c r="B5" i="29"/>
  <c r="B6" i="29"/>
  <c r="B7" i="29"/>
  <c r="B8" i="29"/>
  <c r="B9" i="29"/>
  <c r="B10" i="29"/>
  <c r="B11" i="29"/>
  <c r="B12" i="29"/>
  <c r="B13" i="29"/>
  <c r="B14" i="29"/>
  <c r="B15" i="29"/>
  <c r="B16" i="29"/>
  <c r="B17" i="29"/>
  <c r="B18" i="29"/>
  <c r="B19" i="29"/>
  <c r="B20" i="29"/>
  <c r="B21" i="29"/>
  <c r="B22" i="29"/>
  <c r="B23" i="29"/>
  <c r="B24" i="29"/>
  <c r="B25" i="29"/>
  <c r="B26" i="29"/>
  <c r="B27" i="29"/>
  <c r="B28" i="29"/>
  <c r="B29" i="29"/>
  <c r="B30" i="29"/>
  <c r="B31" i="29"/>
  <c r="B32" i="29"/>
  <c r="B33" i="29"/>
  <c r="B34" i="29"/>
  <c r="B35" i="29"/>
  <c r="B36" i="29"/>
  <c r="B37" i="29"/>
  <c r="B38" i="29"/>
  <c r="B39" i="29"/>
  <c r="B40" i="29"/>
  <c r="B41" i="29"/>
  <c r="B42" i="29"/>
  <c r="B43" i="29"/>
  <c r="B44" i="29"/>
  <c r="B45" i="29"/>
  <c r="B46" i="29"/>
  <c r="B47" i="29"/>
  <c r="B48" i="29"/>
  <c r="B49" i="29"/>
  <c r="B50" i="29"/>
  <c r="B51" i="29"/>
  <c r="B52" i="29"/>
  <c r="B53" i="29"/>
  <c r="B54" i="29"/>
  <c r="B55" i="29"/>
  <c r="B56" i="29"/>
  <c r="B57" i="29"/>
  <c r="B58" i="29"/>
  <c r="B59" i="29"/>
  <c r="B60" i="29"/>
  <c r="B61" i="29"/>
  <c r="B62" i="29"/>
  <c r="B63" i="29"/>
  <c r="B64" i="29"/>
  <c r="B65" i="29"/>
  <c r="B66" i="29"/>
  <c r="B67" i="29"/>
  <c r="B68" i="29"/>
  <c r="B69" i="29"/>
  <c r="B70" i="29"/>
  <c r="B71" i="29"/>
  <c r="B72" i="29"/>
  <c r="B73" i="29"/>
  <c r="B74" i="29"/>
  <c r="B75" i="29"/>
  <c r="B76" i="29"/>
  <c r="B77" i="29"/>
  <c r="B78" i="29"/>
  <c r="B79" i="29"/>
  <c r="B80" i="29"/>
  <c r="B81" i="29"/>
  <c r="B82" i="29"/>
  <c r="B2" i="29"/>
  <c r="B3" i="28"/>
  <c r="B4" i="28"/>
  <c r="B5" i="28"/>
  <c r="B6" i="28"/>
  <c r="B7" i="28"/>
  <c r="B8" i="28"/>
  <c r="B9" i="28"/>
  <c r="B10" i="28"/>
  <c r="B11" i="28"/>
  <c r="B12" i="28"/>
  <c r="B13" i="28"/>
  <c r="B14" i="28"/>
  <c r="B15" i="28"/>
  <c r="B16" i="28"/>
  <c r="B17" i="28"/>
  <c r="B18" i="28"/>
  <c r="B19" i="28"/>
  <c r="B20" i="28"/>
  <c r="B21" i="28"/>
  <c r="B22" i="28"/>
  <c r="B23" i="28"/>
  <c r="B24" i="28"/>
  <c r="B25" i="28"/>
  <c r="B26" i="28"/>
  <c r="B27" i="28"/>
  <c r="B28" i="28"/>
  <c r="B29" i="28"/>
  <c r="B30" i="28"/>
  <c r="B31" i="28"/>
  <c r="B32" i="28"/>
  <c r="B33" i="28"/>
  <c r="B34" i="28"/>
  <c r="B35" i="28"/>
  <c r="B36" i="28"/>
  <c r="B37" i="28"/>
  <c r="B38" i="28"/>
  <c r="B39" i="28"/>
  <c r="B40" i="28"/>
  <c r="B41" i="28"/>
  <c r="B42" i="28"/>
  <c r="B43" i="28"/>
  <c r="B44" i="28"/>
  <c r="B45" i="28"/>
  <c r="B46" i="28"/>
  <c r="B47" i="28"/>
  <c r="B48" i="28"/>
  <c r="B49" i="28"/>
  <c r="B50" i="28"/>
  <c r="B51" i="28"/>
  <c r="B52" i="28"/>
  <c r="B53" i="28"/>
  <c r="B54" i="28"/>
  <c r="B55" i="28"/>
  <c r="B56" i="28"/>
  <c r="B57" i="28"/>
  <c r="B58" i="28"/>
  <c r="B59" i="28"/>
  <c r="B60" i="28"/>
  <c r="B61" i="28"/>
  <c r="B62" i="28"/>
  <c r="B63" i="28"/>
  <c r="B64" i="28"/>
  <c r="B65" i="28"/>
  <c r="B66" i="28"/>
  <c r="B67" i="28"/>
  <c r="B68" i="28"/>
  <c r="B69" i="28"/>
  <c r="B70" i="28"/>
  <c r="B71" i="28"/>
  <c r="B72" i="28"/>
  <c r="B73" i="28"/>
  <c r="B74" i="28"/>
  <c r="B75" i="28"/>
  <c r="B76" i="28"/>
  <c r="B77" i="28"/>
  <c r="B78" i="28"/>
  <c r="B79" i="28"/>
  <c r="B80" i="28"/>
  <c r="B81" i="28"/>
  <c r="B82" i="28"/>
  <c r="B2" i="28"/>
  <c r="C2" i="28"/>
  <c r="B3" i="27"/>
  <c r="B4" i="27"/>
  <c r="B5" i="27"/>
  <c r="B6" i="27"/>
  <c r="B7" i="27"/>
  <c r="B8" i="27"/>
  <c r="B9" i="27"/>
  <c r="B10" i="27"/>
  <c r="B11" i="27"/>
  <c r="B12" i="27"/>
  <c r="B13" i="27"/>
  <c r="B14" i="27"/>
  <c r="B15" i="27"/>
  <c r="B16" i="27"/>
  <c r="B17" i="27"/>
  <c r="B18" i="27"/>
  <c r="B19" i="27"/>
  <c r="B20" i="27"/>
  <c r="B21" i="27"/>
  <c r="B22" i="27"/>
  <c r="B23" i="27"/>
  <c r="B24" i="27"/>
  <c r="B25" i="27"/>
  <c r="B26" i="27"/>
  <c r="B27" i="27"/>
  <c r="B28" i="27"/>
  <c r="B29" i="27"/>
  <c r="B30" i="27"/>
  <c r="B31" i="27"/>
  <c r="B32" i="27"/>
  <c r="B33" i="27"/>
  <c r="B34" i="27"/>
  <c r="B35" i="27"/>
  <c r="B36" i="27"/>
  <c r="B37" i="27"/>
  <c r="B38" i="27"/>
  <c r="B39" i="27"/>
  <c r="B40" i="27"/>
  <c r="B41" i="27"/>
  <c r="B42" i="27"/>
  <c r="B43" i="27"/>
  <c r="B44" i="27"/>
  <c r="B45" i="27"/>
  <c r="B46" i="27"/>
  <c r="B47" i="27"/>
  <c r="B48" i="27"/>
  <c r="B49" i="27"/>
  <c r="B50" i="27"/>
  <c r="B51" i="27"/>
  <c r="B52" i="27"/>
  <c r="B53" i="27"/>
  <c r="B54" i="27"/>
  <c r="B55" i="27"/>
  <c r="B56" i="27"/>
  <c r="B57" i="27"/>
  <c r="B58" i="27"/>
  <c r="B59" i="27"/>
  <c r="B60" i="27"/>
  <c r="B61" i="27"/>
  <c r="B62" i="27"/>
  <c r="B63" i="27"/>
  <c r="B64" i="27"/>
  <c r="B65" i="27"/>
  <c r="B66" i="27"/>
  <c r="B67" i="27"/>
  <c r="B68" i="27"/>
  <c r="B69" i="27"/>
  <c r="B70" i="27"/>
  <c r="B71" i="27"/>
  <c r="B72" i="27"/>
  <c r="B73" i="27"/>
  <c r="B74" i="27"/>
  <c r="B75" i="27"/>
  <c r="B76" i="27"/>
  <c r="B77" i="27"/>
  <c r="B78" i="27"/>
  <c r="B79" i="27"/>
  <c r="B80" i="27"/>
  <c r="B81" i="27"/>
  <c r="B82" i="27"/>
  <c r="B2" i="27"/>
  <c r="C2" i="27"/>
  <c r="B3" i="26"/>
  <c r="B4" i="26"/>
  <c r="B5" i="26"/>
  <c r="B6" i="26"/>
  <c r="B7" i="26"/>
  <c r="B8" i="26"/>
  <c r="B9" i="26"/>
  <c r="B10" i="26"/>
  <c r="B11" i="26"/>
  <c r="B12" i="26"/>
  <c r="B13" i="26"/>
  <c r="B14" i="26"/>
  <c r="B15" i="26"/>
  <c r="B16" i="26"/>
  <c r="B17" i="26"/>
  <c r="B18" i="26"/>
  <c r="B19" i="26"/>
  <c r="B20" i="26"/>
  <c r="B21" i="26"/>
  <c r="B22" i="26"/>
  <c r="B23" i="26"/>
  <c r="B24" i="26"/>
  <c r="B25" i="26"/>
  <c r="B26" i="26"/>
  <c r="B27" i="26"/>
  <c r="B28" i="26"/>
  <c r="B29" i="26"/>
  <c r="B30" i="26"/>
  <c r="B31" i="26"/>
  <c r="B32" i="26"/>
  <c r="B33" i="26"/>
  <c r="B34" i="26"/>
  <c r="B35" i="26"/>
  <c r="B36" i="26"/>
  <c r="B37" i="26"/>
  <c r="B38" i="26"/>
  <c r="B39" i="26"/>
  <c r="B40" i="26"/>
  <c r="B41" i="26"/>
  <c r="B42" i="26"/>
  <c r="B43" i="26"/>
  <c r="B44" i="26"/>
  <c r="B45" i="26"/>
  <c r="B46" i="26"/>
  <c r="B47" i="26"/>
  <c r="B48" i="26"/>
  <c r="B49" i="26"/>
  <c r="B50" i="26"/>
  <c r="B51" i="26"/>
  <c r="B52" i="26"/>
  <c r="B53" i="26"/>
  <c r="B54" i="26"/>
  <c r="B55" i="26"/>
  <c r="B56" i="26"/>
  <c r="B57" i="26"/>
  <c r="B58" i="26"/>
  <c r="B59" i="26"/>
  <c r="B60" i="26"/>
  <c r="B61" i="26"/>
  <c r="B62" i="26"/>
  <c r="B63" i="26"/>
  <c r="B64" i="26"/>
  <c r="B65" i="26"/>
  <c r="B66" i="26"/>
  <c r="B67" i="26"/>
  <c r="B68" i="26"/>
  <c r="B69" i="26"/>
  <c r="B70" i="26"/>
  <c r="B71" i="26"/>
  <c r="B72" i="26"/>
  <c r="B73" i="26"/>
  <c r="B74" i="26"/>
  <c r="B75" i="26"/>
  <c r="B76" i="26"/>
  <c r="B77" i="26"/>
  <c r="B78" i="26"/>
  <c r="B79" i="26"/>
  <c r="B80" i="26"/>
  <c r="B81" i="26"/>
  <c r="B82" i="26"/>
  <c r="B2" i="26"/>
  <c r="B3" i="25"/>
  <c r="B4" i="25"/>
  <c r="B5" i="25"/>
  <c r="B6" i="25"/>
  <c r="B7" i="25"/>
  <c r="B8" i="25"/>
  <c r="B9" i="25"/>
  <c r="B10" i="25"/>
  <c r="B11" i="25"/>
  <c r="B12" i="25"/>
  <c r="B13" i="25"/>
  <c r="B14" i="25"/>
  <c r="B15" i="25"/>
  <c r="B16" i="25"/>
  <c r="B17" i="25"/>
  <c r="B18" i="25"/>
  <c r="B19" i="25"/>
  <c r="B20" i="25"/>
  <c r="B21" i="25"/>
  <c r="B22" i="25"/>
  <c r="B23" i="25"/>
  <c r="B24" i="25"/>
  <c r="B25" i="25"/>
  <c r="B26" i="25"/>
  <c r="B27" i="25"/>
  <c r="B28" i="25"/>
  <c r="B29" i="25"/>
  <c r="B30" i="25"/>
  <c r="B31" i="25"/>
  <c r="B32" i="25"/>
  <c r="B33" i="25"/>
  <c r="B34" i="25"/>
  <c r="B35" i="25"/>
  <c r="B36" i="25"/>
  <c r="B37" i="25"/>
  <c r="B38" i="25"/>
  <c r="B39" i="25"/>
  <c r="B40" i="25"/>
  <c r="B41" i="25"/>
  <c r="B42" i="25"/>
  <c r="B43" i="25"/>
  <c r="B44" i="25"/>
  <c r="B45" i="25"/>
  <c r="B46" i="25"/>
  <c r="B47" i="25"/>
  <c r="B48" i="25"/>
  <c r="B49" i="25"/>
  <c r="B50" i="25"/>
  <c r="B51" i="25"/>
  <c r="B52" i="25"/>
  <c r="B53" i="25"/>
  <c r="B54" i="25"/>
  <c r="B55" i="25"/>
  <c r="B56" i="25"/>
  <c r="B57" i="25"/>
  <c r="B58" i="25"/>
  <c r="B59" i="25"/>
  <c r="B60" i="25"/>
  <c r="B61" i="25"/>
  <c r="B62" i="25"/>
  <c r="B63" i="25"/>
  <c r="B64" i="25"/>
  <c r="B65" i="25"/>
  <c r="B66" i="25"/>
  <c r="B67" i="25"/>
  <c r="B68" i="25"/>
  <c r="B69" i="25"/>
  <c r="B70" i="25"/>
  <c r="B71" i="25"/>
  <c r="B72" i="25"/>
  <c r="B73" i="25"/>
  <c r="B74" i="25"/>
  <c r="B75" i="25"/>
  <c r="B76" i="25"/>
  <c r="B77" i="25"/>
  <c r="B78" i="25"/>
  <c r="B79" i="25"/>
  <c r="B80" i="25"/>
  <c r="B81" i="25"/>
  <c r="B82" i="25"/>
  <c r="B2" i="25"/>
  <c r="C5" i="25"/>
  <c r="B3" i="24"/>
  <c r="B4" i="24"/>
  <c r="B5" i="24"/>
  <c r="B6" i="24"/>
  <c r="B7" i="24"/>
  <c r="B8" i="24"/>
  <c r="B9" i="24"/>
  <c r="B10" i="24"/>
  <c r="B11" i="24"/>
  <c r="B12" i="24"/>
  <c r="B13" i="24"/>
  <c r="B14" i="24"/>
  <c r="B15" i="24"/>
  <c r="B16" i="24"/>
  <c r="B17" i="24"/>
  <c r="B18" i="24"/>
  <c r="B19" i="24"/>
  <c r="B20" i="24"/>
  <c r="B21" i="24"/>
  <c r="B22" i="24"/>
  <c r="B23" i="24"/>
  <c r="B24" i="24"/>
  <c r="B25" i="24"/>
  <c r="B26" i="24"/>
  <c r="B27" i="24"/>
  <c r="B28" i="24"/>
  <c r="B29" i="24"/>
  <c r="B30" i="24"/>
  <c r="B31" i="24"/>
  <c r="B32" i="24"/>
  <c r="B33" i="24"/>
  <c r="B34" i="24"/>
  <c r="B35" i="24"/>
  <c r="B36" i="24"/>
  <c r="B37" i="24"/>
  <c r="B38" i="24"/>
  <c r="B39" i="24"/>
  <c r="B40" i="24"/>
  <c r="B41" i="24"/>
  <c r="B42" i="24"/>
  <c r="B43" i="24"/>
  <c r="B44" i="24"/>
  <c r="B45" i="24"/>
  <c r="B46" i="24"/>
  <c r="B47" i="24"/>
  <c r="B48" i="24"/>
  <c r="B49" i="24"/>
  <c r="B50" i="24"/>
  <c r="B51" i="24"/>
  <c r="B52" i="24"/>
  <c r="B53" i="24"/>
  <c r="B54" i="24"/>
  <c r="B55" i="24"/>
  <c r="B56" i="24"/>
  <c r="B57" i="24"/>
  <c r="B58" i="24"/>
  <c r="B59" i="24"/>
  <c r="B60" i="24"/>
  <c r="B61" i="24"/>
  <c r="B62" i="24"/>
  <c r="B63" i="24"/>
  <c r="B64" i="24"/>
  <c r="B65" i="24"/>
  <c r="B66" i="24"/>
  <c r="B67" i="24"/>
  <c r="B68" i="24"/>
  <c r="B69" i="24"/>
  <c r="B70" i="24"/>
  <c r="B71" i="24"/>
  <c r="B72" i="24"/>
  <c r="B73" i="24"/>
  <c r="B74" i="24"/>
  <c r="B75" i="24"/>
  <c r="B76" i="24"/>
  <c r="B77" i="24"/>
  <c r="B78" i="24"/>
  <c r="B79" i="24"/>
  <c r="B80" i="24"/>
  <c r="B81" i="24"/>
  <c r="B82" i="24"/>
  <c r="B2" i="24"/>
  <c r="C2" i="24"/>
  <c r="B3" i="23"/>
  <c r="B4" i="23"/>
  <c r="B5" i="23"/>
  <c r="B6" i="23"/>
  <c r="B7" i="23"/>
  <c r="B8" i="23"/>
  <c r="B9" i="23"/>
  <c r="B10" i="23"/>
  <c r="B11" i="23"/>
  <c r="B12" i="23"/>
  <c r="B13" i="23"/>
  <c r="B14" i="23"/>
  <c r="B15" i="23"/>
  <c r="B16" i="23"/>
  <c r="B17" i="23"/>
  <c r="B18" i="23"/>
  <c r="B19" i="23"/>
  <c r="B20" i="23"/>
  <c r="B21" i="23"/>
  <c r="B22" i="23"/>
  <c r="B23" i="23"/>
  <c r="B24" i="23"/>
  <c r="B25" i="23"/>
  <c r="B26" i="23"/>
  <c r="B27" i="23"/>
  <c r="B28" i="23"/>
  <c r="B29" i="23"/>
  <c r="B30" i="23"/>
  <c r="B31" i="23"/>
  <c r="B32" i="23"/>
  <c r="B33" i="23"/>
  <c r="B34" i="23"/>
  <c r="B35" i="23"/>
  <c r="B36" i="23"/>
  <c r="B37" i="23"/>
  <c r="B38" i="23"/>
  <c r="B39" i="23"/>
  <c r="B40" i="23"/>
  <c r="B41" i="23"/>
  <c r="B42" i="23"/>
  <c r="B43" i="23"/>
  <c r="B44" i="23"/>
  <c r="B45" i="23"/>
  <c r="B46" i="23"/>
  <c r="B47" i="23"/>
  <c r="B48" i="23"/>
  <c r="B49" i="23"/>
  <c r="B50" i="23"/>
  <c r="B51" i="23"/>
  <c r="B52" i="23"/>
  <c r="B53" i="23"/>
  <c r="B54" i="23"/>
  <c r="B55" i="23"/>
  <c r="B56" i="23"/>
  <c r="B57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2" i="23"/>
  <c r="C2" i="23"/>
  <c r="B3" i="22"/>
  <c r="B4" i="22"/>
  <c r="B5" i="22"/>
  <c r="B6" i="22"/>
  <c r="B7" i="22"/>
  <c r="B8" i="22"/>
  <c r="B9" i="22"/>
  <c r="B10" i="22"/>
  <c r="B11" i="22"/>
  <c r="B12" i="22"/>
  <c r="B13" i="22"/>
  <c r="B14" i="22"/>
  <c r="B15" i="22"/>
  <c r="B16" i="22"/>
  <c r="B17" i="22"/>
  <c r="B18" i="22"/>
  <c r="B19" i="22"/>
  <c r="B20" i="22"/>
  <c r="B21" i="22"/>
  <c r="B22" i="22"/>
  <c r="B23" i="22"/>
  <c r="B24" i="22"/>
  <c r="B25" i="22"/>
  <c r="B26" i="22"/>
  <c r="B27" i="22"/>
  <c r="B28" i="22"/>
  <c r="B29" i="22"/>
  <c r="B30" i="22"/>
  <c r="B31" i="22"/>
  <c r="B32" i="22"/>
  <c r="B33" i="22"/>
  <c r="B34" i="22"/>
  <c r="B35" i="22"/>
  <c r="B36" i="22"/>
  <c r="B37" i="22"/>
  <c r="B38" i="22"/>
  <c r="B39" i="22"/>
  <c r="B40" i="22"/>
  <c r="B41" i="22"/>
  <c r="B42" i="22"/>
  <c r="B43" i="22"/>
  <c r="B44" i="22"/>
  <c r="B45" i="22"/>
  <c r="B46" i="22"/>
  <c r="B47" i="22"/>
  <c r="B48" i="22"/>
  <c r="B49" i="22"/>
  <c r="B50" i="22"/>
  <c r="B51" i="22"/>
  <c r="B52" i="22"/>
  <c r="B53" i="22"/>
  <c r="B54" i="22"/>
  <c r="B55" i="22"/>
  <c r="B56" i="22"/>
  <c r="B57" i="22"/>
  <c r="B58" i="22"/>
  <c r="B59" i="22"/>
  <c r="B60" i="22"/>
  <c r="B61" i="22"/>
  <c r="B62" i="22"/>
  <c r="B63" i="22"/>
  <c r="B64" i="22"/>
  <c r="B65" i="22"/>
  <c r="B66" i="22"/>
  <c r="B67" i="22"/>
  <c r="B68" i="22"/>
  <c r="B69" i="22"/>
  <c r="B70" i="22"/>
  <c r="B71" i="22"/>
  <c r="B72" i="22"/>
  <c r="B73" i="22"/>
  <c r="B74" i="22"/>
  <c r="B75" i="22"/>
  <c r="B76" i="22"/>
  <c r="B77" i="22"/>
  <c r="B78" i="22"/>
  <c r="B79" i="22"/>
  <c r="B80" i="22"/>
  <c r="B81" i="22"/>
  <c r="B82" i="22"/>
  <c r="B2" i="22"/>
  <c r="C2" i="22"/>
  <c r="B3" i="21"/>
  <c r="B4" i="21"/>
  <c r="B5" i="21"/>
  <c r="B6" i="21"/>
  <c r="B7" i="21"/>
  <c r="B8" i="21"/>
  <c r="B9" i="21"/>
  <c r="B10" i="21"/>
  <c r="B11" i="21"/>
  <c r="B12" i="21"/>
  <c r="B13" i="21"/>
  <c r="B14" i="21"/>
  <c r="B15" i="21"/>
  <c r="B16" i="21"/>
  <c r="B17" i="21"/>
  <c r="B18" i="21"/>
  <c r="B19" i="21"/>
  <c r="B20" i="21"/>
  <c r="B21" i="21"/>
  <c r="B22" i="21"/>
  <c r="B23" i="21"/>
  <c r="B24" i="21"/>
  <c r="B25" i="21"/>
  <c r="B26" i="21"/>
  <c r="B27" i="21"/>
  <c r="B28" i="21"/>
  <c r="B29" i="21"/>
  <c r="B30" i="21"/>
  <c r="B31" i="21"/>
  <c r="B32" i="21"/>
  <c r="B33" i="21"/>
  <c r="B34" i="21"/>
  <c r="B35" i="21"/>
  <c r="B36" i="21"/>
  <c r="B37" i="21"/>
  <c r="B38" i="21"/>
  <c r="B39" i="21"/>
  <c r="B40" i="21"/>
  <c r="B41" i="21"/>
  <c r="B42" i="21"/>
  <c r="B43" i="21"/>
  <c r="B44" i="21"/>
  <c r="B45" i="21"/>
  <c r="B46" i="21"/>
  <c r="B47" i="21"/>
  <c r="B48" i="21"/>
  <c r="B49" i="21"/>
  <c r="B50" i="21"/>
  <c r="B51" i="21"/>
  <c r="B52" i="21"/>
  <c r="B53" i="21"/>
  <c r="B54" i="21"/>
  <c r="B55" i="21"/>
  <c r="B56" i="21"/>
  <c r="B57" i="21"/>
  <c r="B58" i="21"/>
  <c r="B59" i="21"/>
  <c r="B60" i="21"/>
  <c r="B61" i="21"/>
  <c r="B62" i="21"/>
  <c r="B63" i="21"/>
  <c r="B64" i="21"/>
  <c r="B65" i="21"/>
  <c r="B66" i="21"/>
  <c r="B67" i="21"/>
  <c r="B68" i="21"/>
  <c r="B69" i="21"/>
  <c r="B70" i="21"/>
  <c r="B71" i="21"/>
  <c r="B72" i="21"/>
  <c r="B73" i="21"/>
  <c r="B74" i="21"/>
  <c r="B75" i="21"/>
  <c r="B76" i="21"/>
  <c r="B77" i="21"/>
  <c r="B78" i="21"/>
  <c r="B79" i="21"/>
  <c r="B80" i="21"/>
  <c r="B81" i="21"/>
  <c r="B82" i="21"/>
  <c r="B2" i="21"/>
  <c r="B3" i="20"/>
  <c r="B4" i="20"/>
  <c r="B5" i="20"/>
  <c r="B6" i="20"/>
  <c r="B7" i="20"/>
  <c r="B8" i="20"/>
  <c r="B9" i="20"/>
  <c r="B10" i="20"/>
  <c r="B11" i="20"/>
  <c r="B12" i="20"/>
  <c r="B13" i="20"/>
  <c r="B14" i="20"/>
  <c r="B15" i="20"/>
  <c r="B16" i="20"/>
  <c r="B17" i="20"/>
  <c r="B18" i="20"/>
  <c r="B19" i="20"/>
  <c r="B20" i="20"/>
  <c r="B21" i="20"/>
  <c r="B22" i="20"/>
  <c r="B23" i="20"/>
  <c r="B24" i="20"/>
  <c r="B25" i="20"/>
  <c r="B26" i="20"/>
  <c r="B27" i="20"/>
  <c r="B28" i="20"/>
  <c r="B29" i="20"/>
  <c r="B30" i="20"/>
  <c r="B31" i="20"/>
  <c r="B32" i="20"/>
  <c r="B33" i="20"/>
  <c r="B34" i="20"/>
  <c r="B35" i="20"/>
  <c r="B36" i="20"/>
  <c r="B37" i="20"/>
  <c r="B38" i="20"/>
  <c r="B39" i="20"/>
  <c r="B40" i="20"/>
  <c r="B41" i="20"/>
  <c r="B42" i="20"/>
  <c r="B43" i="20"/>
  <c r="B44" i="20"/>
  <c r="B45" i="20"/>
  <c r="B46" i="20"/>
  <c r="B47" i="20"/>
  <c r="B48" i="20"/>
  <c r="B49" i="20"/>
  <c r="B50" i="20"/>
  <c r="B51" i="20"/>
  <c r="B52" i="20"/>
  <c r="B53" i="20"/>
  <c r="B54" i="20"/>
  <c r="B55" i="20"/>
  <c r="B56" i="20"/>
  <c r="B57" i="20"/>
  <c r="B58" i="20"/>
  <c r="B59" i="20"/>
  <c r="B60" i="20"/>
  <c r="B61" i="20"/>
  <c r="B62" i="20"/>
  <c r="B63" i="20"/>
  <c r="B64" i="20"/>
  <c r="B65" i="20"/>
  <c r="B66" i="20"/>
  <c r="B67" i="20"/>
  <c r="B68" i="20"/>
  <c r="B69" i="20"/>
  <c r="B70" i="20"/>
  <c r="B71" i="20"/>
  <c r="B72" i="20"/>
  <c r="B73" i="20"/>
  <c r="B74" i="20"/>
  <c r="B75" i="20"/>
  <c r="B76" i="20"/>
  <c r="B77" i="20"/>
  <c r="B78" i="20"/>
  <c r="B79" i="20"/>
  <c r="B80" i="20"/>
  <c r="B81" i="20"/>
  <c r="B82" i="20"/>
  <c r="B2" i="20"/>
  <c r="B3" i="19"/>
  <c r="B4" i="19"/>
  <c r="B5" i="19"/>
  <c r="B6" i="19"/>
  <c r="B7" i="19"/>
  <c r="B8" i="19"/>
  <c r="B9" i="19"/>
  <c r="B10" i="19"/>
  <c r="B11" i="19"/>
  <c r="B12" i="19"/>
  <c r="B13" i="19"/>
  <c r="B14" i="19"/>
  <c r="B15" i="19"/>
  <c r="B16" i="19"/>
  <c r="B17" i="19"/>
  <c r="B18" i="19"/>
  <c r="B19" i="19"/>
  <c r="B20" i="19"/>
  <c r="B21" i="19"/>
  <c r="B22" i="19"/>
  <c r="B23" i="19"/>
  <c r="B24" i="19"/>
  <c r="B25" i="19"/>
  <c r="B26" i="19"/>
  <c r="B27" i="19"/>
  <c r="B28" i="19"/>
  <c r="B29" i="19"/>
  <c r="B30" i="19"/>
  <c r="B31" i="19"/>
  <c r="B32" i="19"/>
  <c r="B33" i="19"/>
  <c r="B34" i="19"/>
  <c r="B35" i="19"/>
  <c r="B36" i="19"/>
  <c r="B37" i="19"/>
  <c r="B38" i="19"/>
  <c r="B39" i="19"/>
  <c r="B40" i="19"/>
  <c r="B41" i="19"/>
  <c r="B42" i="19"/>
  <c r="B43" i="19"/>
  <c r="B44" i="19"/>
  <c r="B45" i="19"/>
  <c r="B46" i="19"/>
  <c r="B47" i="19"/>
  <c r="B48" i="19"/>
  <c r="B49" i="19"/>
  <c r="B50" i="19"/>
  <c r="B51" i="19"/>
  <c r="B52" i="19"/>
  <c r="B53" i="19"/>
  <c r="B54" i="19"/>
  <c r="B55" i="19"/>
  <c r="B56" i="19"/>
  <c r="B57" i="19"/>
  <c r="B58" i="19"/>
  <c r="B59" i="19"/>
  <c r="B60" i="19"/>
  <c r="B61" i="19"/>
  <c r="B62" i="19"/>
  <c r="B63" i="19"/>
  <c r="B64" i="19"/>
  <c r="B65" i="19"/>
  <c r="B66" i="19"/>
  <c r="B67" i="19"/>
  <c r="B68" i="19"/>
  <c r="B69" i="19"/>
  <c r="B70" i="19"/>
  <c r="B71" i="19"/>
  <c r="B72" i="19"/>
  <c r="B73" i="19"/>
  <c r="B74" i="19"/>
  <c r="B75" i="19"/>
  <c r="B76" i="19"/>
  <c r="B77" i="19"/>
  <c r="B78" i="19"/>
  <c r="B79" i="19"/>
  <c r="B80" i="19"/>
  <c r="B81" i="19"/>
  <c r="B82" i="19"/>
  <c r="B2" i="19"/>
  <c r="B3" i="18"/>
  <c r="B4" i="18"/>
  <c r="B5" i="18"/>
  <c r="B6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B28" i="18"/>
  <c r="B29" i="18"/>
  <c r="B30" i="18"/>
  <c r="B31" i="18"/>
  <c r="B32" i="18"/>
  <c r="B33" i="18"/>
  <c r="B34" i="18"/>
  <c r="B35" i="18"/>
  <c r="B36" i="18"/>
  <c r="B37" i="18"/>
  <c r="B38" i="18"/>
  <c r="B39" i="18"/>
  <c r="B40" i="18"/>
  <c r="B41" i="18"/>
  <c r="B42" i="18"/>
  <c r="B43" i="18"/>
  <c r="B44" i="18"/>
  <c r="B45" i="18"/>
  <c r="B46" i="18"/>
  <c r="B47" i="18"/>
  <c r="B48" i="18"/>
  <c r="B49" i="18"/>
  <c r="B50" i="18"/>
  <c r="B51" i="18"/>
  <c r="B52" i="18"/>
  <c r="B53" i="18"/>
  <c r="B54" i="18"/>
  <c r="B55" i="18"/>
  <c r="B56" i="18"/>
  <c r="B57" i="18"/>
  <c r="B58" i="18"/>
  <c r="B59" i="18"/>
  <c r="B60" i="18"/>
  <c r="B61" i="18"/>
  <c r="B62" i="18"/>
  <c r="B63" i="18"/>
  <c r="B64" i="18"/>
  <c r="B65" i="18"/>
  <c r="B66" i="18"/>
  <c r="B67" i="18"/>
  <c r="B68" i="18"/>
  <c r="B69" i="18"/>
  <c r="B70" i="18"/>
  <c r="B71" i="18"/>
  <c r="B72" i="18"/>
  <c r="B73" i="18"/>
  <c r="B74" i="18"/>
  <c r="B75" i="18"/>
  <c r="B76" i="18"/>
  <c r="B77" i="18"/>
  <c r="B78" i="18"/>
  <c r="B79" i="18"/>
  <c r="B80" i="18"/>
  <c r="B81" i="18"/>
  <c r="B82" i="18"/>
  <c r="B2" i="18"/>
  <c r="C2" i="18"/>
  <c r="B3" i="17"/>
  <c r="B4" i="17"/>
  <c r="B5" i="17"/>
  <c r="B6" i="17"/>
  <c r="B7" i="17"/>
  <c r="B8" i="17"/>
  <c r="B9" i="17"/>
  <c r="B10" i="17"/>
  <c r="B11" i="17"/>
  <c r="B12" i="17"/>
  <c r="B13" i="17"/>
  <c r="B14" i="17"/>
  <c r="B15" i="17"/>
  <c r="B16" i="17"/>
  <c r="B17" i="17"/>
  <c r="B18" i="17"/>
  <c r="B19" i="17"/>
  <c r="B20" i="17"/>
  <c r="B21" i="17"/>
  <c r="B22" i="17"/>
  <c r="B23" i="17"/>
  <c r="B24" i="17"/>
  <c r="B25" i="17"/>
  <c r="B26" i="17"/>
  <c r="B27" i="17"/>
  <c r="B28" i="17"/>
  <c r="B29" i="17"/>
  <c r="B30" i="17"/>
  <c r="B31" i="17"/>
  <c r="B32" i="17"/>
  <c r="B33" i="17"/>
  <c r="B34" i="17"/>
  <c r="B35" i="17"/>
  <c r="B36" i="17"/>
  <c r="B37" i="17"/>
  <c r="B38" i="17"/>
  <c r="B39" i="17"/>
  <c r="B40" i="17"/>
  <c r="B41" i="17"/>
  <c r="B42" i="17"/>
  <c r="B43" i="17"/>
  <c r="B44" i="17"/>
  <c r="B45" i="17"/>
  <c r="B46" i="17"/>
  <c r="B47" i="17"/>
  <c r="B48" i="17"/>
  <c r="B49" i="17"/>
  <c r="B50" i="17"/>
  <c r="B51" i="17"/>
  <c r="B52" i="17"/>
  <c r="B53" i="17"/>
  <c r="B54" i="17"/>
  <c r="B55" i="17"/>
  <c r="B56" i="17"/>
  <c r="B57" i="17"/>
  <c r="B58" i="17"/>
  <c r="B59" i="17"/>
  <c r="B60" i="17"/>
  <c r="B61" i="17"/>
  <c r="B62" i="17"/>
  <c r="B63" i="17"/>
  <c r="B64" i="17"/>
  <c r="B65" i="17"/>
  <c r="B66" i="17"/>
  <c r="B67" i="17"/>
  <c r="B68" i="17"/>
  <c r="B69" i="17"/>
  <c r="B70" i="17"/>
  <c r="B71" i="17"/>
  <c r="B72" i="17"/>
  <c r="B73" i="17"/>
  <c r="B74" i="17"/>
  <c r="B75" i="17"/>
  <c r="B76" i="17"/>
  <c r="B77" i="17"/>
  <c r="B78" i="17"/>
  <c r="B79" i="17"/>
  <c r="B80" i="17"/>
  <c r="B81" i="17"/>
  <c r="B82" i="17"/>
  <c r="B2" i="17"/>
  <c r="B3" i="16"/>
  <c r="B4" i="16"/>
  <c r="B5" i="16"/>
  <c r="B6" i="16"/>
  <c r="B7" i="16"/>
  <c r="B8" i="16"/>
  <c r="B9" i="16"/>
  <c r="B10" i="16"/>
  <c r="B11" i="16"/>
  <c r="B12" i="16"/>
  <c r="B13" i="16"/>
  <c r="B14" i="16"/>
  <c r="B15" i="16"/>
  <c r="B16" i="16"/>
  <c r="B17" i="16"/>
  <c r="B18" i="16"/>
  <c r="B19" i="16"/>
  <c r="B20" i="16"/>
  <c r="B21" i="16"/>
  <c r="B22" i="16"/>
  <c r="B23" i="16"/>
  <c r="B24" i="16"/>
  <c r="B25" i="16"/>
  <c r="B26" i="16"/>
  <c r="B27" i="16"/>
  <c r="B28" i="16"/>
  <c r="B29" i="16"/>
  <c r="B30" i="16"/>
  <c r="B31" i="16"/>
  <c r="B32" i="16"/>
  <c r="B33" i="16"/>
  <c r="B34" i="16"/>
  <c r="B35" i="16"/>
  <c r="B36" i="16"/>
  <c r="B37" i="16"/>
  <c r="B38" i="16"/>
  <c r="B39" i="16"/>
  <c r="B40" i="16"/>
  <c r="B41" i="16"/>
  <c r="B42" i="16"/>
  <c r="B43" i="16"/>
  <c r="B44" i="16"/>
  <c r="B45" i="16"/>
  <c r="B46" i="16"/>
  <c r="B47" i="16"/>
  <c r="B48" i="16"/>
  <c r="B49" i="16"/>
  <c r="B50" i="16"/>
  <c r="B51" i="16"/>
  <c r="B52" i="16"/>
  <c r="B53" i="16"/>
  <c r="B54" i="16"/>
  <c r="B55" i="16"/>
  <c r="B56" i="16"/>
  <c r="B57" i="16"/>
  <c r="B58" i="16"/>
  <c r="B59" i="16"/>
  <c r="B60" i="16"/>
  <c r="B61" i="16"/>
  <c r="B62" i="16"/>
  <c r="B63" i="16"/>
  <c r="B64" i="16"/>
  <c r="B65" i="16"/>
  <c r="B66" i="16"/>
  <c r="B67" i="16"/>
  <c r="B68" i="16"/>
  <c r="B69" i="16"/>
  <c r="B70" i="16"/>
  <c r="B71" i="16"/>
  <c r="B72" i="16"/>
  <c r="B73" i="16"/>
  <c r="B74" i="16"/>
  <c r="B75" i="16"/>
  <c r="B76" i="16"/>
  <c r="B77" i="16"/>
  <c r="B78" i="16"/>
  <c r="B79" i="16"/>
  <c r="B80" i="16"/>
  <c r="B81" i="16"/>
  <c r="B82" i="16"/>
  <c r="B2" i="16"/>
  <c r="C2" i="16"/>
  <c r="B3" i="15"/>
  <c r="B4" i="15"/>
  <c r="B5" i="15"/>
  <c r="B6" i="15"/>
  <c r="B7" i="15"/>
  <c r="B8" i="15"/>
  <c r="B9" i="15"/>
  <c r="B10" i="15"/>
  <c r="B11" i="15"/>
  <c r="B12" i="15"/>
  <c r="B13" i="15"/>
  <c r="B14" i="15"/>
  <c r="B15" i="15"/>
  <c r="B16" i="15"/>
  <c r="B17" i="15"/>
  <c r="B18" i="15"/>
  <c r="B19" i="15"/>
  <c r="B20" i="15"/>
  <c r="B21" i="15"/>
  <c r="B22" i="15"/>
  <c r="B23" i="15"/>
  <c r="B24" i="15"/>
  <c r="B25" i="15"/>
  <c r="B26" i="15"/>
  <c r="B27" i="15"/>
  <c r="B28" i="15"/>
  <c r="B29" i="15"/>
  <c r="B30" i="15"/>
  <c r="B31" i="15"/>
  <c r="B32" i="15"/>
  <c r="B33" i="15"/>
  <c r="B34" i="15"/>
  <c r="B35" i="15"/>
  <c r="B36" i="15"/>
  <c r="B37" i="15"/>
  <c r="B38" i="15"/>
  <c r="B39" i="15"/>
  <c r="B40" i="15"/>
  <c r="B41" i="15"/>
  <c r="B42" i="15"/>
  <c r="B43" i="15"/>
  <c r="B44" i="15"/>
  <c r="B45" i="15"/>
  <c r="B46" i="15"/>
  <c r="B47" i="15"/>
  <c r="B48" i="15"/>
  <c r="B49" i="15"/>
  <c r="B50" i="15"/>
  <c r="B51" i="15"/>
  <c r="B52" i="15"/>
  <c r="B53" i="15"/>
  <c r="B54" i="15"/>
  <c r="B55" i="15"/>
  <c r="B56" i="15"/>
  <c r="B57" i="15"/>
  <c r="B58" i="15"/>
  <c r="B59" i="15"/>
  <c r="B60" i="15"/>
  <c r="B61" i="15"/>
  <c r="B62" i="15"/>
  <c r="B63" i="15"/>
  <c r="B64" i="15"/>
  <c r="B65" i="15"/>
  <c r="B66" i="15"/>
  <c r="B67" i="15"/>
  <c r="B68" i="15"/>
  <c r="B69" i="15"/>
  <c r="B70" i="15"/>
  <c r="B71" i="15"/>
  <c r="B72" i="15"/>
  <c r="B73" i="15"/>
  <c r="B74" i="15"/>
  <c r="B75" i="15"/>
  <c r="B76" i="15"/>
  <c r="B77" i="15"/>
  <c r="B78" i="15"/>
  <c r="B79" i="15"/>
  <c r="B80" i="15"/>
  <c r="B81" i="15"/>
  <c r="B82" i="15"/>
  <c r="B2" i="15"/>
  <c r="B3" i="14"/>
  <c r="B4" i="14"/>
  <c r="B5" i="14"/>
  <c r="B6" i="14"/>
  <c r="B7" i="14"/>
  <c r="B8" i="14"/>
  <c r="B9" i="14"/>
  <c r="B10" i="14"/>
  <c r="B11" i="14"/>
  <c r="B12" i="14"/>
  <c r="B13" i="14"/>
  <c r="B14" i="14"/>
  <c r="B15" i="14"/>
  <c r="B16" i="14"/>
  <c r="B17" i="14"/>
  <c r="B18" i="14"/>
  <c r="B19" i="14"/>
  <c r="B20" i="14"/>
  <c r="B21" i="14"/>
  <c r="B22" i="14"/>
  <c r="B23" i="14"/>
  <c r="B24" i="14"/>
  <c r="B25" i="14"/>
  <c r="B26" i="14"/>
  <c r="B27" i="14"/>
  <c r="B28" i="14"/>
  <c r="B29" i="14"/>
  <c r="B30" i="14"/>
  <c r="B31" i="14"/>
  <c r="B32" i="14"/>
  <c r="B33" i="14"/>
  <c r="B34" i="14"/>
  <c r="B35" i="14"/>
  <c r="B36" i="14"/>
  <c r="B37" i="14"/>
  <c r="B38" i="14"/>
  <c r="B39" i="14"/>
  <c r="B40" i="14"/>
  <c r="B41" i="14"/>
  <c r="B42" i="14"/>
  <c r="B43" i="14"/>
  <c r="B44" i="14"/>
  <c r="B45" i="14"/>
  <c r="B46" i="14"/>
  <c r="B47" i="14"/>
  <c r="B48" i="14"/>
  <c r="B49" i="14"/>
  <c r="B50" i="14"/>
  <c r="B51" i="14"/>
  <c r="B52" i="14"/>
  <c r="B53" i="14"/>
  <c r="B54" i="14"/>
  <c r="B55" i="14"/>
  <c r="B56" i="14"/>
  <c r="B57" i="14"/>
  <c r="B58" i="14"/>
  <c r="B59" i="14"/>
  <c r="B60" i="14"/>
  <c r="B61" i="14"/>
  <c r="B62" i="14"/>
  <c r="B63" i="14"/>
  <c r="B64" i="14"/>
  <c r="B65" i="14"/>
  <c r="B66" i="14"/>
  <c r="B67" i="14"/>
  <c r="B68" i="14"/>
  <c r="B69" i="14"/>
  <c r="B70" i="14"/>
  <c r="B71" i="14"/>
  <c r="B72" i="14"/>
  <c r="B73" i="14"/>
  <c r="B74" i="14"/>
  <c r="B75" i="14"/>
  <c r="B76" i="14"/>
  <c r="B77" i="14"/>
  <c r="B78" i="14"/>
  <c r="B79" i="14"/>
  <c r="B80" i="14"/>
  <c r="B81" i="14"/>
  <c r="B82" i="14"/>
  <c r="B2" i="14"/>
  <c r="C88" i="14"/>
  <c r="B3" i="13"/>
  <c r="B4" i="13"/>
  <c r="B5" i="13"/>
  <c r="B6" i="13"/>
  <c r="B7" i="13"/>
  <c r="B8" i="13"/>
  <c r="B9" i="13"/>
  <c r="B10" i="13"/>
  <c r="B11" i="13"/>
  <c r="B12" i="13"/>
  <c r="B13" i="13"/>
  <c r="B14" i="13"/>
  <c r="B15" i="13"/>
  <c r="B16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  <c r="B31" i="13"/>
  <c r="B32" i="13"/>
  <c r="B33" i="13"/>
  <c r="B34" i="13"/>
  <c r="B35" i="13"/>
  <c r="B36" i="13"/>
  <c r="B37" i="13"/>
  <c r="B38" i="13"/>
  <c r="B39" i="13"/>
  <c r="B40" i="13"/>
  <c r="B41" i="13"/>
  <c r="B42" i="13"/>
  <c r="B43" i="13"/>
  <c r="B44" i="13"/>
  <c r="B45" i="13"/>
  <c r="B46" i="13"/>
  <c r="B47" i="13"/>
  <c r="B48" i="13"/>
  <c r="B49" i="13"/>
  <c r="B50" i="13"/>
  <c r="B51" i="13"/>
  <c r="B52" i="13"/>
  <c r="B53" i="13"/>
  <c r="B54" i="13"/>
  <c r="B55" i="13"/>
  <c r="B56" i="13"/>
  <c r="B57" i="13"/>
  <c r="B58" i="13"/>
  <c r="B59" i="13"/>
  <c r="B60" i="13"/>
  <c r="B61" i="13"/>
  <c r="B62" i="13"/>
  <c r="B63" i="13"/>
  <c r="B64" i="13"/>
  <c r="B65" i="13"/>
  <c r="B66" i="13"/>
  <c r="B67" i="13"/>
  <c r="B68" i="13"/>
  <c r="B69" i="13"/>
  <c r="B70" i="13"/>
  <c r="B71" i="13"/>
  <c r="B72" i="13"/>
  <c r="B73" i="13"/>
  <c r="B74" i="13"/>
  <c r="B75" i="13"/>
  <c r="B76" i="13"/>
  <c r="B77" i="13"/>
  <c r="B78" i="13"/>
  <c r="B79" i="13"/>
  <c r="B80" i="13"/>
  <c r="B81" i="13"/>
  <c r="B82" i="13"/>
  <c r="B2" i="13"/>
  <c r="C2" i="13"/>
  <c r="B3" i="12"/>
  <c r="B4" i="12"/>
  <c r="B5" i="12"/>
  <c r="B6" i="12"/>
  <c r="B7" i="12"/>
  <c r="B8" i="12"/>
  <c r="B9" i="12"/>
  <c r="B10" i="12"/>
  <c r="B11" i="12"/>
  <c r="B12" i="12"/>
  <c r="B13" i="12"/>
  <c r="B14" i="12"/>
  <c r="B15" i="12"/>
  <c r="B16" i="12"/>
  <c r="B17" i="12"/>
  <c r="B18" i="12"/>
  <c r="B19" i="12"/>
  <c r="B20" i="12"/>
  <c r="B21" i="12"/>
  <c r="B22" i="12"/>
  <c r="B23" i="12"/>
  <c r="B24" i="12"/>
  <c r="B25" i="12"/>
  <c r="B26" i="12"/>
  <c r="B27" i="12"/>
  <c r="B28" i="12"/>
  <c r="B29" i="12"/>
  <c r="B30" i="12"/>
  <c r="B31" i="12"/>
  <c r="B32" i="12"/>
  <c r="B33" i="12"/>
  <c r="B34" i="12"/>
  <c r="B35" i="12"/>
  <c r="B36" i="12"/>
  <c r="B37" i="12"/>
  <c r="B38" i="12"/>
  <c r="B39" i="12"/>
  <c r="B40" i="12"/>
  <c r="B41" i="12"/>
  <c r="B42" i="12"/>
  <c r="B43" i="12"/>
  <c r="B44" i="12"/>
  <c r="B45" i="12"/>
  <c r="B46" i="12"/>
  <c r="B47" i="12"/>
  <c r="B48" i="12"/>
  <c r="B49" i="12"/>
  <c r="B50" i="12"/>
  <c r="B51" i="12"/>
  <c r="B52" i="12"/>
  <c r="B53" i="12"/>
  <c r="B54" i="12"/>
  <c r="B55" i="12"/>
  <c r="B56" i="12"/>
  <c r="B57" i="12"/>
  <c r="B58" i="12"/>
  <c r="B59" i="12"/>
  <c r="B60" i="12"/>
  <c r="B61" i="12"/>
  <c r="B62" i="12"/>
  <c r="B63" i="12"/>
  <c r="B64" i="12"/>
  <c r="B65" i="12"/>
  <c r="B66" i="12"/>
  <c r="B67" i="12"/>
  <c r="B68" i="12"/>
  <c r="B69" i="12"/>
  <c r="B70" i="12"/>
  <c r="B71" i="12"/>
  <c r="B72" i="12"/>
  <c r="B73" i="12"/>
  <c r="B74" i="12"/>
  <c r="B75" i="12"/>
  <c r="B76" i="12"/>
  <c r="B77" i="12"/>
  <c r="B78" i="12"/>
  <c r="B79" i="12"/>
  <c r="B80" i="12"/>
  <c r="B81" i="12"/>
  <c r="B82" i="12"/>
  <c r="B2" i="12"/>
  <c r="C2" i="12"/>
  <c r="B3" i="11"/>
  <c r="B4" i="11"/>
  <c r="B5" i="11"/>
  <c r="B6" i="11"/>
  <c r="B7" i="11"/>
  <c r="B8" i="11"/>
  <c r="B9" i="11"/>
  <c r="B10" i="11"/>
  <c r="B11" i="11"/>
  <c r="B12" i="11"/>
  <c r="B13" i="11"/>
  <c r="B14" i="11"/>
  <c r="B15" i="11"/>
  <c r="B16" i="11"/>
  <c r="B17" i="11"/>
  <c r="B18" i="11"/>
  <c r="B19" i="11"/>
  <c r="B20" i="11"/>
  <c r="B21" i="11"/>
  <c r="B22" i="11"/>
  <c r="B23" i="11"/>
  <c r="B24" i="11"/>
  <c r="B25" i="11"/>
  <c r="B26" i="11"/>
  <c r="B27" i="11"/>
  <c r="B28" i="11"/>
  <c r="B29" i="11"/>
  <c r="B30" i="11"/>
  <c r="B31" i="11"/>
  <c r="B32" i="11"/>
  <c r="B33" i="11"/>
  <c r="B34" i="11"/>
  <c r="B35" i="11"/>
  <c r="B36" i="11"/>
  <c r="B37" i="11"/>
  <c r="B38" i="11"/>
  <c r="B39" i="11"/>
  <c r="B40" i="11"/>
  <c r="B41" i="11"/>
  <c r="B42" i="11"/>
  <c r="B43" i="11"/>
  <c r="B44" i="11"/>
  <c r="B45" i="11"/>
  <c r="B46" i="11"/>
  <c r="B47" i="11"/>
  <c r="B48" i="11"/>
  <c r="B49" i="11"/>
  <c r="B50" i="11"/>
  <c r="B51" i="11"/>
  <c r="B52" i="11"/>
  <c r="B53" i="11"/>
  <c r="B54" i="11"/>
  <c r="B55" i="11"/>
  <c r="B56" i="11"/>
  <c r="B57" i="11"/>
  <c r="B58" i="11"/>
  <c r="B59" i="11"/>
  <c r="B60" i="11"/>
  <c r="B61" i="11"/>
  <c r="B62" i="11"/>
  <c r="B63" i="11"/>
  <c r="B64" i="11"/>
  <c r="B65" i="11"/>
  <c r="B66" i="11"/>
  <c r="B67" i="11"/>
  <c r="B68" i="11"/>
  <c r="B69" i="11"/>
  <c r="B70" i="11"/>
  <c r="B71" i="11"/>
  <c r="B72" i="11"/>
  <c r="B73" i="11"/>
  <c r="B74" i="11"/>
  <c r="B75" i="11"/>
  <c r="B76" i="11"/>
  <c r="B77" i="11"/>
  <c r="B78" i="11"/>
  <c r="B79" i="11"/>
  <c r="B80" i="11"/>
  <c r="B81" i="11"/>
  <c r="B82" i="11"/>
  <c r="B2" i="11"/>
  <c r="B3" i="10"/>
  <c r="B4" i="10"/>
  <c r="B5" i="10"/>
  <c r="B6" i="10"/>
  <c r="B7" i="10"/>
  <c r="B8" i="10"/>
  <c r="B9" i="10"/>
  <c r="B10" i="10"/>
  <c r="B11" i="10"/>
  <c r="B12" i="10"/>
  <c r="B13" i="10"/>
  <c r="B14" i="10"/>
  <c r="B15" i="10"/>
  <c r="B16" i="10"/>
  <c r="B17" i="10"/>
  <c r="B18" i="10"/>
  <c r="B19" i="10"/>
  <c r="B20" i="10"/>
  <c r="B21" i="10"/>
  <c r="B22" i="10"/>
  <c r="B23" i="10"/>
  <c r="B24" i="10"/>
  <c r="B25" i="10"/>
  <c r="B26" i="10"/>
  <c r="B27" i="10"/>
  <c r="B28" i="10"/>
  <c r="B29" i="10"/>
  <c r="B30" i="10"/>
  <c r="B31" i="10"/>
  <c r="B32" i="10"/>
  <c r="B33" i="10"/>
  <c r="B34" i="10"/>
  <c r="B35" i="10"/>
  <c r="B36" i="10"/>
  <c r="B37" i="10"/>
  <c r="B38" i="10"/>
  <c r="B39" i="10"/>
  <c r="B40" i="10"/>
  <c r="B41" i="10"/>
  <c r="B42" i="10"/>
  <c r="B43" i="10"/>
  <c r="B44" i="10"/>
  <c r="B45" i="10"/>
  <c r="B46" i="10"/>
  <c r="B47" i="10"/>
  <c r="B48" i="10"/>
  <c r="B49" i="10"/>
  <c r="B50" i="10"/>
  <c r="B51" i="10"/>
  <c r="B52" i="10"/>
  <c r="B53" i="10"/>
  <c r="B54" i="10"/>
  <c r="B55" i="10"/>
  <c r="B56" i="10"/>
  <c r="B57" i="10"/>
  <c r="B58" i="10"/>
  <c r="B59" i="10"/>
  <c r="B60" i="10"/>
  <c r="B61" i="10"/>
  <c r="B62" i="10"/>
  <c r="B63" i="10"/>
  <c r="B64" i="10"/>
  <c r="B65" i="10"/>
  <c r="B66" i="10"/>
  <c r="B67" i="10"/>
  <c r="B68" i="10"/>
  <c r="B69" i="10"/>
  <c r="B70" i="10"/>
  <c r="B71" i="10"/>
  <c r="B72" i="10"/>
  <c r="B73" i="10"/>
  <c r="B74" i="10"/>
  <c r="B75" i="10"/>
  <c r="B76" i="10"/>
  <c r="B77" i="10"/>
  <c r="B78" i="10"/>
  <c r="B79" i="10"/>
  <c r="B80" i="10"/>
  <c r="B81" i="10"/>
  <c r="B82" i="10"/>
  <c r="B2" i="10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B31" i="9"/>
  <c r="B32" i="9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B50" i="9"/>
  <c r="B51" i="9"/>
  <c r="B52" i="9"/>
  <c r="B53" i="9"/>
  <c r="B54" i="9"/>
  <c r="B55" i="9"/>
  <c r="B56" i="9"/>
  <c r="B57" i="9"/>
  <c r="B58" i="9"/>
  <c r="B59" i="9"/>
  <c r="B60" i="9"/>
  <c r="B61" i="9"/>
  <c r="B62" i="9"/>
  <c r="B63" i="9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2" i="9"/>
  <c r="B3" i="8"/>
  <c r="B4" i="8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3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2" i="8"/>
  <c r="B82" i="7"/>
  <c r="B81" i="7"/>
  <c r="B80" i="7"/>
  <c r="B79" i="7"/>
  <c r="B78" i="7"/>
  <c r="B77" i="7"/>
  <c r="B76" i="7"/>
  <c r="B75" i="7"/>
  <c r="B74" i="7"/>
  <c r="B73" i="7"/>
  <c r="B72" i="7"/>
  <c r="B71" i="7"/>
  <c r="B70" i="7"/>
  <c r="B69" i="7"/>
  <c r="B68" i="7"/>
  <c r="B67" i="7"/>
  <c r="B66" i="7"/>
  <c r="B65" i="7"/>
  <c r="B64" i="7"/>
  <c r="B63" i="7"/>
  <c r="B62" i="7"/>
  <c r="B61" i="7"/>
  <c r="B60" i="7"/>
  <c r="B59" i="7"/>
  <c r="B58" i="7"/>
  <c r="B57" i="7"/>
  <c r="B56" i="7"/>
  <c r="B55" i="7"/>
  <c r="B54" i="7"/>
  <c r="B53" i="7"/>
  <c r="B52" i="7"/>
  <c r="B51" i="7"/>
  <c r="B50" i="7"/>
  <c r="B49" i="7"/>
  <c r="B48" i="7"/>
  <c r="B47" i="7"/>
  <c r="B46" i="7"/>
  <c r="B45" i="7"/>
  <c r="B44" i="7"/>
  <c r="B43" i="7"/>
  <c r="B42" i="7"/>
  <c r="B41" i="7"/>
  <c r="B40" i="7"/>
  <c r="B39" i="7"/>
  <c r="B38" i="7"/>
  <c r="B37" i="7"/>
  <c r="B36" i="7"/>
  <c r="B35" i="7"/>
  <c r="B34" i="7"/>
  <c r="B33" i="7"/>
  <c r="B32" i="7"/>
  <c r="B31" i="7"/>
  <c r="B30" i="7"/>
  <c r="B29" i="7"/>
  <c r="B28" i="7"/>
  <c r="B27" i="7"/>
  <c r="B26" i="7"/>
  <c r="B25" i="7"/>
  <c r="B24" i="7"/>
  <c r="B23" i="7"/>
  <c r="B22" i="7"/>
  <c r="B21" i="7"/>
  <c r="B20" i="7"/>
  <c r="B19" i="7"/>
  <c r="B18" i="7"/>
  <c r="B17" i="7"/>
  <c r="B16" i="7"/>
  <c r="B15" i="7"/>
  <c r="B14" i="7"/>
  <c r="B13" i="7"/>
  <c r="B12" i="7"/>
  <c r="B11" i="7"/>
  <c r="B10" i="7"/>
  <c r="B9" i="7"/>
  <c r="B8" i="7"/>
  <c r="B7" i="7"/>
  <c r="B6" i="7"/>
  <c r="B5" i="7"/>
  <c r="B4" i="7"/>
  <c r="B3" i="7"/>
  <c r="B2" i="7"/>
  <c r="C2" i="7"/>
  <c r="B3" i="6"/>
  <c r="B4" i="6"/>
  <c r="B5" i="6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2" i="6"/>
  <c r="C2" i="6"/>
  <c r="B82" i="5"/>
  <c r="B81" i="5"/>
  <c r="B80" i="5"/>
  <c r="B79" i="5"/>
  <c r="B78" i="5"/>
  <c r="B77" i="5"/>
  <c r="B76" i="5"/>
  <c r="B75" i="5"/>
  <c r="B74" i="5"/>
  <c r="B73" i="5"/>
  <c r="B72" i="5"/>
  <c r="B71" i="5"/>
  <c r="B70" i="5"/>
  <c r="B69" i="5"/>
  <c r="B68" i="5"/>
  <c r="B67" i="5"/>
  <c r="B66" i="5"/>
  <c r="B65" i="5"/>
  <c r="B64" i="5"/>
  <c r="B63" i="5"/>
  <c r="B62" i="5"/>
  <c r="B61" i="5"/>
  <c r="B60" i="5"/>
  <c r="B59" i="5"/>
  <c r="B58" i="5"/>
  <c r="B57" i="5"/>
  <c r="B56" i="5"/>
  <c r="B55" i="5"/>
  <c r="B54" i="5"/>
  <c r="B53" i="5"/>
  <c r="B52" i="5"/>
  <c r="B51" i="5"/>
  <c r="B50" i="5"/>
  <c r="B49" i="5"/>
  <c r="B48" i="5"/>
  <c r="B47" i="5"/>
  <c r="B46" i="5"/>
  <c r="B45" i="5"/>
  <c r="B44" i="5"/>
  <c r="B43" i="5"/>
  <c r="B42" i="5"/>
  <c r="B41" i="5"/>
  <c r="B40" i="5"/>
  <c r="B39" i="5"/>
  <c r="B38" i="5"/>
  <c r="B37" i="5"/>
  <c r="B36" i="5"/>
  <c r="B35" i="5"/>
  <c r="B34" i="5"/>
  <c r="B33" i="5"/>
  <c r="B32" i="5"/>
  <c r="B31" i="5"/>
  <c r="B30" i="5"/>
  <c r="B29" i="5"/>
  <c r="B28" i="5"/>
  <c r="B27" i="5"/>
  <c r="B26" i="5"/>
  <c r="B25" i="5"/>
  <c r="B24" i="5"/>
  <c r="B23" i="5"/>
  <c r="B22" i="5"/>
  <c r="B21" i="5"/>
  <c r="B20" i="5"/>
  <c r="B19" i="5"/>
  <c r="B18" i="5"/>
  <c r="B17" i="5"/>
  <c r="B16" i="5"/>
  <c r="B15" i="5"/>
  <c r="B14" i="5"/>
  <c r="B13" i="5"/>
  <c r="B12" i="5"/>
  <c r="B11" i="5"/>
  <c r="B10" i="5"/>
  <c r="B9" i="5"/>
  <c r="B8" i="5"/>
  <c r="B7" i="5"/>
  <c r="B6" i="5"/>
  <c r="B5" i="5"/>
  <c r="B4" i="5"/>
  <c r="B3" i="5"/>
  <c r="B2" i="5"/>
  <c r="C2" i="5"/>
  <c r="B82" i="4"/>
  <c r="B2" i="4"/>
  <c r="C2" i="4"/>
  <c r="B81" i="4"/>
  <c r="B80" i="4"/>
  <c r="B79" i="4"/>
  <c r="B78" i="4"/>
  <c r="B77" i="4"/>
  <c r="B76" i="4"/>
  <c r="B75" i="4"/>
  <c r="B74" i="4"/>
  <c r="B73" i="4"/>
  <c r="B72" i="4"/>
  <c r="B71" i="4"/>
  <c r="B70" i="4"/>
  <c r="B69" i="4"/>
  <c r="B68" i="4"/>
  <c r="B67" i="4"/>
  <c r="B66" i="4"/>
  <c r="B65" i="4"/>
  <c r="B64" i="4"/>
  <c r="B63" i="4"/>
  <c r="B62" i="4"/>
  <c r="B61" i="4"/>
  <c r="B60" i="4"/>
  <c r="B59" i="4"/>
  <c r="B58" i="4"/>
  <c r="B57" i="4"/>
  <c r="B56" i="4"/>
  <c r="B55" i="4"/>
  <c r="B54" i="4"/>
  <c r="B53" i="4"/>
  <c r="B52" i="4"/>
  <c r="B51" i="4"/>
  <c r="B50" i="4"/>
  <c r="B49" i="4"/>
  <c r="B48" i="4"/>
  <c r="B47" i="4"/>
  <c r="B46" i="4"/>
  <c r="B45" i="4"/>
  <c r="B44" i="4"/>
  <c r="B43" i="4"/>
  <c r="B42" i="4"/>
  <c r="B41" i="4"/>
  <c r="B40" i="4"/>
  <c r="B39" i="4"/>
  <c r="B38" i="4"/>
  <c r="B37" i="4"/>
  <c r="B36" i="4"/>
  <c r="B35" i="4"/>
  <c r="B34" i="4"/>
  <c r="B33" i="4"/>
  <c r="B32" i="4"/>
  <c r="B31" i="4"/>
  <c r="B30" i="4"/>
  <c r="B29" i="4"/>
  <c r="B28" i="4"/>
  <c r="B27" i="4"/>
  <c r="B26" i="4"/>
  <c r="B25" i="4"/>
  <c r="B24" i="4"/>
  <c r="B23" i="4"/>
  <c r="B22" i="4"/>
  <c r="B21" i="4"/>
  <c r="B20" i="4"/>
  <c r="B19" i="4"/>
  <c r="B18" i="4"/>
  <c r="B17" i="4"/>
  <c r="B16" i="4"/>
  <c r="B15" i="4"/>
  <c r="B14" i="4"/>
  <c r="B13" i="4"/>
  <c r="B12" i="4"/>
  <c r="B11" i="4"/>
  <c r="B10" i="4"/>
  <c r="B9" i="4"/>
  <c r="B8" i="4"/>
  <c r="B7" i="4"/>
  <c r="B6" i="4"/>
  <c r="B5" i="4"/>
  <c r="B4" i="4"/>
  <c r="B3" i="4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2" i="2"/>
  <c r="C2" i="2"/>
  <c r="C8" i="32"/>
  <c r="H6" i="44"/>
  <c r="J6" i="44"/>
  <c r="N3" i="44"/>
  <c r="K8" i="43"/>
  <c r="N7" i="44"/>
  <c r="K12" i="43"/>
  <c r="H2" i="44"/>
  <c r="J2" i="44"/>
  <c r="J4" i="44"/>
  <c r="N2" i="44"/>
  <c r="K7" i="43"/>
  <c r="J3" i="44"/>
  <c r="J7" i="44"/>
  <c r="N6" i="44"/>
  <c r="K11" i="43"/>
  <c r="G7" i="43"/>
  <c r="J5" i="44"/>
  <c r="N4" i="44"/>
  <c r="K9" i="43"/>
  <c r="G9" i="43"/>
  <c r="N5" i="44"/>
  <c r="K10" i="43"/>
  <c r="I2" i="42"/>
  <c r="L10" i="44"/>
  <c r="G5" i="42"/>
  <c r="I5" i="42"/>
  <c r="K11" i="42"/>
  <c r="M11" i="42"/>
  <c r="G26" i="42"/>
  <c r="I26" i="42"/>
  <c r="G9" i="42"/>
  <c r="I9" i="42"/>
  <c r="H10" i="44"/>
  <c r="F15" i="43"/>
  <c r="G57" i="42"/>
  <c r="I57" i="42"/>
  <c r="G16" i="42"/>
  <c r="I16" i="42"/>
  <c r="G41" i="42"/>
  <c r="I41" i="42"/>
  <c r="G73" i="42"/>
  <c r="I73" i="42"/>
  <c r="G21" i="42"/>
  <c r="I21" i="42"/>
  <c r="L11" i="44"/>
  <c r="F10" i="43"/>
  <c r="G65" i="42"/>
  <c r="I65" i="42"/>
  <c r="G33" i="42"/>
  <c r="I33" i="42"/>
  <c r="G18" i="42"/>
  <c r="I18" i="42"/>
  <c r="H11" i="44"/>
  <c r="K3" i="42"/>
  <c r="M3" i="42"/>
  <c r="K5" i="42"/>
  <c r="M5" i="42"/>
  <c r="G81" i="42"/>
  <c r="I81" i="42"/>
  <c r="G49" i="42"/>
  <c r="I49" i="42"/>
  <c r="G23" i="42"/>
  <c r="I23" i="42"/>
  <c r="G14" i="42"/>
  <c r="I14" i="42"/>
  <c r="G11" i="42"/>
  <c r="I11" i="42"/>
  <c r="F9" i="43"/>
  <c r="G69" i="42"/>
  <c r="I69" i="42"/>
  <c r="G53" i="42"/>
  <c r="I53" i="42"/>
  <c r="G37" i="42"/>
  <c r="I37" i="42"/>
  <c r="G25" i="42"/>
  <c r="I25" i="42"/>
  <c r="G20" i="42"/>
  <c r="I20" i="42"/>
  <c r="G15" i="42"/>
  <c r="I15" i="42"/>
  <c r="G4" i="42"/>
  <c r="I4" i="42"/>
  <c r="K2" i="42"/>
  <c r="M2" i="42"/>
  <c r="G77" i="42"/>
  <c r="I77" i="42"/>
  <c r="G61" i="42"/>
  <c r="I61" i="42"/>
  <c r="G45" i="42"/>
  <c r="I45" i="42"/>
  <c r="G29" i="42"/>
  <c r="I29" i="42"/>
  <c r="G22" i="42"/>
  <c r="I22" i="42"/>
  <c r="G17" i="42"/>
  <c r="I17" i="42"/>
  <c r="G13" i="42"/>
  <c r="I13" i="42"/>
  <c r="K9" i="42"/>
  <c r="M9" i="42"/>
  <c r="L8" i="44"/>
  <c r="G80" i="42"/>
  <c r="I80" i="42"/>
  <c r="G76" i="42"/>
  <c r="I76" i="42"/>
  <c r="G72" i="42"/>
  <c r="I72" i="42"/>
  <c r="G68" i="42"/>
  <c r="I68" i="42"/>
  <c r="G64" i="42"/>
  <c r="I64" i="42"/>
  <c r="G60" i="42"/>
  <c r="I60" i="42"/>
  <c r="G56" i="42"/>
  <c r="I56" i="42"/>
  <c r="G52" i="42"/>
  <c r="I52" i="42"/>
  <c r="G48" i="42"/>
  <c r="I48" i="42"/>
  <c r="G44" i="42"/>
  <c r="I44" i="42"/>
  <c r="G40" i="42"/>
  <c r="I40" i="42"/>
  <c r="G36" i="42"/>
  <c r="I36" i="42"/>
  <c r="G32" i="42"/>
  <c r="I32" i="42"/>
  <c r="G28" i="42"/>
  <c r="I28" i="42"/>
  <c r="G24" i="42"/>
  <c r="I24" i="42"/>
  <c r="I12" i="42"/>
  <c r="K8" i="42"/>
  <c r="M8" i="42"/>
  <c r="L9" i="44"/>
  <c r="G79" i="42"/>
  <c r="I79" i="42"/>
  <c r="G75" i="42"/>
  <c r="I75" i="42"/>
  <c r="G71" i="42"/>
  <c r="I71" i="42"/>
  <c r="G67" i="42"/>
  <c r="I67" i="42"/>
  <c r="G63" i="42"/>
  <c r="I63" i="42"/>
  <c r="G59" i="42"/>
  <c r="I59" i="42"/>
  <c r="G55" i="42"/>
  <c r="I55" i="42"/>
  <c r="G51" i="42"/>
  <c r="I51" i="42"/>
  <c r="G47" i="42"/>
  <c r="I47" i="42"/>
  <c r="G43" i="42"/>
  <c r="I43" i="42"/>
  <c r="G39" i="42"/>
  <c r="I39" i="42"/>
  <c r="G35" i="42"/>
  <c r="I35" i="42"/>
  <c r="G31" i="42"/>
  <c r="I31" i="42"/>
  <c r="G27" i="42"/>
  <c r="I27" i="42"/>
  <c r="G19" i="42"/>
  <c r="I19" i="42"/>
  <c r="G8" i="42"/>
  <c r="I8" i="42"/>
  <c r="H9" i="44"/>
  <c r="F14" i="43"/>
  <c r="H8" i="44"/>
  <c r="G78" i="42"/>
  <c r="I78" i="42"/>
  <c r="G74" i="42"/>
  <c r="I74" i="42"/>
  <c r="G70" i="42"/>
  <c r="I70" i="42"/>
  <c r="G66" i="42"/>
  <c r="I66" i="42"/>
  <c r="G62" i="42"/>
  <c r="I62" i="42"/>
  <c r="G58" i="42"/>
  <c r="I58" i="42"/>
  <c r="G54" i="42"/>
  <c r="I54" i="42"/>
  <c r="G50" i="42"/>
  <c r="I50" i="42"/>
  <c r="G46" i="42"/>
  <c r="I46" i="42"/>
  <c r="G42" i="42"/>
  <c r="I42" i="42"/>
  <c r="G38" i="42"/>
  <c r="I38" i="42"/>
  <c r="G34" i="42"/>
  <c r="I34" i="42"/>
  <c r="G3" i="42"/>
  <c r="I3" i="42"/>
  <c r="K12" i="42"/>
  <c r="M12" i="42"/>
  <c r="K13" i="42"/>
  <c r="M13" i="42"/>
  <c r="K14" i="42"/>
  <c r="M14" i="42"/>
  <c r="K15" i="42"/>
  <c r="M15" i="42"/>
  <c r="K16" i="42"/>
  <c r="M16" i="42"/>
  <c r="K17" i="42"/>
  <c r="M17" i="42"/>
  <c r="K18" i="42"/>
  <c r="M18" i="42"/>
  <c r="K19" i="42"/>
  <c r="M19" i="42"/>
  <c r="K20" i="42"/>
  <c r="M20" i="42"/>
  <c r="K21" i="42"/>
  <c r="M21" i="42"/>
  <c r="K22" i="42"/>
  <c r="M22" i="42"/>
  <c r="K23" i="42"/>
  <c r="M23" i="42"/>
  <c r="K24" i="42"/>
  <c r="M24" i="42"/>
  <c r="K25" i="42"/>
  <c r="M25" i="42"/>
  <c r="K26" i="42"/>
  <c r="M26" i="42"/>
  <c r="K27" i="42"/>
  <c r="M27" i="42"/>
  <c r="K28" i="42"/>
  <c r="M28" i="42"/>
  <c r="K29" i="42"/>
  <c r="M29" i="42"/>
  <c r="K30" i="42"/>
  <c r="M30" i="42"/>
  <c r="K31" i="42"/>
  <c r="M31" i="42"/>
  <c r="K32" i="42"/>
  <c r="M32" i="42"/>
  <c r="K33" i="42"/>
  <c r="M33" i="42"/>
  <c r="K34" i="42"/>
  <c r="M34" i="42"/>
  <c r="K35" i="42"/>
  <c r="M35" i="42"/>
  <c r="K36" i="42"/>
  <c r="M36" i="42"/>
  <c r="K37" i="42"/>
  <c r="M37" i="42"/>
  <c r="K38" i="42"/>
  <c r="M38" i="42"/>
  <c r="K39" i="42"/>
  <c r="M39" i="42"/>
  <c r="K40" i="42"/>
  <c r="M40" i="42"/>
  <c r="K41" i="42"/>
  <c r="M41" i="42"/>
  <c r="K42" i="42"/>
  <c r="M42" i="42"/>
  <c r="K43" i="42"/>
  <c r="M43" i="42"/>
  <c r="K44" i="42"/>
  <c r="M44" i="42"/>
  <c r="K45" i="42"/>
  <c r="M45" i="42"/>
  <c r="K46" i="42"/>
  <c r="M46" i="42"/>
  <c r="K47" i="42"/>
  <c r="M47" i="42"/>
  <c r="K48" i="42"/>
  <c r="M48" i="42"/>
  <c r="K49" i="42"/>
  <c r="M49" i="42"/>
  <c r="K50" i="42"/>
  <c r="M50" i="42"/>
  <c r="K51" i="42"/>
  <c r="M51" i="42"/>
  <c r="K52" i="42"/>
  <c r="M52" i="42"/>
  <c r="K53" i="42"/>
  <c r="M53" i="42"/>
  <c r="K54" i="42"/>
  <c r="M54" i="42"/>
  <c r="K55" i="42"/>
  <c r="M55" i="42"/>
  <c r="K56" i="42"/>
  <c r="M56" i="42"/>
  <c r="K57" i="42"/>
  <c r="M57" i="42"/>
  <c r="K58" i="42"/>
  <c r="M58" i="42"/>
  <c r="K59" i="42"/>
  <c r="M59" i="42"/>
  <c r="K60" i="42"/>
  <c r="M60" i="42"/>
  <c r="K61" i="42"/>
  <c r="M61" i="42"/>
  <c r="K62" i="42"/>
  <c r="M62" i="42"/>
  <c r="K63" i="42"/>
  <c r="M63" i="42"/>
  <c r="K64" i="42"/>
  <c r="M64" i="42"/>
  <c r="K65" i="42"/>
  <c r="M65" i="42"/>
  <c r="K66" i="42"/>
  <c r="M66" i="42"/>
  <c r="K67" i="42"/>
  <c r="M67" i="42"/>
  <c r="K68" i="42"/>
  <c r="M68" i="42"/>
  <c r="K69" i="42"/>
  <c r="M69" i="42"/>
  <c r="K70" i="42"/>
  <c r="M70" i="42"/>
  <c r="K72" i="42"/>
  <c r="M72" i="42"/>
  <c r="K76" i="42"/>
  <c r="M76" i="42"/>
  <c r="K80" i="42"/>
  <c r="M80" i="42"/>
  <c r="K71" i="42"/>
  <c r="M71" i="42"/>
  <c r="K75" i="42"/>
  <c r="M75" i="42"/>
  <c r="K79" i="42"/>
  <c r="M79" i="42"/>
  <c r="K74" i="42"/>
  <c r="M74" i="42"/>
  <c r="K78" i="42"/>
  <c r="M78" i="42"/>
  <c r="K73" i="42"/>
  <c r="M73" i="42"/>
  <c r="K77" i="42"/>
  <c r="M77" i="42"/>
  <c r="K81" i="42"/>
  <c r="M81" i="42"/>
  <c r="G15" i="43"/>
  <c r="G12" i="43"/>
  <c r="G14" i="43"/>
  <c r="G11" i="43"/>
  <c r="G10" i="42"/>
  <c r="I10" i="42"/>
  <c r="G6" i="42"/>
  <c r="I6" i="42"/>
  <c r="G7" i="42"/>
  <c r="I7" i="42"/>
  <c r="K4" i="42"/>
  <c r="M4" i="42"/>
  <c r="K6" i="42"/>
  <c r="M6" i="42"/>
  <c r="K10" i="42"/>
  <c r="M10" i="42"/>
  <c r="K7" i="42"/>
  <c r="M7" i="42"/>
  <c r="C68" i="21"/>
  <c r="C17" i="10"/>
  <c r="C57" i="26"/>
  <c r="C70" i="38"/>
  <c r="C54" i="38"/>
  <c r="C52" i="38"/>
  <c r="C48" i="38"/>
  <c r="C36" i="38"/>
  <c r="C32" i="38"/>
  <c r="C20" i="38"/>
  <c r="C16" i="38"/>
  <c r="C12" i="38"/>
  <c r="C78" i="38"/>
  <c r="C74" i="38"/>
  <c r="C59" i="35"/>
  <c r="C43" i="35"/>
  <c r="C27" i="35"/>
  <c r="C35" i="35"/>
  <c r="C17" i="15"/>
  <c r="C89" i="38"/>
  <c r="C38" i="38"/>
  <c r="C41" i="34"/>
  <c r="C82" i="36"/>
  <c r="C78" i="36"/>
  <c r="C50" i="36"/>
  <c r="C46" i="36"/>
  <c r="C17" i="37"/>
  <c r="C85" i="38"/>
  <c r="C28" i="36"/>
  <c r="C88" i="38"/>
  <c r="C62" i="38"/>
  <c r="C58" i="38"/>
  <c r="C2" i="20"/>
  <c r="C92" i="20"/>
  <c r="C4" i="9"/>
  <c r="C90" i="5"/>
  <c r="C3" i="35"/>
  <c r="C53" i="35"/>
  <c r="C37" i="35"/>
  <c r="C29" i="35"/>
  <c r="C21" i="35"/>
  <c r="C32" i="36"/>
  <c r="C68" i="38"/>
  <c r="C64" i="38"/>
  <c r="C77" i="39"/>
  <c r="C69" i="39"/>
  <c r="C61" i="39"/>
  <c r="C53" i="39"/>
  <c r="C45" i="39"/>
  <c r="C37" i="39"/>
  <c r="C29" i="39"/>
  <c r="C21" i="39"/>
  <c r="C13" i="39"/>
  <c r="C5" i="39"/>
  <c r="C88" i="39"/>
  <c r="C4" i="36"/>
  <c r="C64" i="36"/>
  <c r="C60" i="36"/>
  <c r="C10" i="36"/>
  <c r="C6" i="36"/>
  <c r="C80" i="38"/>
  <c r="C46" i="38"/>
  <c r="C42" i="38"/>
  <c r="C91" i="39"/>
  <c r="C84" i="39"/>
  <c r="C74" i="39"/>
  <c r="C71" i="39"/>
  <c r="C58" i="39"/>
  <c r="C55" i="39"/>
  <c r="C34" i="39"/>
  <c r="C31" i="39"/>
  <c r="C18" i="39"/>
  <c r="C15" i="39"/>
  <c r="C87" i="39"/>
  <c r="C81" i="39"/>
  <c r="C68" i="39"/>
  <c r="C65" i="39"/>
  <c r="C52" i="39"/>
  <c r="C49" i="39"/>
  <c r="C42" i="39"/>
  <c r="C39" i="39"/>
  <c r="C26" i="39"/>
  <c r="C23" i="39"/>
  <c r="C89" i="39"/>
  <c r="C73" i="39"/>
  <c r="C28" i="39"/>
  <c r="C25" i="39"/>
  <c r="C20" i="39"/>
  <c r="C17" i="39"/>
  <c r="C12" i="39"/>
  <c r="C9" i="39"/>
  <c r="C4" i="39"/>
  <c r="C86" i="39"/>
  <c r="C78" i="39"/>
  <c r="C75" i="39"/>
  <c r="C70" i="39"/>
  <c r="C67" i="39"/>
  <c r="C62" i="39"/>
  <c r="C59" i="39"/>
  <c r="C54" i="39"/>
  <c r="C51" i="39"/>
  <c r="C46" i="39"/>
  <c r="C43" i="39"/>
  <c r="C38" i="39"/>
  <c r="C35" i="39"/>
  <c r="C30" i="39"/>
  <c r="C27" i="39"/>
  <c r="C22" i="39"/>
  <c r="C19" i="39"/>
  <c r="C14" i="39"/>
  <c r="C11" i="39"/>
  <c r="C6" i="39"/>
  <c r="C3" i="39"/>
  <c r="C82" i="39"/>
  <c r="C79" i="39"/>
  <c r="C66" i="39"/>
  <c r="C63" i="39"/>
  <c r="C50" i="39"/>
  <c r="C47" i="39"/>
  <c r="C10" i="39"/>
  <c r="C7" i="39"/>
  <c r="C90" i="39"/>
  <c r="C76" i="39"/>
  <c r="C60" i="39"/>
  <c r="C57" i="39"/>
  <c r="C44" i="39"/>
  <c r="C41" i="39"/>
  <c r="C36" i="39"/>
  <c r="C33" i="39"/>
  <c r="C85" i="39"/>
  <c r="C80" i="39"/>
  <c r="C72" i="39"/>
  <c r="C64" i="39"/>
  <c r="C56" i="39"/>
  <c r="C48" i="39"/>
  <c r="C40" i="39"/>
  <c r="C32" i="39"/>
  <c r="C24" i="39"/>
  <c r="C16" i="39"/>
  <c r="C8" i="39"/>
  <c r="C82" i="32"/>
  <c r="C74" i="32"/>
  <c r="C66" i="32"/>
  <c r="C58" i="32"/>
  <c r="C50" i="32"/>
  <c r="C42" i="32"/>
  <c r="C34" i="32"/>
  <c r="C26" i="32"/>
  <c r="C18" i="32"/>
  <c r="C10" i="32"/>
  <c r="C102" i="35"/>
  <c r="C98" i="35"/>
  <c r="C114" i="35"/>
  <c r="C110" i="35"/>
  <c r="C92" i="35"/>
  <c r="C109" i="35"/>
  <c r="C93" i="35"/>
  <c r="C84" i="35"/>
  <c r="C79" i="35"/>
  <c r="C75" i="35"/>
  <c r="C71" i="35"/>
  <c r="C67" i="35"/>
  <c r="C63" i="35"/>
  <c r="C56" i="35"/>
  <c r="C47" i="35"/>
  <c r="C42" i="35"/>
  <c r="C33" i="35"/>
  <c r="C30" i="35"/>
  <c r="C24" i="35"/>
  <c r="C15" i="35"/>
  <c r="C9" i="35"/>
  <c r="C6" i="35"/>
  <c r="C85" i="36"/>
  <c r="C74" i="36"/>
  <c r="C70" i="36"/>
  <c r="C56" i="36"/>
  <c r="C52" i="36"/>
  <c r="C42" i="36"/>
  <c r="C38" i="36"/>
  <c r="C24" i="36"/>
  <c r="C13" i="36"/>
  <c r="C77" i="37"/>
  <c r="C71" i="37"/>
  <c r="C68" i="37"/>
  <c r="C61" i="37"/>
  <c r="C55" i="37"/>
  <c r="C52" i="37"/>
  <c r="C45" i="37"/>
  <c r="C39" i="37"/>
  <c r="C36" i="37"/>
  <c r="C29" i="37"/>
  <c r="C23" i="37"/>
  <c r="C20" i="37"/>
  <c r="C13" i="37"/>
  <c r="C7" i="37"/>
  <c r="C4" i="37"/>
  <c r="C95" i="31"/>
  <c r="C104" i="35"/>
  <c r="C101" i="35"/>
  <c r="C115" i="35"/>
  <c r="C112" i="35"/>
  <c r="C88" i="35"/>
  <c r="C113" i="35"/>
  <c r="C99" i="35"/>
  <c r="C91" i="35"/>
  <c r="C82" i="35"/>
  <c r="C78" i="35"/>
  <c r="C74" i="35"/>
  <c r="C70" i="35"/>
  <c r="C66" i="35"/>
  <c r="C62" i="35"/>
  <c r="C55" i="35"/>
  <c r="C50" i="35"/>
  <c r="C41" i="35"/>
  <c r="C38" i="35"/>
  <c r="C32" i="35"/>
  <c r="C23" i="35"/>
  <c r="C18" i="35"/>
  <c r="C11" i="35"/>
  <c r="C5" i="35"/>
  <c r="C80" i="36"/>
  <c r="C76" i="36"/>
  <c r="C66" i="36"/>
  <c r="C62" i="36"/>
  <c r="C48" i="36"/>
  <c r="C44" i="36"/>
  <c r="C34" i="36"/>
  <c r="C30" i="36"/>
  <c r="C8" i="36"/>
  <c r="C80" i="37"/>
  <c r="C73" i="37"/>
  <c r="C67" i="37"/>
  <c r="C64" i="37"/>
  <c r="C57" i="37"/>
  <c r="C51" i="37"/>
  <c r="C48" i="37"/>
  <c r="C41" i="37"/>
  <c r="C35" i="37"/>
  <c r="C32" i="37"/>
  <c r="C25" i="37"/>
  <c r="C19" i="37"/>
  <c r="C16" i="37"/>
  <c r="C9" i="37"/>
  <c r="C3" i="37"/>
  <c r="C108" i="35"/>
  <c r="C107" i="35"/>
  <c r="C90" i="35"/>
  <c r="C97" i="35"/>
  <c r="C111" i="35"/>
  <c r="C94" i="35"/>
  <c r="C100" i="35"/>
  <c r="C95" i="35"/>
  <c r="C85" i="35"/>
  <c r="C81" i="35"/>
  <c r="C77" i="35"/>
  <c r="C73" i="35"/>
  <c r="C69" i="35"/>
  <c r="C65" i="35"/>
  <c r="C61" i="35"/>
  <c r="C58" i="35"/>
  <c r="C49" i="35"/>
  <c r="C46" i="35"/>
  <c r="C40" i="35"/>
  <c r="C31" i="35"/>
  <c r="C26" i="35"/>
  <c r="C17" i="35"/>
  <c r="C14" i="35"/>
  <c r="C7" i="35"/>
  <c r="C88" i="36"/>
  <c r="C72" i="36"/>
  <c r="C68" i="36"/>
  <c r="C58" i="36"/>
  <c r="C54" i="36"/>
  <c r="C40" i="36"/>
  <c r="C36" i="36"/>
  <c r="C26" i="36"/>
  <c r="C22" i="36"/>
  <c r="C18" i="36"/>
  <c r="C79" i="37"/>
  <c r="C76" i="37"/>
  <c r="C69" i="37"/>
  <c r="C63" i="37"/>
  <c r="C60" i="37"/>
  <c r="C53" i="37"/>
  <c r="C47" i="37"/>
  <c r="C44" i="37"/>
  <c r="C37" i="37"/>
  <c r="C31" i="37"/>
  <c r="C28" i="37"/>
  <c r="C21" i="37"/>
  <c r="C15" i="37"/>
  <c r="C12" i="37"/>
  <c r="C5" i="37"/>
  <c r="C84" i="32"/>
  <c r="C57" i="35"/>
  <c r="C54" i="35"/>
  <c r="C51" i="35"/>
  <c r="C48" i="35"/>
  <c r="C45" i="35"/>
  <c r="C39" i="35"/>
  <c r="C34" i="35"/>
  <c r="C25" i="35"/>
  <c r="C22" i="35"/>
  <c r="C19" i="35"/>
  <c r="C13" i="35"/>
  <c r="C10" i="35"/>
  <c r="C81" i="37"/>
  <c r="C75" i="37"/>
  <c r="C72" i="37"/>
  <c r="C65" i="37"/>
  <c r="C59" i="37"/>
  <c r="C56" i="37"/>
  <c r="C49" i="37"/>
  <c r="C43" i="37"/>
  <c r="C40" i="37"/>
  <c r="C33" i="37"/>
  <c r="C27" i="37"/>
  <c r="C24" i="37"/>
  <c r="C11" i="37"/>
  <c r="C8" i="37"/>
  <c r="C96" i="35"/>
  <c r="C105" i="35"/>
  <c r="C116" i="35"/>
  <c r="C87" i="35"/>
  <c r="C106" i="35"/>
  <c r="C103" i="35"/>
  <c r="C86" i="35"/>
  <c r="C89" i="35"/>
  <c r="C80" i="35"/>
  <c r="C76" i="35"/>
  <c r="C72" i="35"/>
  <c r="C68" i="35"/>
  <c r="C64" i="35"/>
  <c r="C60" i="35"/>
  <c r="C52" i="35"/>
  <c r="C44" i="35"/>
  <c r="C36" i="35"/>
  <c r="C28" i="35"/>
  <c r="C20" i="35"/>
  <c r="C12" i="35"/>
  <c r="C4" i="35"/>
  <c r="C84" i="36"/>
  <c r="C77" i="36"/>
  <c r="C71" i="36"/>
  <c r="C61" i="36"/>
  <c r="C55" i="36"/>
  <c r="C45" i="36"/>
  <c r="C39" i="36"/>
  <c r="C29" i="36"/>
  <c r="C16" i="36"/>
  <c r="C5" i="36"/>
  <c r="C78" i="37"/>
  <c r="C70" i="37"/>
  <c r="C62" i="37"/>
  <c r="C54" i="37"/>
  <c r="C46" i="37"/>
  <c r="C38" i="37"/>
  <c r="C30" i="37"/>
  <c r="C22" i="37"/>
  <c r="C14" i="37"/>
  <c r="C6" i="37"/>
  <c r="C94" i="38"/>
  <c r="C71" i="38"/>
  <c r="C65" i="38"/>
  <c r="C39" i="38"/>
  <c r="C33" i="38"/>
  <c r="C16" i="35"/>
  <c r="C8" i="35"/>
  <c r="C79" i="36"/>
  <c r="C69" i="36"/>
  <c r="C63" i="36"/>
  <c r="C53" i="36"/>
  <c r="C47" i="36"/>
  <c r="C37" i="36"/>
  <c r="C31" i="36"/>
  <c r="C21" i="36"/>
  <c r="C14" i="36"/>
  <c r="C82" i="37"/>
  <c r="C74" i="37"/>
  <c r="C66" i="37"/>
  <c r="C58" i="37"/>
  <c r="C50" i="37"/>
  <c r="C42" i="37"/>
  <c r="C34" i="37"/>
  <c r="C26" i="37"/>
  <c r="C18" i="37"/>
  <c r="C10" i="37"/>
  <c r="C81" i="38"/>
  <c r="C55" i="38"/>
  <c r="C49" i="38"/>
  <c r="C23" i="38"/>
  <c r="C15" i="38"/>
  <c r="C8" i="38"/>
  <c r="C30" i="38"/>
  <c r="C26" i="38"/>
  <c r="C4" i="38"/>
  <c r="C97" i="38"/>
  <c r="C86" i="38"/>
  <c r="C79" i="38"/>
  <c r="C76" i="38"/>
  <c r="C73" i="38"/>
  <c r="C63" i="38"/>
  <c r="C60" i="38"/>
  <c r="C57" i="38"/>
  <c r="C47" i="38"/>
  <c r="C44" i="38"/>
  <c r="C41" i="38"/>
  <c r="C31" i="38"/>
  <c r="C28" i="38"/>
  <c r="C18" i="38"/>
  <c r="C7" i="38"/>
  <c r="C87" i="38"/>
  <c r="C93" i="38"/>
  <c r="C95" i="38"/>
  <c r="C82" i="38"/>
  <c r="C72" i="38"/>
  <c r="C66" i="38"/>
  <c r="C56" i="38"/>
  <c r="C50" i="38"/>
  <c r="C40" i="38"/>
  <c r="C34" i="38"/>
  <c r="C24" i="38"/>
  <c r="C10" i="38"/>
  <c r="C92" i="38"/>
  <c r="C84" i="38"/>
  <c r="C77" i="38"/>
  <c r="C69" i="38"/>
  <c r="C61" i="38"/>
  <c r="C53" i="38"/>
  <c r="C45" i="38"/>
  <c r="C37" i="38"/>
  <c r="C29" i="38"/>
  <c r="C21" i="38"/>
  <c r="C13" i="38"/>
  <c r="C5" i="38"/>
  <c r="C25" i="38"/>
  <c r="C22" i="38"/>
  <c r="C17" i="38"/>
  <c r="C14" i="38"/>
  <c r="C9" i="38"/>
  <c r="C6" i="38"/>
  <c r="C91" i="38"/>
  <c r="C90" i="38"/>
  <c r="C96" i="38"/>
  <c r="C75" i="38"/>
  <c r="C67" i="38"/>
  <c r="C59" i="38"/>
  <c r="C51" i="38"/>
  <c r="C43" i="38"/>
  <c r="C35" i="38"/>
  <c r="C27" i="38"/>
  <c r="C19" i="38"/>
  <c r="C11" i="38"/>
  <c r="C3" i="38"/>
  <c r="C2" i="37"/>
  <c r="C23" i="36"/>
  <c r="C20" i="36"/>
  <c r="C15" i="36"/>
  <c r="C12" i="36"/>
  <c r="C7" i="36"/>
  <c r="C87" i="36"/>
  <c r="C81" i="36"/>
  <c r="C73" i="36"/>
  <c r="C65" i="36"/>
  <c r="C57" i="36"/>
  <c r="C49" i="36"/>
  <c r="C41" i="36"/>
  <c r="C33" i="36"/>
  <c r="C25" i="36"/>
  <c r="C17" i="36"/>
  <c r="C9" i="36"/>
  <c r="C86" i="36"/>
  <c r="C75" i="36"/>
  <c r="C67" i="36"/>
  <c r="C59" i="36"/>
  <c r="C51" i="36"/>
  <c r="C43" i="36"/>
  <c r="C35" i="36"/>
  <c r="C27" i="36"/>
  <c r="C19" i="36"/>
  <c r="C11" i="36"/>
  <c r="C3" i="36"/>
  <c r="C2" i="36"/>
  <c r="C2" i="35"/>
  <c r="C9" i="29"/>
  <c r="C6" i="33"/>
  <c r="C75" i="31"/>
  <c r="C59" i="31"/>
  <c r="C43" i="31"/>
  <c r="C59" i="34"/>
  <c r="C55" i="34"/>
  <c r="C51" i="34"/>
  <c r="C47" i="34"/>
  <c r="C43" i="34"/>
  <c r="C39" i="34"/>
  <c r="C35" i="34"/>
  <c r="C31" i="34"/>
  <c r="C27" i="34"/>
  <c r="C23" i="34"/>
  <c r="C19" i="34"/>
  <c r="C15" i="34"/>
  <c r="C11" i="34"/>
  <c r="C7" i="34"/>
  <c r="C9" i="34"/>
  <c r="C48" i="34"/>
  <c r="C36" i="34"/>
  <c r="C33" i="34"/>
  <c r="C28" i="34"/>
  <c r="C25" i="34"/>
  <c r="C20" i="34"/>
  <c r="C17" i="34"/>
  <c r="C98" i="34"/>
  <c r="C86" i="34"/>
  <c r="C97" i="34"/>
  <c r="C90" i="34"/>
  <c r="C82" i="34"/>
  <c r="C78" i="34"/>
  <c r="C74" i="34"/>
  <c r="C70" i="34"/>
  <c r="C66" i="34"/>
  <c r="C62" i="34"/>
  <c r="C54" i="34"/>
  <c r="C46" i="34"/>
  <c r="C38" i="34"/>
  <c r="C30" i="34"/>
  <c r="C22" i="34"/>
  <c r="C14" i="34"/>
  <c r="C6" i="34"/>
  <c r="C85" i="34"/>
  <c r="C93" i="34"/>
  <c r="C89" i="34"/>
  <c r="C99" i="34"/>
  <c r="C94" i="34"/>
  <c r="C91" i="34"/>
  <c r="C84" i="34"/>
  <c r="C81" i="34"/>
  <c r="C77" i="34"/>
  <c r="C73" i="34"/>
  <c r="C69" i="34"/>
  <c r="C65" i="34"/>
  <c r="C61" i="34"/>
  <c r="C56" i="34"/>
  <c r="C53" i="34"/>
  <c r="C45" i="34"/>
  <c r="C40" i="34"/>
  <c r="C37" i="34"/>
  <c r="C32" i="34"/>
  <c r="C29" i="34"/>
  <c r="C24" i="34"/>
  <c r="C21" i="34"/>
  <c r="C16" i="34"/>
  <c r="C13" i="34"/>
  <c r="C8" i="34"/>
  <c r="C5" i="34"/>
  <c r="C95" i="34"/>
  <c r="C96" i="34"/>
  <c r="C88" i="34"/>
  <c r="C92" i="34"/>
  <c r="C87" i="34"/>
  <c r="C80" i="34"/>
  <c r="C76" i="34"/>
  <c r="C72" i="34"/>
  <c r="C68" i="34"/>
  <c r="C64" i="34"/>
  <c r="C58" i="34"/>
  <c r="C50" i="34"/>
  <c r="C42" i="34"/>
  <c r="C34" i="34"/>
  <c r="C26" i="34"/>
  <c r="C18" i="34"/>
  <c r="C10" i="34"/>
  <c r="C79" i="34"/>
  <c r="C75" i="34"/>
  <c r="C71" i="34"/>
  <c r="C67" i="34"/>
  <c r="C63" i="34"/>
  <c r="C60" i="34"/>
  <c r="C57" i="34"/>
  <c r="C52" i="34"/>
  <c r="C49" i="34"/>
  <c r="C44" i="34"/>
  <c r="C12" i="34"/>
  <c r="C4" i="34"/>
  <c r="C3" i="34"/>
  <c r="C2" i="34"/>
  <c r="C72" i="33"/>
  <c r="C56" i="33"/>
  <c r="C66" i="33"/>
  <c r="C58" i="33"/>
  <c r="C50" i="33"/>
  <c r="C42" i="33"/>
  <c r="C34" i="33"/>
  <c r="C26" i="33"/>
  <c r="C18" i="33"/>
  <c r="C10" i="33"/>
  <c r="C64" i="33"/>
  <c r="C48" i="33"/>
  <c r="C40" i="33"/>
  <c r="C32" i="33"/>
  <c r="C24" i="33"/>
  <c r="C16" i="33"/>
  <c r="C8" i="33"/>
  <c r="C86" i="33"/>
  <c r="C93" i="33"/>
  <c r="C78" i="33"/>
  <c r="C71" i="33"/>
  <c r="C68" i="33"/>
  <c r="C63" i="33"/>
  <c r="C60" i="33"/>
  <c r="C47" i="33"/>
  <c r="C44" i="33"/>
  <c r="C39" i="33"/>
  <c r="C36" i="33"/>
  <c r="C31" i="33"/>
  <c r="C28" i="33"/>
  <c r="C23" i="33"/>
  <c r="C20" i="33"/>
  <c r="C85" i="33"/>
  <c r="C90" i="33"/>
  <c r="C81" i="33"/>
  <c r="C73" i="33"/>
  <c r="C70" i="33"/>
  <c r="C65" i="33"/>
  <c r="C62" i="33"/>
  <c r="C57" i="33"/>
  <c r="C54" i="33"/>
  <c r="C49" i="33"/>
  <c r="C46" i="33"/>
  <c r="C41" i="33"/>
  <c r="C38" i="33"/>
  <c r="C33" i="33"/>
  <c r="C30" i="33"/>
  <c r="C25" i="33"/>
  <c r="C22" i="33"/>
  <c r="C94" i="33"/>
  <c r="C91" i="33"/>
  <c r="C88" i="33"/>
  <c r="C79" i="33"/>
  <c r="C75" i="33"/>
  <c r="C69" i="33"/>
  <c r="C61" i="33"/>
  <c r="C53" i="33"/>
  <c r="C45" i="33"/>
  <c r="C37" i="33"/>
  <c r="C29" i="33"/>
  <c r="C21" i="33"/>
  <c r="C13" i="33"/>
  <c r="C5" i="33"/>
  <c r="C87" i="33"/>
  <c r="C82" i="33"/>
  <c r="C74" i="33"/>
  <c r="C55" i="33"/>
  <c r="C52" i="33"/>
  <c r="C15" i="33"/>
  <c r="C12" i="33"/>
  <c r="C7" i="33"/>
  <c r="C4" i="33"/>
  <c r="C95" i="33"/>
  <c r="C96" i="33"/>
  <c r="C77" i="33"/>
  <c r="C17" i="33"/>
  <c r="C14" i="33"/>
  <c r="C9" i="33"/>
  <c r="C89" i="33"/>
  <c r="C97" i="33"/>
  <c r="C92" i="33"/>
  <c r="C84" i="33"/>
  <c r="C80" i="33"/>
  <c r="C76" i="33"/>
  <c r="C67" i="33"/>
  <c r="C59" i="33"/>
  <c r="C51" i="33"/>
  <c r="C43" i="33"/>
  <c r="C35" i="33"/>
  <c r="C27" i="33"/>
  <c r="C19" i="33"/>
  <c r="C11" i="33"/>
  <c r="C3" i="33"/>
  <c r="C2" i="33"/>
  <c r="C104" i="31"/>
  <c r="C105" i="31"/>
  <c r="C81" i="31"/>
  <c r="C47" i="31"/>
  <c r="C105" i="28"/>
  <c r="C123" i="28"/>
  <c r="C74" i="28"/>
  <c r="C92" i="31"/>
  <c r="C73" i="31"/>
  <c r="C65" i="31"/>
  <c r="C3" i="31"/>
  <c r="C79" i="31"/>
  <c r="C57" i="31"/>
  <c r="C87" i="30"/>
  <c r="C101" i="31"/>
  <c r="C63" i="31"/>
  <c r="C41" i="31"/>
  <c r="C33" i="31"/>
  <c r="C25" i="31"/>
  <c r="C9" i="31"/>
  <c r="C91" i="32"/>
  <c r="C88" i="32"/>
  <c r="C79" i="32"/>
  <c r="C76" i="32"/>
  <c r="C71" i="32"/>
  <c r="C68" i="32"/>
  <c r="C55" i="32"/>
  <c r="C52" i="32"/>
  <c r="C47" i="32"/>
  <c r="C44" i="32"/>
  <c r="C39" i="32"/>
  <c r="C36" i="32"/>
  <c r="C31" i="32"/>
  <c r="C28" i="32"/>
  <c r="C23" i="32"/>
  <c r="C20" i="32"/>
  <c r="C15" i="32"/>
  <c r="C12" i="32"/>
  <c r="C4" i="32"/>
  <c r="C86" i="32"/>
  <c r="C85" i="32"/>
  <c r="C73" i="32"/>
  <c r="C70" i="32"/>
  <c r="C65" i="32"/>
  <c r="C62" i="32"/>
  <c r="C57" i="32"/>
  <c r="C54" i="32"/>
  <c r="C49" i="32"/>
  <c r="C46" i="32"/>
  <c r="C17" i="32"/>
  <c r="C14" i="32"/>
  <c r="C9" i="32"/>
  <c r="C89" i="32"/>
  <c r="C77" i="32"/>
  <c r="C69" i="32"/>
  <c r="C61" i="32"/>
  <c r="C53" i="32"/>
  <c r="C45" i="32"/>
  <c r="C37" i="32"/>
  <c r="C29" i="32"/>
  <c r="C21" i="32"/>
  <c r="C13" i="32"/>
  <c r="C5" i="32"/>
  <c r="C63" i="32"/>
  <c r="C60" i="32"/>
  <c r="C7" i="32"/>
  <c r="C90" i="32"/>
  <c r="C81" i="32"/>
  <c r="C78" i="32"/>
  <c r="C41" i="32"/>
  <c r="C38" i="32"/>
  <c r="C33" i="32"/>
  <c r="C30" i="32"/>
  <c r="C25" i="32"/>
  <c r="C22" i="32"/>
  <c r="C6" i="32"/>
  <c r="C87" i="32"/>
  <c r="C92" i="32"/>
  <c r="C80" i="32"/>
  <c r="C75" i="32"/>
  <c r="C72" i="32"/>
  <c r="C67" i="32"/>
  <c r="C64" i="32"/>
  <c r="C59" i="32"/>
  <c r="C56" i="32"/>
  <c r="C51" i="32"/>
  <c r="C48" i="32"/>
  <c r="C43" i="32"/>
  <c r="C40" i="32"/>
  <c r="C35" i="32"/>
  <c r="C32" i="32"/>
  <c r="C27" i="32"/>
  <c r="C24" i="32"/>
  <c r="C19" i="32"/>
  <c r="C16" i="32"/>
  <c r="C11" i="32"/>
  <c r="C3" i="32"/>
  <c r="C2" i="32"/>
  <c r="C31" i="31"/>
  <c r="C27" i="31"/>
  <c r="C15" i="31"/>
  <c r="C11" i="31"/>
  <c r="C75" i="30"/>
  <c r="C59" i="30"/>
  <c r="C43" i="30"/>
  <c r="C27" i="30"/>
  <c r="C11" i="30"/>
  <c r="C93" i="31"/>
  <c r="C96" i="31"/>
  <c r="C84" i="31"/>
  <c r="C103" i="31"/>
  <c r="C78" i="31"/>
  <c r="C68" i="31"/>
  <c r="C62" i="31"/>
  <c r="C52" i="31"/>
  <c r="C49" i="31"/>
  <c r="C46" i="31"/>
  <c r="C36" i="31"/>
  <c r="C30" i="31"/>
  <c r="C20" i="31"/>
  <c r="C17" i="31"/>
  <c r="C14" i="31"/>
  <c r="C4" i="31"/>
  <c r="C43" i="27"/>
  <c r="C87" i="31"/>
  <c r="C85" i="31"/>
  <c r="C108" i="31"/>
  <c r="C71" i="31"/>
  <c r="C67" i="31"/>
  <c r="C55" i="31"/>
  <c r="C51" i="31"/>
  <c r="C39" i="31"/>
  <c r="C35" i="31"/>
  <c r="C23" i="31"/>
  <c r="C19" i="31"/>
  <c r="C7" i="31"/>
  <c r="C102" i="27"/>
  <c r="C107" i="27"/>
  <c r="C101" i="27"/>
  <c r="C93" i="27"/>
  <c r="C106" i="27"/>
  <c r="C86" i="27"/>
  <c r="C73" i="30"/>
  <c r="C97" i="31"/>
  <c r="C90" i="31"/>
  <c r="C86" i="31"/>
  <c r="C106" i="31"/>
  <c r="C76" i="31"/>
  <c r="C70" i="31"/>
  <c r="C60" i="31"/>
  <c r="C54" i="31"/>
  <c r="C44" i="31"/>
  <c r="C38" i="31"/>
  <c r="C28" i="31"/>
  <c r="C22" i="31"/>
  <c r="C12" i="31"/>
  <c r="C6" i="31"/>
  <c r="C98" i="31"/>
  <c r="C88" i="31"/>
  <c r="C100" i="31"/>
  <c r="C82" i="31"/>
  <c r="C74" i="31"/>
  <c r="C66" i="31"/>
  <c r="C58" i="31"/>
  <c r="C50" i="31"/>
  <c r="C42" i="31"/>
  <c r="C34" i="31"/>
  <c r="C26" i="31"/>
  <c r="C18" i="31"/>
  <c r="C10" i="31"/>
  <c r="C99" i="31"/>
  <c r="C94" i="31"/>
  <c r="C109" i="31"/>
  <c r="C91" i="31"/>
  <c r="C89" i="31"/>
  <c r="C107" i="31"/>
  <c r="C102" i="31"/>
  <c r="C80" i="31"/>
  <c r="C77" i="31"/>
  <c r="C72" i="31"/>
  <c r="C69" i="31"/>
  <c r="C64" i="31"/>
  <c r="C61" i="31"/>
  <c r="C56" i="31"/>
  <c r="C53" i="31"/>
  <c r="C48" i="31"/>
  <c r="C45" i="31"/>
  <c r="C40" i="31"/>
  <c r="C37" i="31"/>
  <c r="C32" i="31"/>
  <c r="C29" i="31"/>
  <c r="C24" i="31"/>
  <c r="C21" i="31"/>
  <c r="C16" i="31"/>
  <c r="C13" i="31"/>
  <c r="C8" i="31"/>
  <c r="C5" i="31"/>
  <c r="C99" i="28"/>
  <c r="C71" i="28"/>
  <c r="C79" i="29"/>
  <c r="C63" i="29"/>
  <c r="C47" i="29"/>
  <c r="C31" i="29"/>
  <c r="C7" i="29"/>
  <c r="C89" i="30"/>
  <c r="C84" i="30"/>
  <c r="C79" i="30"/>
  <c r="C69" i="30"/>
  <c r="C63" i="30"/>
  <c r="C53" i="30"/>
  <c r="C47" i="30"/>
  <c r="C31" i="30"/>
  <c r="C15" i="30"/>
  <c r="C93" i="30"/>
  <c r="C90" i="30"/>
  <c r="C81" i="30"/>
  <c r="C78" i="30"/>
  <c r="C68" i="30"/>
  <c r="C65" i="30"/>
  <c r="C62" i="30"/>
  <c r="C52" i="30"/>
  <c r="C49" i="30"/>
  <c r="C46" i="30"/>
  <c r="C36" i="30"/>
  <c r="C33" i="30"/>
  <c r="C30" i="30"/>
  <c r="C20" i="30"/>
  <c r="C17" i="30"/>
  <c r="C14" i="30"/>
  <c r="C4" i="30"/>
  <c r="C82" i="27"/>
  <c r="C78" i="27"/>
  <c r="C74" i="27"/>
  <c r="C70" i="27"/>
  <c r="C66" i="27"/>
  <c r="C81" i="29"/>
  <c r="C65" i="29"/>
  <c r="C49" i="29"/>
  <c r="C33" i="29"/>
  <c r="C94" i="30"/>
  <c r="C92" i="30"/>
  <c r="C86" i="30"/>
  <c r="C77" i="30"/>
  <c r="C71" i="30"/>
  <c r="C67" i="30"/>
  <c r="C61" i="30"/>
  <c r="C55" i="30"/>
  <c r="C51" i="30"/>
  <c r="C39" i="30"/>
  <c r="C35" i="30"/>
  <c r="C23" i="30"/>
  <c r="C19" i="30"/>
  <c r="C7" i="30"/>
  <c r="C3" i="30"/>
  <c r="C88" i="29"/>
  <c r="C85" i="30"/>
  <c r="C76" i="30"/>
  <c r="C70" i="30"/>
  <c r="C60" i="30"/>
  <c r="C57" i="30"/>
  <c r="C54" i="30"/>
  <c r="C44" i="30"/>
  <c r="C41" i="30"/>
  <c r="C38" i="30"/>
  <c r="C28" i="30"/>
  <c r="C25" i="30"/>
  <c r="C22" i="30"/>
  <c r="C12" i="30"/>
  <c r="C9" i="30"/>
  <c r="C6" i="30"/>
  <c r="C82" i="30"/>
  <c r="C74" i="30"/>
  <c r="C66" i="30"/>
  <c r="C58" i="30"/>
  <c r="C50" i="30"/>
  <c r="C42" i="30"/>
  <c r="C34" i="30"/>
  <c r="C26" i="30"/>
  <c r="C18" i="30"/>
  <c r="C10" i="30"/>
  <c r="C91" i="30"/>
  <c r="C88" i="30"/>
  <c r="C80" i="30"/>
  <c r="C72" i="30"/>
  <c r="C64" i="30"/>
  <c r="C56" i="30"/>
  <c r="C48" i="30"/>
  <c r="C45" i="30"/>
  <c r="C40" i="30"/>
  <c r="C37" i="30"/>
  <c r="C32" i="30"/>
  <c r="C29" i="30"/>
  <c r="C24" i="30"/>
  <c r="C21" i="30"/>
  <c r="C16" i="30"/>
  <c r="C13" i="30"/>
  <c r="C8" i="30"/>
  <c r="C5" i="30"/>
  <c r="C41" i="26"/>
  <c r="C90" i="29"/>
  <c r="C75" i="29"/>
  <c r="C69" i="29"/>
  <c r="C59" i="29"/>
  <c r="C53" i="29"/>
  <c r="C43" i="29"/>
  <c r="C37" i="29"/>
  <c r="C27" i="29"/>
  <c r="C21" i="29"/>
  <c r="C10" i="29"/>
  <c r="C3" i="29"/>
  <c r="C84" i="29"/>
  <c r="C74" i="29"/>
  <c r="C71" i="29"/>
  <c r="C68" i="29"/>
  <c r="C58" i="29"/>
  <c r="C55" i="29"/>
  <c r="C52" i="29"/>
  <c r="C42" i="29"/>
  <c r="C39" i="29"/>
  <c r="C36" i="29"/>
  <c r="C26" i="29"/>
  <c r="C23" i="29"/>
  <c r="C13" i="29"/>
  <c r="C100" i="28"/>
  <c r="C119" i="28"/>
  <c r="C94" i="28"/>
  <c r="C65" i="28"/>
  <c r="C91" i="29"/>
  <c r="C87" i="29"/>
  <c r="C77" i="29"/>
  <c r="C73" i="29"/>
  <c r="C67" i="29"/>
  <c r="C61" i="29"/>
  <c r="C57" i="29"/>
  <c r="C51" i="29"/>
  <c r="C45" i="29"/>
  <c r="C41" i="29"/>
  <c r="C35" i="29"/>
  <c r="C29" i="29"/>
  <c r="C25" i="29"/>
  <c r="C19" i="29"/>
  <c r="C15" i="29"/>
  <c r="C5" i="29"/>
  <c r="C86" i="29"/>
  <c r="C82" i="29"/>
  <c r="C76" i="29"/>
  <c r="C66" i="29"/>
  <c r="C60" i="29"/>
  <c r="C50" i="29"/>
  <c r="C44" i="29"/>
  <c r="C34" i="29"/>
  <c r="C28" i="29"/>
  <c r="C18" i="29"/>
  <c r="C11" i="29"/>
  <c r="C20" i="29"/>
  <c r="C17" i="29"/>
  <c r="C12" i="29"/>
  <c r="C4" i="29"/>
  <c r="C89" i="29"/>
  <c r="C78" i="29"/>
  <c r="C70" i="29"/>
  <c r="C62" i="29"/>
  <c r="C54" i="29"/>
  <c r="C46" i="29"/>
  <c r="C38" i="29"/>
  <c r="C30" i="29"/>
  <c r="C22" i="29"/>
  <c r="C14" i="29"/>
  <c r="C6" i="29"/>
  <c r="C85" i="29"/>
  <c r="C80" i="29"/>
  <c r="C72" i="29"/>
  <c r="C64" i="29"/>
  <c r="C56" i="29"/>
  <c r="C48" i="29"/>
  <c r="C40" i="29"/>
  <c r="C32" i="29"/>
  <c r="C24" i="29"/>
  <c r="C16" i="29"/>
  <c r="C8" i="29"/>
  <c r="C2" i="29"/>
  <c r="C12" i="26"/>
  <c r="C104" i="27"/>
  <c r="C100" i="27"/>
  <c r="C90" i="27"/>
  <c r="C94" i="27"/>
  <c r="C95" i="27"/>
  <c r="C89" i="27"/>
  <c r="C79" i="27"/>
  <c r="C75" i="27"/>
  <c r="C71" i="27"/>
  <c r="C67" i="27"/>
  <c r="C63" i="27"/>
  <c r="C59" i="27"/>
  <c r="C55" i="27"/>
  <c r="C51" i="27"/>
  <c r="C47" i="27"/>
  <c r="C36" i="27"/>
  <c r="C115" i="28"/>
  <c r="C103" i="28"/>
  <c r="C86" i="28"/>
  <c r="C68" i="28"/>
  <c r="C54" i="28"/>
  <c r="C42" i="28"/>
  <c r="C25" i="28"/>
  <c r="C17" i="28"/>
  <c r="C13" i="28"/>
  <c r="C73" i="26"/>
  <c r="C65" i="26"/>
  <c r="C54" i="26"/>
  <c r="C35" i="26"/>
  <c r="C19" i="26"/>
  <c r="C62" i="27"/>
  <c r="C58" i="27"/>
  <c r="C54" i="27"/>
  <c r="C50" i="27"/>
  <c r="C46" i="27"/>
  <c r="C57" i="28"/>
  <c r="C49" i="28"/>
  <c r="C45" i="28"/>
  <c r="C31" i="28"/>
  <c r="C27" i="28"/>
  <c r="C90" i="26"/>
  <c r="C87" i="26"/>
  <c r="C76" i="26"/>
  <c r="C60" i="26"/>
  <c r="C49" i="26"/>
  <c r="C38" i="26"/>
  <c r="C114" i="28"/>
  <c r="C106" i="28"/>
  <c r="C118" i="28"/>
  <c r="C91" i="28"/>
  <c r="C85" i="28"/>
  <c r="C77" i="28"/>
  <c r="C63" i="28"/>
  <c r="C59" i="28"/>
  <c r="C33" i="28"/>
  <c r="C23" i="28"/>
  <c r="C19" i="28"/>
  <c r="C7" i="28"/>
  <c r="C4" i="28"/>
  <c r="C25" i="26"/>
  <c r="C41" i="27"/>
  <c r="C51" i="28"/>
  <c r="C39" i="28"/>
  <c r="C36" i="28"/>
  <c r="C22" i="28"/>
  <c r="C10" i="28"/>
  <c r="C93" i="28"/>
  <c r="C110" i="28"/>
  <c r="C116" i="28"/>
  <c r="C101" i="28"/>
  <c r="C88" i="28"/>
  <c r="C92" i="28"/>
  <c r="C82" i="28"/>
  <c r="C79" i="28"/>
  <c r="C67" i="28"/>
  <c r="C53" i="28"/>
  <c r="C44" i="28"/>
  <c r="C41" i="28"/>
  <c r="C96" i="28"/>
  <c r="C120" i="28"/>
  <c r="C112" i="28"/>
  <c r="C107" i="28"/>
  <c r="C90" i="28"/>
  <c r="C111" i="28"/>
  <c r="C78" i="28"/>
  <c r="C69" i="28"/>
  <c r="C66" i="28"/>
  <c r="C60" i="28"/>
  <c r="C46" i="28"/>
  <c r="C37" i="28"/>
  <c r="C34" i="28"/>
  <c r="C28" i="28"/>
  <c r="C14" i="28"/>
  <c r="C5" i="28"/>
  <c r="C87" i="28"/>
  <c r="C76" i="28"/>
  <c r="C73" i="28"/>
  <c r="C62" i="28"/>
  <c r="C50" i="28"/>
  <c r="C47" i="28"/>
  <c r="C30" i="28"/>
  <c r="C21" i="28"/>
  <c r="C18" i="28"/>
  <c r="C15" i="28"/>
  <c r="C12" i="28"/>
  <c r="C9" i="28"/>
  <c r="C3" i="28"/>
  <c r="C84" i="28"/>
  <c r="C104" i="28"/>
  <c r="C35" i="28"/>
  <c r="C102" i="28"/>
  <c r="C117" i="28"/>
  <c r="C89" i="28"/>
  <c r="C122" i="28"/>
  <c r="C97" i="28"/>
  <c r="C98" i="28"/>
  <c r="C108" i="28"/>
  <c r="C81" i="28"/>
  <c r="C75" i="28"/>
  <c r="C70" i="28"/>
  <c r="C61" i="28"/>
  <c r="C58" i="28"/>
  <c r="C55" i="28"/>
  <c r="C52" i="28"/>
  <c r="C43" i="28"/>
  <c r="C38" i="28"/>
  <c r="C29" i="28"/>
  <c r="C26" i="28"/>
  <c r="C20" i="28"/>
  <c r="C11" i="28"/>
  <c r="C6" i="28"/>
  <c r="C109" i="28"/>
  <c r="C95" i="28"/>
  <c r="C113" i="28"/>
  <c r="C121" i="28"/>
  <c r="C80" i="28"/>
  <c r="C72" i="28"/>
  <c r="C64" i="28"/>
  <c r="C56" i="28"/>
  <c r="C48" i="28"/>
  <c r="C40" i="28"/>
  <c r="C32" i="28"/>
  <c r="C24" i="28"/>
  <c r="C16" i="28"/>
  <c r="C8" i="28"/>
  <c r="C81" i="26"/>
  <c r="C70" i="26"/>
  <c r="C51" i="26"/>
  <c r="C28" i="26"/>
  <c r="C17" i="26"/>
  <c r="C9" i="26"/>
  <c r="C5" i="26"/>
  <c r="C44" i="27"/>
  <c r="C3" i="26"/>
  <c r="C88" i="26"/>
  <c r="C67" i="26"/>
  <c r="C44" i="26"/>
  <c r="C33" i="26"/>
  <c r="C22" i="26"/>
  <c r="C87" i="27"/>
  <c r="C39" i="27"/>
  <c r="C31" i="27"/>
  <c r="C23" i="27"/>
  <c r="C15" i="27"/>
  <c r="C7" i="27"/>
  <c r="C103" i="27"/>
  <c r="C108" i="27"/>
  <c r="C96" i="27"/>
  <c r="C97" i="27"/>
  <c r="C105" i="27"/>
  <c r="C85" i="27"/>
  <c r="C99" i="27"/>
  <c r="C91" i="27"/>
  <c r="C98" i="27"/>
  <c r="C92" i="27"/>
  <c r="C88" i="27"/>
  <c r="C84" i="27"/>
  <c r="C80" i="27"/>
  <c r="C76" i="27"/>
  <c r="C72" i="27"/>
  <c r="C68" i="27"/>
  <c r="C64" i="27"/>
  <c r="C60" i="27"/>
  <c r="C56" i="27"/>
  <c r="C52" i="27"/>
  <c r="C48" i="27"/>
  <c r="C42" i="27"/>
  <c r="C34" i="27"/>
  <c r="C26" i="27"/>
  <c r="C18" i="27"/>
  <c r="C10" i="27"/>
  <c r="C33" i="27"/>
  <c r="C28" i="27"/>
  <c r="C25" i="27"/>
  <c r="C20" i="27"/>
  <c r="C17" i="27"/>
  <c r="C12" i="27"/>
  <c r="C9" i="27"/>
  <c r="C4" i="27"/>
  <c r="C38" i="27"/>
  <c r="C35" i="27"/>
  <c r="C30" i="27"/>
  <c r="C27" i="27"/>
  <c r="C22" i="27"/>
  <c r="C19" i="27"/>
  <c r="C14" i="27"/>
  <c r="C11" i="27"/>
  <c r="C6" i="27"/>
  <c r="C3" i="27"/>
  <c r="C81" i="27"/>
  <c r="C77" i="27"/>
  <c r="C73" i="27"/>
  <c r="C69" i="27"/>
  <c r="C65" i="27"/>
  <c r="C61" i="27"/>
  <c r="C57" i="27"/>
  <c r="C53" i="27"/>
  <c r="C49" i="27"/>
  <c r="C45" i="27"/>
  <c r="C40" i="27"/>
  <c r="C37" i="27"/>
  <c r="C32" i="27"/>
  <c r="C29" i="27"/>
  <c r="C24" i="27"/>
  <c r="C21" i="27"/>
  <c r="C16" i="27"/>
  <c r="C13" i="27"/>
  <c r="C8" i="27"/>
  <c r="C5" i="27"/>
  <c r="C84" i="26"/>
  <c r="C77" i="26"/>
  <c r="C71" i="26"/>
  <c r="C61" i="26"/>
  <c r="C55" i="26"/>
  <c r="C45" i="26"/>
  <c r="C39" i="26"/>
  <c r="C29" i="26"/>
  <c r="C23" i="26"/>
  <c r="C13" i="26"/>
  <c r="C92" i="26"/>
  <c r="C79" i="26"/>
  <c r="C75" i="26"/>
  <c r="C69" i="26"/>
  <c r="C63" i="26"/>
  <c r="C59" i="26"/>
  <c r="C53" i="26"/>
  <c r="C47" i="26"/>
  <c r="C43" i="26"/>
  <c r="C37" i="26"/>
  <c r="C31" i="26"/>
  <c r="C27" i="26"/>
  <c r="C21" i="26"/>
  <c r="C15" i="26"/>
  <c r="C4" i="26"/>
  <c r="C85" i="26"/>
  <c r="C78" i="26"/>
  <c r="C68" i="26"/>
  <c r="C62" i="26"/>
  <c r="C52" i="26"/>
  <c r="C46" i="26"/>
  <c r="C36" i="26"/>
  <c r="C30" i="26"/>
  <c r="C20" i="26"/>
  <c r="C14" i="26"/>
  <c r="C7" i="26"/>
  <c r="C89" i="26"/>
  <c r="C82" i="26"/>
  <c r="C74" i="26"/>
  <c r="C66" i="26"/>
  <c r="C58" i="26"/>
  <c r="C50" i="26"/>
  <c r="C42" i="26"/>
  <c r="C34" i="26"/>
  <c r="C26" i="26"/>
  <c r="C18" i="26"/>
  <c r="C10" i="26"/>
  <c r="C11" i="26"/>
  <c r="C6" i="26"/>
  <c r="C86" i="26"/>
  <c r="C91" i="26"/>
  <c r="C80" i="26"/>
  <c r="C72" i="26"/>
  <c r="C64" i="26"/>
  <c r="C56" i="26"/>
  <c r="C48" i="26"/>
  <c r="C40" i="26"/>
  <c r="C32" i="26"/>
  <c r="C24" i="26"/>
  <c r="C16" i="26"/>
  <c r="C8" i="26"/>
  <c r="C85" i="25"/>
  <c r="C86" i="25"/>
  <c r="C79" i="25"/>
  <c r="C75" i="25"/>
  <c r="C71" i="25"/>
  <c r="C67" i="25"/>
  <c r="C63" i="25"/>
  <c r="C59" i="25"/>
  <c r="C55" i="25"/>
  <c r="C51" i="25"/>
  <c r="C47" i="25"/>
  <c r="C43" i="25"/>
  <c r="C39" i="25"/>
  <c r="C35" i="25"/>
  <c r="C31" i="25"/>
  <c r="C27" i="25"/>
  <c r="C23" i="25"/>
  <c r="C19" i="25"/>
  <c r="C15" i="25"/>
  <c r="C11" i="25"/>
  <c r="C7" i="25"/>
  <c r="C3" i="25"/>
  <c r="C89" i="25"/>
  <c r="C82" i="25"/>
  <c r="C78" i="25"/>
  <c r="C74" i="25"/>
  <c r="C70" i="25"/>
  <c r="C66" i="25"/>
  <c r="C62" i="25"/>
  <c r="C58" i="25"/>
  <c r="C54" i="25"/>
  <c r="C50" i="25"/>
  <c r="C46" i="25"/>
  <c r="C42" i="25"/>
  <c r="C38" i="25"/>
  <c r="C34" i="25"/>
  <c r="C30" i="25"/>
  <c r="C26" i="25"/>
  <c r="C22" i="25"/>
  <c r="C18" i="25"/>
  <c r="C14" i="25"/>
  <c r="C10" i="25"/>
  <c r="C6" i="25"/>
  <c r="C84" i="25"/>
  <c r="C87" i="25"/>
  <c r="C80" i="25"/>
  <c r="C76" i="25"/>
  <c r="C72" i="25"/>
  <c r="C4" i="25"/>
  <c r="C2" i="26"/>
  <c r="C68" i="25"/>
  <c r="C64" i="25"/>
  <c r="C60" i="25"/>
  <c r="C56" i="25"/>
  <c r="C52" i="25"/>
  <c r="C48" i="25"/>
  <c r="C44" i="25"/>
  <c r="C40" i="25"/>
  <c r="C36" i="25"/>
  <c r="C32" i="25"/>
  <c r="C28" i="25"/>
  <c r="C24" i="25"/>
  <c r="C20" i="25"/>
  <c r="C16" i="25"/>
  <c r="C12" i="25"/>
  <c r="C8" i="25"/>
  <c r="C88" i="25"/>
  <c r="C81" i="25"/>
  <c r="C77" i="25"/>
  <c r="C73" i="25"/>
  <c r="C69" i="25"/>
  <c r="C65" i="25"/>
  <c r="C61" i="25"/>
  <c r="C57" i="25"/>
  <c r="C53" i="25"/>
  <c r="C49" i="25"/>
  <c r="C45" i="25"/>
  <c r="C41" i="25"/>
  <c r="C37" i="25"/>
  <c r="C33" i="25"/>
  <c r="C29" i="25"/>
  <c r="C25" i="25"/>
  <c r="C21" i="25"/>
  <c r="C17" i="25"/>
  <c r="C13" i="25"/>
  <c r="C9" i="25"/>
  <c r="C2" i="25"/>
  <c r="C88" i="21"/>
  <c r="C15" i="23"/>
  <c r="C7" i="23"/>
  <c r="C96" i="24"/>
  <c r="C7" i="24"/>
  <c r="C93" i="24"/>
  <c r="C86" i="24"/>
  <c r="C85" i="24"/>
  <c r="C80" i="24"/>
  <c r="C76" i="24"/>
  <c r="C72" i="24"/>
  <c r="C68" i="24"/>
  <c r="C64" i="24"/>
  <c r="C60" i="24"/>
  <c r="C56" i="24"/>
  <c r="C52" i="24"/>
  <c r="C48" i="24"/>
  <c r="C44" i="24"/>
  <c r="C40" i="24"/>
  <c r="C36" i="24"/>
  <c r="C32" i="24"/>
  <c r="C28" i="24"/>
  <c r="C24" i="24"/>
  <c r="C20" i="24"/>
  <c r="C16" i="24"/>
  <c r="C12" i="24"/>
  <c r="C8" i="24"/>
  <c r="C4" i="24"/>
  <c r="C10" i="24"/>
  <c r="C6" i="24"/>
  <c r="C92" i="24"/>
  <c r="C90" i="24"/>
  <c r="C89" i="24"/>
  <c r="C94" i="24"/>
  <c r="C81" i="24"/>
  <c r="C77" i="24"/>
  <c r="C73" i="24"/>
  <c r="C69" i="24"/>
  <c r="C65" i="24"/>
  <c r="C61" i="24"/>
  <c r="C57" i="24"/>
  <c r="C53" i="24"/>
  <c r="C49" i="24"/>
  <c r="C45" i="24"/>
  <c r="C41" i="24"/>
  <c r="C37" i="24"/>
  <c r="C33" i="24"/>
  <c r="C29" i="24"/>
  <c r="C25" i="24"/>
  <c r="C21" i="24"/>
  <c r="C17" i="24"/>
  <c r="C13" i="24"/>
  <c r="C9" i="24"/>
  <c r="C95" i="24"/>
  <c r="C88" i="24"/>
  <c r="C82" i="24"/>
  <c r="C78" i="24"/>
  <c r="C74" i="24"/>
  <c r="C70" i="24"/>
  <c r="C66" i="24"/>
  <c r="C62" i="24"/>
  <c r="C58" i="24"/>
  <c r="C54" i="24"/>
  <c r="C50" i="24"/>
  <c r="C46" i="24"/>
  <c r="C42" i="24"/>
  <c r="C38" i="24"/>
  <c r="C34" i="24"/>
  <c r="C30" i="24"/>
  <c r="C26" i="24"/>
  <c r="C22" i="24"/>
  <c r="C18" i="24"/>
  <c r="C14" i="24"/>
  <c r="C5" i="24"/>
  <c r="C97" i="24"/>
  <c r="C91" i="24"/>
  <c r="C84" i="24"/>
  <c r="C87" i="24"/>
  <c r="C79" i="24"/>
  <c r="C75" i="24"/>
  <c r="C71" i="24"/>
  <c r="C67" i="24"/>
  <c r="C63" i="24"/>
  <c r="C59" i="24"/>
  <c r="C55" i="24"/>
  <c r="C51" i="24"/>
  <c r="C47" i="24"/>
  <c r="C43" i="24"/>
  <c r="C39" i="24"/>
  <c r="C35" i="24"/>
  <c r="C31" i="24"/>
  <c r="C27" i="24"/>
  <c r="C23" i="24"/>
  <c r="C19" i="24"/>
  <c r="C15" i="24"/>
  <c r="C11" i="24"/>
  <c r="C3" i="24"/>
  <c r="C85" i="20"/>
  <c r="C57" i="20"/>
  <c r="C25" i="20"/>
  <c r="C85" i="23"/>
  <c r="C97" i="23"/>
  <c r="C93" i="23"/>
  <c r="C91" i="23"/>
  <c r="C80" i="23"/>
  <c r="C76" i="23"/>
  <c r="C72" i="23"/>
  <c r="C68" i="23"/>
  <c r="C64" i="23"/>
  <c r="C60" i="23"/>
  <c r="C56" i="23"/>
  <c r="C52" i="23"/>
  <c r="C48" i="23"/>
  <c r="C44" i="23"/>
  <c r="C40" i="23"/>
  <c r="C36" i="23"/>
  <c r="C32" i="23"/>
  <c r="C28" i="23"/>
  <c r="C24" i="23"/>
  <c r="C18" i="23"/>
  <c r="C10" i="23"/>
  <c r="C96" i="23"/>
  <c r="C89" i="23"/>
  <c r="C98" i="23"/>
  <c r="C95" i="23"/>
  <c r="C79" i="23"/>
  <c r="C75" i="23"/>
  <c r="C71" i="23"/>
  <c r="C67" i="23"/>
  <c r="C63" i="23"/>
  <c r="C59" i="23"/>
  <c r="C55" i="23"/>
  <c r="C51" i="23"/>
  <c r="C47" i="23"/>
  <c r="C43" i="23"/>
  <c r="C39" i="23"/>
  <c r="C35" i="23"/>
  <c r="C31" i="23"/>
  <c r="C27" i="23"/>
  <c r="C23" i="23"/>
  <c r="C20" i="23"/>
  <c r="C17" i="23"/>
  <c r="C12" i="23"/>
  <c r="C9" i="23"/>
  <c r="C4" i="23"/>
  <c r="C102" i="23"/>
  <c r="C100" i="23"/>
  <c r="C94" i="23"/>
  <c r="C88" i="23"/>
  <c r="C90" i="23"/>
  <c r="C84" i="23"/>
  <c r="C82" i="23"/>
  <c r="C78" i="23"/>
  <c r="C74" i="23"/>
  <c r="C70" i="23"/>
  <c r="C66" i="23"/>
  <c r="C62" i="23"/>
  <c r="C58" i="23"/>
  <c r="C54" i="23"/>
  <c r="C50" i="23"/>
  <c r="C46" i="23"/>
  <c r="C42" i="23"/>
  <c r="C38" i="23"/>
  <c r="C34" i="23"/>
  <c r="C30" i="23"/>
  <c r="C26" i="23"/>
  <c r="C22" i="23"/>
  <c r="C19" i="23"/>
  <c r="C14" i="23"/>
  <c r="C11" i="23"/>
  <c r="C6" i="23"/>
  <c r="C3" i="23"/>
  <c r="C76" i="21"/>
  <c r="C44" i="21"/>
  <c r="C36" i="21"/>
  <c r="C99" i="23"/>
  <c r="C86" i="23"/>
  <c r="C101" i="23"/>
  <c r="C87" i="23"/>
  <c r="C92" i="23"/>
  <c r="C81" i="23"/>
  <c r="C77" i="23"/>
  <c r="C73" i="23"/>
  <c r="C69" i="23"/>
  <c r="C65" i="23"/>
  <c r="C61" i="23"/>
  <c r="C57" i="23"/>
  <c r="C53" i="23"/>
  <c r="C49" i="23"/>
  <c r="C45" i="23"/>
  <c r="C41" i="23"/>
  <c r="C37" i="23"/>
  <c r="C33" i="23"/>
  <c r="C29" i="23"/>
  <c r="C25" i="23"/>
  <c r="C21" i="23"/>
  <c r="C16" i="23"/>
  <c r="C13" i="23"/>
  <c r="C8" i="23"/>
  <c r="C5" i="23"/>
  <c r="C65" i="17"/>
  <c r="C33" i="17"/>
  <c r="C55" i="21"/>
  <c r="C47" i="21"/>
  <c r="C40" i="21"/>
  <c r="C20" i="19"/>
  <c r="C85" i="21"/>
  <c r="C80" i="21"/>
  <c r="C66" i="21"/>
  <c r="C58" i="21"/>
  <c r="C20" i="21"/>
  <c r="C12" i="21"/>
  <c r="C79" i="21"/>
  <c r="C72" i="21"/>
  <c r="C23" i="21"/>
  <c r="C15" i="21"/>
  <c r="C8" i="21"/>
  <c r="C52" i="21"/>
  <c r="C48" i="21"/>
  <c r="C34" i="21"/>
  <c r="C26" i="21"/>
  <c r="C94" i="22"/>
  <c r="C99" i="22"/>
  <c r="C96" i="22"/>
  <c r="C93" i="22"/>
  <c r="C100" i="22"/>
  <c r="C85" i="22"/>
  <c r="C101" i="22"/>
  <c r="C87" i="22"/>
  <c r="C92" i="22"/>
  <c r="C97" i="22"/>
  <c r="C89" i="22"/>
  <c r="C77" i="22"/>
  <c r="C69" i="22"/>
  <c r="C61" i="22"/>
  <c r="C53" i="22"/>
  <c r="C45" i="22"/>
  <c r="C91" i="22"/>
  <c r="C95" i="22"/>
  <c r="C98" i="22"/>
  <c r="C86" i="22"/>
  <c r="C37" i="22"/>
  <c r="C29" i="22"/>
  <c r="C21" i="22"/>
  <c r="C13" i="22"/>
  <c r="C5" i="22"/>
  <c r="C3" i="22"/>
  <c r="C84" i="22"/>
  <c r="C81" i="22"/>
  <c r="C68" i="22"/>
  <c r="C65" i="22"/>
  <c r="C60" i="22"/>
  <c r="C57" i="22"/>
  <c r="C52" i="22"/>
  <c r="C49" i="22"/>
  <c r="C44" i="22"/>
  <c r="C41" i="22"/>
  <c r="C36" i="22"/>
  <c r="C33" i="22"/>
  <c r="C28" i="22"/>
  <c r="C25" i="22"/>
  <c r="C20" i="22"/>
  <c r="C17" i="22"/>
  <c r="C12" i="22"/>
  <c r="C9" i="22"/>
  <c r="C4" i="22"/>
  <c r="C74" i="22"/>
  <c r="C71" i="22"/>
  <c r="C58" i="22"/>
  <c r="C55" i="22"/>
  <c r="C42" i="22"/>
  <c r="C39" i="22"/>
  <c r="C34" i="22"/>
  <c r="C31" i="22"/>
  <c r="C18" i="22"/>
  <c r="C15" i="22"/>
  <c r="C10" i="22"/>
  <c r="C7" i="22"/>
  <c r="C78" i="22"/>
  <c r="C75" i="22"/>
  <c r="C46" i="22"/>
  <c r="C43" i="22"/>
  <c r="C38" i="22"/>
  <c r="C35" i="22"/>
  <c r="C30" i="22"/>
  <c r="C27" i="22"/>
  <c r="C22" i="22"/>
  <c r="C19" i="22"/>
  <c r="C14" i="22"/>
  <c r="C11" i="22"/>
  <c r="C6" i="22"/>
  <c r="C82" i="22"/>
  <c r="C79" i="22"/>
  <c r="C66" i="22"/>
  <c r="C63" i="22"/>
  <c r="C50" i="22"/>
  <c r="C47" i="22"/>
  <c r="C26" i="22"/>
  <c r="C23" i="22"/>
  <c r="C90" i="22"/>
  <c r="C76" i="22"/>
  <c r="C73" i="22"/>
  <c r="C88" i="22"/>
  <c r="C70" i="22"/>
  <c r="C67" i="22"/>
  <c r="C62" i="22"/>
  <c r="C59" i="22"/>
  <c r="C54" i="22"/>
  <c r="C51" i="22"/>
  <c r="C80" i="22"/>
  <c r="C72" i="22"/>
  <c r="C64" i="22"/>
  <c r="C56" i="22"/>
  <c r="C48" i="22"/>
  <c r="C40" i="22"/>
  <c r="C32" i="22"/>
  <c r="C24" i="22"/>
  <c r="C16" i="22"/>
  <c r="C8" i="22"/>
  <c r="C5" i="17"/>
  <c r="C95" i="18"/>
  <c r="C91" i="18"/>
  <c r="C81" i="18"/>
  <c r="C73" i="18"/>
  <c r="C65" i="18"/>
  <c r="C57" i="18"/>
  <c r="C49" i="18"/>
  <c r="C41" i="18"/>
  <c r="C33" i="18"/>
  <c r="C25" i="18"/>
  <c r="C9" i="18"/>
  <c r="C101" i="20"/>
  <c r="C87" i="20"/>
  <c r="C100" i="20"/>
  <c r="C82" i="20"/>
  <c r="C16" i="21"/>
  <c r="C74" i="21"/>
  <c r="C63" i="21"/>
  <c r="C42" i="21"/>
  <c r="C31" i="21"/>
  <c r="C24" i="21"/>
  <c r="C10" i="21"/>
  <c r="C76" i="20"/>
  <c r="C97" i="20"/>
  <c r="C79" i="20"/>
  <c r="C55" i="20"/>
  <c r="C51" i="20"/>
  <c r="C47" i="20"/>
  <c r="C43" i="20"/>
  <c r="C82" i="21"/>
  <c r="C71" i="21"/>
  <c r="C60" i="21"/>
  <c r="C50" i="21"/>
  <c r="C39" i="21"/>
  <c r="C32" i="21"/>
  <c r="C28" i="21"/>
  <c r="C18" i="21"/>
  <c r="C7" i="21"/>
  <c r="C4" i="21"/>
  <c r="C89" i="21"/>
  <c r="C84" i="21"/>
  <c r="C81" i="21"/>
  <c r="C78" i="21"/>
  <c r="C65" i="21"/>
  <c r="C62" i="21"/>
  <c r="C57" i="21"/>
  <c r="C54" i="21"/>
  <c r="C33" i="21"/>
  <c r="C30" i="21"/>
  <c r="C25" i="21"/>
  <c r="C22" i="21"/>
  <c r="C90" i="21"/>
  <c r="C86" i="21"/>
  <c r="C87" i="21"/>
  <c r="C77" i="21"/>
  <c r="C69" i="21"/>
  <c r="C61" i="21"/>
  <c r="C53" i="21"/>
  <c r="C45" i="21"/>
  <c r="C37" i="21"/>
  <c r="C29" i="21"/>
  <c r="C21" i="21"/>
  <c r="C13" i="21"/>
  <c r="C5" i="21"/>
  <c r="C73" i="21"/>
  <c r="C70" i="21"/>
  <c r="C49" i="21"/>
  <c r="C46" i="21"/>
  <c r="C41" i="21"/>
  <c r="C38" i="21"/>
  <c r="C17" i="21"/>
  <c r="C14" i="21"/>
  <c r="C9" i="21"/>
  <c r="C6" i="21"/>
  <c r="C75" i="21"/>
  <c r="C67" i="21"/>
  <c r="C64" i="21"/>
  <c r="C59" i="21"/>
  <c r="C56" i="21"/>
  <c r="C51" i="21"/>
  <c r="C43" i="21"/>
  <c r="C35" i="21"/>
  <c r="C27" i="21"/>
  <c r="C19" i="21"/>
  <c r="C11" i="21"/>
  <c r="C3" i="21"/>
  <c r="C2" i="21"/>
  <c r="C90" i="17"/>
  <c r="C51" i="17"/>
  <c r="C48" i="17"/>
  <c r="C44" i="17"/>
  <c r="C40" i="17"/>
  <c r="C19" i="17"/>
  <c r="C16" i="17"/>
  <c r="C12" i="17"/>
  <c r="C8" i="17"/>
  <c r="C73" i="20"/>
  <c r="C61" i="20"/>
  <c r="C50" i="20"/>
  <c r="C61" i="17"/>
  <c r="C57" i="17"/>
  <c r="C53" i="17"/>
  <c r="C47" i="17"/>
  <c r="C43" i="17"/>
  <c r="C29" i="17"/>
  <c r="C25" i="17"/>
  <c r="C21" i="17"/>
  <c r="C15" i="17"/>
  <c r="C11" i="17"/>
  <c r="C17" i="20"/>
  <c r="C9" i="20"/>
  <c r="C5" i="20"/>
  <c r="C94" i="17"/>
  <c r="C67" i="17"/>
  <c r="C64" i="17"/>
  <c r="C60" i="17"/>
  <c r="C56" i="17"/>
  <c r="C49" i="17"/>
  <c r="C35" i="17"/>
  <c r="C32" i="17"/>
  <c r="C28" i="17"/>
  <c r="C24" i="17"/>
  <c r="C17" i="17"/>
  <c r="C3" i="17"/>
  <c r="C12" i="20"/>
  <c r="C4" i="20"/>
  <c r="C89" i="17"/>
  <c r="C92" i="17"/>
  <c r="C91" i="17"/>
  <c r="C82" i="17"/>
  <c r="C78" i="17"/>
  <c r="C74" i="17"/>
  <c r="C70" i="17"/>
  <c r="C63" i="17"/>
  <c r="C59" i="17"/>
  <c r="C45" i="17"/>
  <c r="C41" i="17"/>
  <c r="C37" i="17"/>
  <c r="C31" i="17"/>
  <c r="C27" i="17"/>
  <c r="C13" i="17"/>
  <c r="C9" i="17"/>
  <c r="C95" i="20"/>
  <c r="C84" i="20"/>
  <c r="C77" i="20"/>
  <c r="C66" i="20"/>
  <c r="C44" i="20"/>
  <c r="C36" i="20"/>
  <c r="C29" i="20"/>
  <c r="C93" i="20"/>
  <c r="C94" i="20"/>
  <c r="C71" i="20"/>
  <c r="C67" i="20"/>
  <c r="C63" i="20"/>
  <c r="C60" i="20"/>
  <c r="C41" i="20"/>
  <c r="C37" i="20"/>
  <c r="C33" i="20"/>
  <c r="C23" i="20"/>
  <c r="C19" i="20"/>
  <c r="C15" i="20"/>
  <c r="C11" i="20"/>
  <c r="C99" i="20"/>
  <c r="C89" i="20"/>
  <c r="C90" i="20"/>
  <c r="C74" i="20"/>
  <c r="C68" i="20"/>
  <c r="C58" i="20"/>
  <c r="C52" i="20"/>
  <c r="C45" i="20"/>
  <c r="C34" i="20"/>
  <c r="C31" i="20"/>
  <c r="C27" i="20"/>
  <c r="C20" i="20"/>
  <c r="C13" i="20"/>
  <c r="C88" i="20"/>
  <c r="C81" i="20"/>
  <c r="C69" i="20"/>
  <c r="C65" i="20"/>
  <c r="C59" i="20"/>
  <c r="C53" i="20"/>
  <c r="C49" i="20"/>
  <c r="C42" i="20"/>
  <c r="C39" i="20"/>
  <c r="C35" i="20"/>
  <c r="C28" i="20"/>
  <c r="C21" i="20"/>
  <c r="C7" i="20"/>
  <c r="C3" i="20"/>
  <c r="C26" i="20"/>
  <c r="C18" i="20"/>
  <c r="C10" i="20"/>
  <c r="C96" i="20"/>
  <c r="C91" i="20"/>
  <c r="C98" i="20"/>
  <c r="C78" i="20"/>
  <c r="C75" i="20"/>
  <c r="C70" i="20"/>
  <c r="C62" i="20"/>
  <c r="C54" i="20"/>
  <c r="C46" i="20"/>
  <c r="C38" i="20"/>
  <c r="C30" i="20"/>
  <c r="C22" i="20"/>
  <c r="C14" i="20"/>
  <c r="C6" i="20"/>
  <c r="C86" i="20"/>
  <c r="C80" i="20"/>
  <c r="C72" i="20"/>
  <c r="C64" i="20"/>
  <c r="C56" i="20"/>
  <c r="C48" i="20"/>
  <c r="C40" i="20"/>
  <c r="C32" i="20"/>
  <c r="C24" i="20"/>
  <c r="C16" i="20"/>
  <c r="C8" i="20"/>
  <c r="C87" i="17"/>
  <c r="C86" i="17"/>
  <c r="C80" i="17"/>
  <c r="C76" i="17"/>
  <c r="C72" i="17"/>
  <c r="C68" i="17"/>
  <c r="C55" i="17"/>
  <c r="C52" i="17"/>
  <c r="C39" i="17"/>
  <c r="C36" i="17"/>
  <c r="C23" i="17"/>
  <c r="C20" i="17"/>
  <c r="C7" i="17"/>
  <c r="C4" i="17"/>
  <c r="C99" i="18"/>
  <c r="C96" i="18"/>
  <c r="C80" i="18"/>
  <c r="C67" i="18"/>
  <c r="C64" i="18"/>
  <c r="C51" i="18"/>
  <c r="C48" i="18"/>
  <c r="C35" i="18"/>
  <c r="C32" i="18"/>
  <c r="C19" i="18"/>
  <c r="C16" i="18"/>
  <c r="C3" i="18"/>
  <c r="C93" i="19"/>
  <c r="C66" i="19"/>
  <c r="C34" i="19"/>
  <c r="C100" i="18"/>
  <c r="C101" i="18"/>
  <c r="C102" i="18"/>
  <c r="C90" i="18"/>
  <c r="C79" i="18"/>
  <c r="C76" i="18"/>
  <c r="C69" i="18"/>
  <c r="C63" i="18"/>
  <c r="C60" i="18"/>
  <c r="C53" i="18"/>
  <c r="C47" i="18"/>
  <c r="C44" i="18"/>
  <c r="C37" i="18"/>
  <c r="C31" i="18"/>
  <c r="C28" i="18"/>
  <c r="C21" i="18"/>
  <c r="C15" i="18"/>
  <c r="C12" i="18"/>
  <c r="C5" i="18"/>
  <c r="C89" i="18"/>
  <c r="C87" i="18"/>
  <c r="C75" i="18"/>
  <c r="C72" i="18"/>
  <c r="C59" i="18"/>
  <c r="C56" i="18"/>
  <c r="C43" i="18"/>
  <c r="C40" i="18"/>
  <c r="C27" i="18"/>
  <c r="C24" i="18"/>
  <c r="C17" i="18"/>
  <c r="C11" i="18"/>
  <c r="C8" i="18"/>
  <c r="C97" i="18"/>
  <c r="C98" i="18"/>
  <c r="C92" i="18"/>
  <c r="C84" i="18"/>
  <c r="C85" i="18"/>
  <c r="C77" i="18"/>
  <c r="C71" i="18"/>
  <c r="C68" i="18"/>
  <c r="C61" i="18"/>
  <c r="C55" i="18"/>
  <c r="C52" i="18"/>
  <c r="C45" i="18"/>
  <c r="C39" i="18"/>
  <c r="C36" i="18"/>
  <c r="C29" i="18"/>
  <c r="C23" i="18"/>
  <c r="C20" i="18"/>
  <c r="C13" i="18"/>
  <c r="C7" i="18"/>
  <c r="C4" i="18"/>
  <c r="C84" i="19"/>
  <c r="C85" i="19"/>
  <c r="C62" i="19"/>
  <c r="C58" i="19"/>
  <c r="C37" i="19"/>
  <c r="C30" i="19"/>
  <c r="C26" i="19"/>
  <c r="C5" i="19"/>
  <c r="C82" i="19"/>
  <c r="C61" i="19"/>
  <c r="C54" i="19"/>
  <c r="C50" i="19"/>
  <c r="C29" i="19"/>
  <c r="C22" i="19"/>
  <c r="C18" i="19"/>
  <c r="C87" i="19"/>
  <c r="C77" i="19"/>
  <c r="C70" i="19"/>
  <c r="C56" i="19"/>
  <c r="C45" i="19"/>
  <c r="C38" i="19"/>
  <c r="C24" i="19"/>
  <c r="C13" i="19"/>
  <c r="C6" i="19"/>
  <c r="C80" i="19"/>
  <c r="C48" i="19"/>
  <c r="C69" i="19"/>
  <c r="C16" i="19"/>
  <c r="C72" i="19"/>
  <c r="C40" i="19"/>
  <c r="C8" i="19"/>
  <c r="C94" i="19"/>
  <c r="C78" i="19"/>
  <c r="C74" i="19"/>
  <c r="C64" i="19"/>
  <c r="C53" i="19"/>
  <c r="C46" i="19"/>
  <c r="C42" i="19"/>
  <c r="C32" i="19"/>
  <c r="C21" i="19"/>
  <c r="C14" i="19"/>
  <c r="C10" i="19"/>
  <c r="C15" i="19"/>
  <c r="C12" i="19"/>
  <c r="C7" i="19"/>
  <c r="C4" i="19"/>
  <c r="C95" i="19"/>
  <c r="C88" i="19"/>
  <c r="C91" i="19"/>
  <c r="C81" i="19"/>
  <c r="C73" i="19"/>
  <c r="C65" i="19"/>
  <c r="C57" i="19"/>
  <c r="C49" i="19"/>
  <c r="C41" i="19"/>
  <c r="C33" i="19"/>
  <c r="C25" i="19"/>
  <c r="C17" i="19"/>
  <c r="C9" i="19"/>
  <c r="C90" i="19"/>
  <c r="C89" i="19"/>
  <c r="C79" i="19"/>
  <c r="C76" i="19"/>
  <c r="C71" i="19"/>
  <c r="C68" i="19"/>
  <c r="C63" i="19"/>
  <c r="C60" i="19"/>
  <c r="C55" i="19"/>
  <c r="C52" i="19"/>
  <c r="C47" i="19"/>
  <c r="C44" i="19"/>
  <c r="C39" i="19"/>
  <c r="C36" i="19"/>
  <c r="C31" i="19"/>
  <c r="C28" i="19"/>
  <c r="C23" i="19"/>
  <c r="C92" i="19"/>
  <c r="C86" i="19"/>
  <c r="C75" i="19"/>
  <c r="C67" i="19"/>
  <c r="C59" i="19"/>
  <c r="C51" i="19"/>
  <c r="C43" i="19"/>
  <c r="C35" i="19"/>
  <c r="C27" i="19"/>
  <c r="C19" i="19"/>
  <c r="C11" i="19"/>
  <c r="C3" i="19"/>
  <c r="C2" i="19"/>
  <c r="C3" i="14"/>
  <c r="C89" i="16"/>
  <c r="C93" i="17"/>
  <c r="C85" i="17"/>
  <c r="C84" i="17"/>
  <c r="C81" i="17"/>
  <c r="C77" i="17"/>
  <c r="C73" i="17"/>
  <c r="C69" i="17"/>
  <c r="C66" i="17"/>
  <c r="C58" i="17"/>
  <c r="C50" i="17"/>
  <c r="C42" i="17"/>
  <c r="C34" i="17"/>
  <c r="C26" i="17"/>
  <c r="C18" i="17"/>
  <c r="C10" i="17"/>
  <c r="C103" i="18"/>
  <c r="C88" i="18"/>
  <c r="C82" i="18"/>
  <c r="C74" i="18"/>
  <c r="C66" i="18"/>
  <c r="C58" i="18"/>
  <c r="C50" i="18"/>
  <c r="C42" i="18"/>
  <c r="C34" i="18"/>
  <c r="C26" i="18"/>
  <c r="C18" i="18"/>
  <c r="C10" i="18"/>
  <c r="C81" i="16"/>
  <c r="C88" i="17"/>
  <c r="C79" i="17"/>
  <c r="C75" i="17"/>
  <c r="C71" i="17"/>
  <c r="C62" i="17"/>
  <c r="C54" i="17"/>
  <c r="C46" i="17"/>
  <c r="C38" i="17"/>
  <c r="C30" i="17"/>
  <c r="C22" i="17"/>
  <c r="C14" i="17"/>
  <c r="C6" i="17"/>
  <c r="C93" i="18"/>
  <c r="C94" i="18"/>
  <c r="C86" i="18"/>
  <c r="C78" i="18"/>
  <c r="C70" i="18"/>
  <c r="C62" i="18"/>
  <c r="C54" i="18"/>
  <c r="C46" i="18"/>
  <c r="C38" i="18"/>
  <c r="C30" i="18"/>
  <c r="C22" i="18"/>
  <c r="C14" i="18"/>
  <c r="C6" i="18"/>
  <c r="C79" i="16"/>
  <c r="C71" i="16"/>
  <c r="C55" i="16"/>
  <c r="C95" i="16"/>
  <c r="C90" i="16"/>
  <c r="C33" i="16"/>
  <c r="C17" i="16"/>
  <c r="C9" i="16"/>
  <c r="C44" i="16"/>
  <c r="C12" i="16"/>
  <c r="C94" i="16"/>
  <c r="C2" i="17"/>
  <c r="C76" i="16"/>
  <c r="C68" i="16"/>
  <c r="C41" i="16"/>
  <c r="C37" i="16"/>
  <c r="C53" i="13"/>
  <c r="C45" i="13"/>
  <c r="C37" i="13"/>
  <c r="C29" i="13"/>
  <c r="C21" i="13"/>
  <c r="C13" i="13"/>
  <c r="C5" i="13"/>
  <c r="C73" i="16"/>
  <c r="C65" i="16"/>
  <c r="C23" i="16"/>
  <c r="C86" i="16"/>
  <c r="C93" i="16"/>
  <c r="C96" i="16"/>
  <c r="C63" i="16"/>
  <c r="C52" i="16"/>
  <c r="C45" i="16"/>
  <c r="C31" i="16"/>
  <c r="C20" i="16"/>
  <c r="C57" i="16"/>
  <c r="C47" i="16"/>
  <c r="C36" i="16"/>
  <c r="C25" i="16"/>
  <c r="C15" i="16"/>
  <c r="C4" i="16"/>
  <c r="C60" i="16"/>
  <c r="C49" i="16"/>
  <c r="C39" i="16"/>
  <c r="C28" i="16"/>
  <c r="C7" i="16"/>
  <c r="C91" i="16"/>
  <c r="C78" i="16"/>
  <c r="C75" i="16"/>
  <c r="C62" i="16"/>
  <c r="C59" i="16"/>
  <c r="C99" i="16"/>
  <c r="C92" i="16"/>
  <c r="C85" i="16"/>
  <c r="C82" i="16"/>
  <c r="C74" i="16"/>
  <c r="C66" i="16"/>
  <c r="C58" i="16"/>
  <c r="C50" i="16"/>
  <c r="C42" i="16"/>
  <c r="C34" i="16"/>
  <c r="C26" i="16"/>
  <c r="C18" i="16"/>
  <c r="C10" i="16"/>
  <c r="C46" i="16"/>
  <c r="C43" i="16"/>
  <c r="C38" i="16"/>
  <c r="C35" i="16"/>
  <c r="C30" i="16"/>
  <c r="C27" i="16"/>
  <c r="C22" i="16"/>
  <c r="C19" i="16"/>
  <c r="C14" i="16"/>
  <c r="C11" i="16"/>
  <c r="C6" i="16"/>
  <c r="C3" i="16"/>
  <c r="C87" i="16"/>
  <c r="C70" i="16"/>
  <c r="C67" i="16"/>
  <c r="C54" i="16"/>
  <c r="C51" i="16"/>
  <c r="C97" i="16"/>
  <c r="C100" i="16"/>
  <c r="C98" i="16"/>
  <c r="C84" i="16"/>
  <c r="C88" i="16"/>
  <c r="C80" i="16"/>
  <c r="C77" i="16"/>
  <c r="C72" i="16"/>
  <c r="C69" i="16"/>
  <c r="C64" i="16"/>
  <c r="C61" i="16"/>
  <c r="C56" i="16"/>
  <c r="C53" i="16"/>
  <c r="C48" i="16"/>
  <c r="C40" i="16"/>
  <c r="C32" i="16"/>
  <c r="C29" i="16"/>
  <c r="C24" i="16"/>
  <c r="C21" i="16"/>
  <c r="C16" i="16"/>
  <c r="C13" i="16"/>
  <c r="C8" i="16"/>
  <c r="C5" i="16"/>
  <c r="C89" i="15"/>
  <c r="C41" i="15"/>
  <c r="C33" i="15"/>
  <c r="C9" i="15"/>
  <c r="C87" i="15"/>
  <c r="C73" i="15"/>
  <c r="C57" i="15"/>
  <c r="C79" i="15"/>
  <c r="C63" i="15"/>
  <c r="C47" i="15"/>
  <c r="C94" i="15"/>
  <c r="C88" i="15"/>
  <c r="C81" i="15"/>
  <c r="C69" i="15"/>
  <c r="C65" i="15"/>
  <c r="C59" i="15"/>
  <c r="C43" i="15"/>
  <c r="C36" i="15"/>
  <c r="C29" i="15"/>
  <c r="C25" i="15"/>
  <c r="C15" i="15"/>
  <c r="C11" i="15"/>
  <c r="C4" i="15"/>
  <c r="C90" i="15"/>
  <c r="C74" i="15"/>
  <c r="C71" i="15"/>
  <c r="C68" i="15"/>
  <c r="C58" i="15"/>
  <c r="C55" i="15"/>
  <c r="C93" i="15"/>
  <c r="C86" i="15"/>
  <c r="C84" i="15"/>
  <c r="C77" i="15"/>
  <c r="C67" i="15"/>
  <c r="C61" i="15"/>
  <c r="C51" i="15"/>
  <c r="C45" i="15"/>
  <c r="C34" i="15"/>
  <c r="C31" i="15"/>
  <c r="C27" i="15"/>
  <c r="C20" i="15"/>
  <c r="C13" i="15"/>
  <c r="C91" i="15"/>
  <c r="C82" i="15"/>
  <c r="C76" i="15"/>
  <c r="C66" i="15"/>
  <c r="C60" i="15"/>
  <c r="C50" i="15"/>
  <c r="C44" i="15"/>
  <c r="C37" i="15"/>
  <c r="C26" i="15"/>
  <c r="C23" i="15"/>
  <c r="C19" i="15"/>
  <c r="C12" i="15"/>
  <c r="C5" i="15"/>
  <c r="C95" i="15"/>
  <c r="C75" i="15"/>
  <c r="C53" i="15"/>
  <c r="C49" i="15"/>
  <c r="C18" i="15"/>
  <c r="C92" i="15"/>
  <c r="C52" i="15"/>
  <c r="C42" i="15"/>
  <c r="C39" i="15"/>
  <c r="C35" i="15"/>
  <c r="C28" i="15"/>
  <c r="C21" i="15"/>
  <c r="C7" i="15"/>
  <c r="C3" i="15"/>
  <c r="C10" i="15"/>
  <c r="C85" i="15"/>
  <c r="C78" i="15"/>
  <c r="C70" i="15"/>
  <c r="C62" i="15"/>
  <c r="C54" i="15"/>
  <c r="C46" i="15"/>
  <c r="C38" i="15"/>
  <c r="C30" i="15"/>
  <c r="C22" i="15"/>
  <c r="C14" i="15"/>
  <c r="C6" i="15"/>
  <c r="C80" i="15"/>
  <c r="C72" i="15"/>
  <c r="C64" i="15"/>
  <c r="C56" i="15"/>
  <c r="C48" i="15"/>
  <c r="C40" i="15"/>
  <c r="C32" i="15"/>
  <c r="C24" i="15"/>
  <c r="C16" i="15"/>
  <c r="C8" i="15"/>
  <c r="C2" i="15"/>
  <c r="C6" i="14"/>
  <c r="C77" i="14"/>
  <c r="C69" i="14"/>
  <c r="C61" i="14"/>
  <c r="C53" i="14"/>
  <c r="C45" i="14"/>
  <c r="C37" i="14"/>
  <c r="C29" i="14"/>
  <c r="C21" i="14"/>
  <c r="C13" i="14"/>
  <c r="C5" i="14"/>
  <c r="C91" i="12"/>
  <c r="C89" i="12"/>
  <c r="C79" i="12"/>
  <c r="C75" i="12"/>
  <c r="C71" i="12"/>
  <c r="C67" i="12"/>
  <c r="C63" i="12"/>
  <c r="C59" i="12"/>
  <c r="C55" i="12"/>
  <c r="C51" i="12"/>
  <c r="C47" i="12"/>
  <c r="C43" i="12"/>
  <c r="C39" i="12"/>
  <c r="C35" i="12"/>
  <c r="C31" i="12"/>
  <c r="C27" i="12"/>
  <c r="C19" i="12"/>
  <c r="C87" i="14"/>
  <c r="C93" i="14"/>
  <c r="C92" i="8"/>
  <c r="C91" i="8"/>
  <c r="C17" i="8"/>
  <c r="C79" i="14"/>
  <c r="C71" i="14"/>
  <c r="C63" i="14"/>
  <c r="C55" i="14"/>
  <c r="C47" i="14"/>
  <c r="C39" i="14"/>
  <c r="C31" i="14"/>
  <c r="C23" i="14"/>
  <c r="C15" i="14"/>
  <c r="C7" i="14"/>
  <c r="C92" i="14"/>
  <c r="C95" i="14"/>
  <c r="C89" i="14"/>
  <c r="C91" i="14"/>
  <c r="C90" i="14"/>
  <c r="C86" i="14"/>
  <c r="C82" i="14"/>
  <c r="C74" i="14"/>
  <c r="C66" i="14"/>
  <c r="C58" i="14"/>
  <c r="C50" i="14"/>
  <c r="C42" i="14"/>
  <c r="C34" i="14"/>
  <c r="C26" i="14"/>
  <c r="C18" i="14"/>
  <c r="C10" i="14"/>
  <c r="C94" i="14"/>
  <c r="C84" i="14"/>
  <c r="C81" i="14"/>
  <c r="C76" i="14"/>
  <c r="C73" i="14"/>
  <c r="C68" i="14"/>
  <c r="C65" i="14"/>
  <c r="C60" i="14"/>
  <c r="C57" i="14"/>
  <c r="C52" i="14"/>
  <c r="C49" i="14"/>
  <c r="C44" i="14"/>
  <c r="C41" i="14"/>
  <c r="C36" i="14"/>
  <c r="C33" i="14"/>
  <c r="C28" i="14"/>
  <c r="C25" i="14"/>
  <c r="C20" i="14"/>
  <c r="C17" i="14"/>
  <c r="C12" i="14"/>
  <c r="C9" i="14"/>
  <c r="C4" i="14"/>
  <c r="C78" i="14"/>
  <c r="C75" i="14"/>
  <c r="C70" i="14"/>
  <c r="C67" i="14"/>
  <c r="C62" i="14"/>
  <c r="C59" i="14"/>
  <c r="C54" i="14"/>
  <c r="C51" i="14"/>
  <c r="C46" i="14"/>
  <c r="C43" i="14"/>
  <c r="C38" i="14"/>
  <c r="C35" i="14"/>
  <c r="C30" i="14"/>
  <c r="C27" i="14"/>
  <c r="C22" i="14"/>
  <c r="C19" i="14"/>
  <c r="C14" i="14"/>
  <c r="C11" i="14"/>
  <c r="C85" i="14"/>
  <c r="C80" i="14"/>
  <c r="C72" i="14"/>
  <c r="C64" i="14"/>
  <c r="C56" i="14"/>
  <c r="C48" i="14"/>
  <c r="C40" i="14"/>
  <c r="C32" i="14"/>
  <c r="C24" i="14"/>
  <c r="C16" i="14"/>
  <c r="C8" i="14"/>
  <c r="C2" i="14"/>
  <c r="C25" i="12"/>
  <c r="C9" i="12"/>
  <c r="C95" i="13"/>
  <c r="C51" i="13"/>
  <c r="C43" i="13"/>
  <c r="C35" i="13"/>
  <c r="C27" i="13"/>
  <c r="C19" i="13"/>
  <c r="C11" i="13"/>
  <c r="C3" i="13"/>
  <c r="C86" i="13"/>
  <c r="C96" i="13"/>
  <c r="C79" i="13"/>
  <c r="C71" i="13"/>
  <c r="C63" i="13"/>
  <c r="C50" i="13"/>
  <c r="C47" i="13"/>
  <c r="C97" i="13"/>
  <c r="C94" i="13"/>
  <c r="C90" i="13"/>
  <c r="C82" i="13"/>
  <c r="C74" i="13"/>
  <c r="C66" i="13"/>
  <c r="C58" i="13"/>
  <c r="C52" i="13"/>
  <c r="C49" i="13"/>
  <c r="C44" i="13"/>
  <c r="C41" i="13"/>
  <c r="C36" i="13"/>
  <c r="C33" i="13"/>
  <c r="C28" i="13"/>
  <c r="C25" i="13"/>
  <c r="C20" i="13"/>
  <c r="C17" i="13"/>
  <c r="C12" i="13"/>
  <c r="C9" i="13"/>
  <c r="C4" i="13"/>
  <c r="C93" i="13"/>
  <c r="C100" i="13"/>
  <c r="C88" i="13"/>
  <c r="C87" i="13"/>
  <c r="C107" i="13"/>
  <c r="C91" i="13"/>
  <c r="C106" i="13"/>
  <c r="C81" i="13"/>
  <c r="C77" i="13"/>
  <c r="C73" i="13"/>
  <c r="C69" i="13"/>
  <c r="C65" i="13"/>
  <c r="C61" i="13"/>
  <c r="C57" i="13"/>
  <c r="C54" i="13"/>
  <c r="C46" i="13"/>
  <c r="C38" i="13"/>
  <c r="C30" i="13"/>
  <c r="C22" i="13"/>
  <c r="C14" i="13"/>
  <c r="C6" i="13"/>
  <c r="C104" i="13"/>
  <c r="C103" i="13"/>
  <c r="C75" i="13"/>
  <c r="C67" i="13"/>
  <c r="C59" i="13"/>
  <c r="C55" i="13"/>
  <c r="C42" i="13"/>
  <c r="C39" i="13"/>
  <c r="C34" i="13"/>
  <c r="C31" i="13"/>
  <c r="C26" i="13"/>
  <c r="C23" i="13"/>
  <c r="C18" i="13"/>
  <c r="C15" i="13"/>
  <c r="C10" i="13"/>
  <c r="C7" i="13"/>
  <c r="C89" i="13"/>
  <c r="C105" i="13"/>
  <c r="C101" i="13"/>
  <c r="C78" i="13"/>
  <c r="C70" i="13"/>
  <c r="C62" i="13"/>
  <c r="C92" i="13"/>
  <c r="C98" i="13"/>
  <c r="C84" i="13"/>
  <c r="C85" i="13"/>
  <c r="C102" i="13"/>
  <c r="C99" i="13"/>
  <c r="C80" i="13"/>
  <c r="C76" i="13"/>
  <c r="C72" i="13"/>
  <c r="C68" i="13"/>
  <c r="C64" i="13"/>
  <c r="C60" i="13"/>
  <c r="C56" i="13"/>
  <c r="C48" i="13"/>
  <c r="C40" i="13"/>
  <c r="C32" i="13"/>
  <c r="C24" i="13"/>
  <c r="C16" i="13"/>
  <c r="C8" i="13"/>
  <c r="C23" i="12"/>
  <c r="C28" i="12"/>
  <c r="C22" i="12"/>
  <c r="C12" i="12"/>
  <c r="C15" i="12"/>
  <c r="C4" i="12"/>
  <c r="C9" i="8"/>
  <c r="C5" i="8"/>
  <c r="C92" i="12"/>
  <c r="C85" i="12"/>
  <c r="C88" i="12"/>
  <c r="C82" i="12"/>
  <c r="C78" i="12"/>
  <c r="C74" i="12"/>
  <c r="C70" i="12"/>
  <c r="C66" i="12"/>
  <c r="C62" i="12"/>
  <c r="C58" i="12"/>
  <c r="C54" i="12"/>
  <c r="C50" i="12"/>
  <c r="C46" i="12"/>
  <c r="C42" i="12"/>
  <c r="C38" i="12"/>
  <c r="C34" i="12"/>
  <c r="C30" i="12"/>
  <c r="C20" i="12"/>
  <c r="C17" i="12"/>
  <c r="C14" i="12"/>
  <c r="C7" i="12"/>
  <c r="C94" i="12"/>
  <c r="C84" i="12"/>
  <c r="C87" i="12"/>
  <c r="C80" i="12"/>
  <c r="C76" i="12"/>
  <c r="C72" i="12"/>
  <c r="C68" i="12"/>
  <c r="C64" i="12"/>
  <c r="C60" i="12"/>
  <c r="C56" i="12"/>
  <c r="C52" i="12"/>
  <c r="C48" i="12"/>
  <c r="C44" i="12"/>
  <c r="C40" i="12"/>
  <c r="C36" i="12"/>
  <c r="C32" i="12"/>
  <c r="C26" i="12"/>
  <c r="C18" i="12"/>
  <c r="C10" i="12"/>
  <c r="C11" i="12"/>
  <c r="C6" i="12"/>
  <c r="C3" i="12"/>
  <c r="C93" i="12"/>
  <c r="C86" i="12"/>
  <c r="C90" i="12"/>
  <c r="C81" i="12"/>
  <c r="C77" i="12"/>
  <c r="C73" i="12"/>
  <c r="C69" i="12"/>
  <c r="C65" i="12"/>
  <c r="C61" i="12"/>
  <c r="C57" i="12"/>
  <c r="C53" i="12"/>
  <c r="C49" i="12"/>
  <c r="C45" i="12"/>
  <c r="C41" i="12"/>
  <c r="C37" i="12"/>
  <c r="C33" i="12"/>
  <c r="C29" i="12"/>
  <c r="C24" i="12"/>
  <c r="C21" i="12"/>
  <c r="C16" i="12"/>
  <c r="C13" i="12"/>
  <c r="C8" i="12"/>
  <c r="C5" i="12"/>
  <c r="C86" i="8"/>
  <c r="C102" i="8"/>
  <c r="C96" i="8"/>
  <c r="C98" i="8"/>
  <c r="C82" i="8"/>
  <c r="C78" i="8"/>
  <c r="C74" i="8"/>
  <c r="C70" i="8"/>
  <c r="C66" i="8"/>
  <c r="C62" i="8"/>
  <c r="C58" i="8"/>
  <c r="C54" i="8"/>
  <c r="C50" i="8"/>
  <c r="C46" i="8"/>
  <c r="C42" i="8"/>
  <c r="C38" i="8"/>
  <c r="C34" i="8"/>
  <c r="C26" i="8"/>
  <c r="C92" i="9"/>
  <c r="C91" i="9"/>
  <c r="C76" i="9"/>
  <c r="C57" i="10"/>
  <c r="C25" i="10"/>
  <c r="C101" i="8"/>
  <c r="C95" i="8"/>
  <c r="C97" i="8"/>
  <c r="C93" i="8"/>
  <c r="C5" i="11"/>
  <c r="C79" i="11"/>
  <c r="C71" i="11"/>
  <c r="C63" i="11"/>
  <c r="C55" i="11"/>
  <c r="C47" i="11"/>
  <c r="C39" i="11"/>
  <c r="C31" i="11"/>
  <c r="C23" i="11"/>
  <c r="C15" i="11"/>
  <c r="C7" i="11"/>
  <c r="C28" i="11"/>
  <c r="C25" i="11"/>
  <c r="C20" i="11"/>
  <c r="C17" i="11"/>
  <c r="C12" i="11"/>
  <c r="C9" i="11"/>
  <c r="C4" i="11"/>
  <c r="C78" i="11"/>
  <c r="C75" i="11"/>
  <c r="C70" i="11"/>
  <c r="C67" i="11"/>
  <c r="C62" i="11"/>
  <c r="C59" i="11"/>
  <c r="C54" i="11"/>
  <c r="C51" i="11"/>
  <c r="C46" i="11"/>
  <c r="C43" i="11"/>
  <c r="C38" i="11"/>
  <c r="C35" i="11"/>
  <c r="C30" i="11"/>
  <c r="C27" i="11"/>
  <c r="C22" i="11"/>
  <c r="C19" i="11"/>
  <c r="C85" i="11"/>
  <c r="C82" i="11"/>
  <c r="C74" i="11"/>
  <c r="C66" i="11"/>
  <c r="C58" i="11"/>
  <c r="C50" i="11"/>
  <c r="C42" i="11"/>
  <c r="C34" i="11"/>
  <c r="C26" i="11"/>
  <c r="C18" i="11"/>
  <c r="C10" i="11"/>
  <c r="C84" i="11"/>
  <c r="C81" i="11"/>
  <c r="C76" i="11"/>
  <c r="C73" i="11"/>
  <c r="C68" i="11"/>
  <c r="C65" i="11"/>
  <c r="C60" i="11"/>
  <c r="C57" i="11"/>
  <c r="C52" i="11"/>
  <c r="C49" i="11"/>
  <c r="C44" i="11"/>
  <c r="C41" i="11"/>
  <c r="C36" i="11"/>
  <c r="C33" i="11"/>
  <c r="C14" i="11"/>
  <c r="C11" i="11"/>
  <c r="C6" i="11"/>
  <c r="C3" i="11"/>
  <c r="C80" i="11"/>
  <c r="C77" i="11"/>
  <c r="C72" i="11"/>
  <c r="C69" i="11"/>
  <c r="C64" i="11"/>
  <c r="C61" i="11"/>
  <c r="C56" i="11"/>
  <c r="C53" i="11"/>
  <c r="C48" i="11"/>
  <c r="C45" i="11"/>
  <c r="C40" i="11"/>
  <c r="C37" i="11"/>
  <c r="C32" i="11"/>
  <c r="C29" i="11"/>
  <c r="C24" i="11"/>
  <c r="C21" i="11"/>
  <c r="C16" i="11"/>
  <c r="C13" i="11"/>
  <c r="C8" i="11"/>
  <c r="C2" i="11"/>
  <c r="C103" i="9"/>
  <c r="C87" i="9"/>
  <c r="C86" i="9"/>
  <c r="C79" i="9"/>
  <c r="C72" i="9"/>
  <c r="C68" i="9"/>
  <c r="C58" i="9"/>
  <c r="C54" i="9"/>
  <c r="C50" i="9"/>
  <c r="C46" i="9"/>
  <c r="C42" i="9"/>
  <c r="C38" i="9"/>
  <c r="C34" i="9"/>
  <c r="C30" i="9"/>
  <c r="C26" i="9"/>
  <c r="C22" i="9"/>
  <c r="C18" i="9"/>
  <c r="C14" i="9"/>
  <c r="C10" i="9"/>
  <c r="C6" i="9"/>
  <c r="C64" i="10"/>
  <c r="C60" i="10"/>
  <c r="C53" i="10"/>
  <c r="C32" i="10"/>
  <c r="C28" i="10"/>
  <c r="C21" i="10"/>
  <c r="C97" i="9"/>
  <c r="C102" i="9"/>
  <c r="C82" i="9"/>
  <c r="C78" i="9"/>
  <c r="C71" i="9"/>
  <c r="C64" i="9"/>
  <c r="C60" i="9"/>
  <c r="C92" i="10"/>
  <c r="C88" i="10"/>
  <c r="C84" i="10"/>
  <c r="C81" i="10"/>
  <c r="C77" i="10"/>
  <c r="C73" i="10"/>
  <c r="C67" i="10"/>
  <c r="C63" i="10"/>
  <c r="C49" i="10"/>
  <c r="C45" i="10"/>
  <c r="C41" i="10"/>
  <c r="C35" i="10"/>
  <c r="C31" i="10"/>
  <c r="C9" i="10"/>
  <c r="C5" i="10"/>
  <c r="C20" i="8"/>
  <c r="C95" i="9"/>
  <c r="C84" i="9"/>
  <c r="C93" i="9"/>
  <c r="C74" i="9"/>
  <c r="C70" i="9"/>
  <c r="C63" i="9"/>
  <c r="C56" i="9"/>
  <c r="C48" i="9"/>
  <c r="C40" i="9"/>
  <c r="C32" i="9"/>
  <c r="C24" i="9"/>
  <c r="C16" i="9"/>
  <c r="C8" i="9"/>
  <c r="C93" i="10"/>
  <c r="C91" i="10"/>
  <c r="C87" i="10"/>
  <c r="C80" i="10"/>
  <c r="C76" i="10"/>
  <c r="C69" i="10"/>
  <c r="C48" i="10"/>
  <c r="C44" i="10"/>
  <c r="C37" i="10"/>
  <c r="C12" i="10"/>
  <c r="C31" i="8"/>
  <c r="C27" i="8"/>
  <c r="C23" i="8"/>
  <c r="C7" i="8"/>
  <c r="C105" i="9"/>
  <c r="C96" i="9"/>
  <c r="C90" i="9"/>
  <c r="C94" i="9"/>
  <c r="C80" i="9"/>
  <c r="C66" i="9"/>
  <c r="C62" i="9"/>
  <c r="C55" i="9"/>
  <c r="C89" i="10"/>
  <c r="C85" i="10"/>
  <c r="C79" i="10"/>
  <c r="C65" i="10"/>
  <c r="C61" i="10"/>
  <c r="C51" i="10"/>
  <c r="C47" i="10"/>
  <c r="C29" i="10"/>
  <c r="C19" i="10"/>
  <c r="C86" i="10"/>
  <c r="C71" i="10"/>
  <c r="C68" i="10"/>
  <c r="C55" i="10"/>
  <c r="C52" i="10"/>
  <c r="C39" i="10"/>
  <c r="C36" i="10"/>
  <c r="C23" i="10"/>
  <c r="C20" i="10"/>
  <c r="C13" i="10"/>
  <c r="C15" i="10"/>
  <c r="C11" i="10"/>
  <c r="C4" i="10"/>
  <c r="C75" i="10"/>
  <c r="C72" i="10"/>
  <c r="C59" i="10"/>
  <c r="C56" i="10"/>
  <c r="C43" i="10"/>
  <c r="C40" i="10"/>
  <c r="C33" i="10"/>
  <c r="C27" i="10"/>
  <c r="C24" i="10"/>
  <c r="C7" i="10"/>
  <c r="C3" i="10"/>
  <c r="C82" i="10"/>
  <c r="C74" i="10"/>
  <c r="C66" i="10"/>
  <c r="C58" i="10"/>
  <c r="C50" i="10"/>
  <c r="C42" i="10"/>
  <c r="C34" i="10"/>
  <c r="C26" i="10"/>
  <c r="C18" i="10"/>
  <c r="C10" i="10"/>
  <c r="C90" i="10"/>
  <c r="C78" i="10"/>
  <c r="C70" i="10"/>
  <c r="C62" i="10"/>
  <c r="C54" i="10"/>
  <c r="C46" i="10"/>
  <c r="C38" i="10"/>
  <c r="C30" i="10"/>
  <c r="C22" i="10"/>
  <c r="C14" i="10"/>
  <c r="C6" i="10"/>
  <c r="C16" i="10"/>
  <c r="C8" i="10"/>
  <c r="C88" i="9"/>
  <c r="C99" i="9"/>
  <c r="C101" i="9"/>
  <c r="C89" i="9"/>
  <c r="C77" i="9"/>
  <c r="C69" i="9"/>
  <c r="C61" i="9"/>
  <c r="C53" i="9"/>
  <c r="C45" i="9"/>
  <c r="C37" i="9"/>
  <c r="C29" i="9"/>
  <c r="C21" i="9"/>
  <c r="C13" i="9"/>
  <c r="C5" i="9"/>
  <c r="C52" i="9"/>
  <c r="C47" i="9"/>
  <c r="C44" i="9"/>
  <c r="C39" i="9"/>
  <c r="C36" i="9"/>
  <c r="C31" i="9"/>
  <c r="C28" i="9"/>
  <c r="C23" i="9"/>
  <c r="C20" i="9"/>
  <c r="C15" i="9"/>
  <c r="C12" i="9"/>
  <c r="C7" i="9"/>
  <c r="C25" i="8"/>
  <c r="C15" i="8"/>
  <c r="C11" i="8"/>
  <c r="C4" i="8"/>
  <c r="C106" i="9"/>
  <c r="C100" i="9"/>
  <c r="C85" i="9"/>
  <c r="C81" i="9"/>
  <c r="C73" i="9"/>
  <c r="C65" i="9"/>
  <c r="C57" i="9"/>
  <c r="C49" i="9"/>
  <c r="C41" i="9"/>
  <c r="C33" i="9"/>
  <c r="C25" i="9"/>
  <c r="C17" i="9"/>
  <c r="C9" i="9"/>
  <c r="C21" i="8"/>
  <c r="C10" i="8"/>
  <c r="C104" i="9"/>
  <c r="C98" i="9"/>
  <c r="C75" i="9"/>
  <c r="C67" i="9"/>
  <c r="C59" i="9"/>
  <c r="C51" i="9"/>
  <c r="C43" i="9"/>
  <c r="C35" i="9"/>
  <c r="C27" i="9"/>
  <c r="C19" i="9"/>
  <c r="C11" i="9"/>
  <c r="C3" i="9"/>
  <c r="C2" i="10"/>
  <c r="C2" i="9"/>
  <c r="C79" i="8"/>
  <c r="C75" i="8"/>
  <c r="C71" i="8"/>
  <c r="C67" i="8"/>
  <c r="C63" i="8"/>
  <c r="C59" i="8"/>
  <c r="C55" i="8"/>
  <c r="C51" i="8"/>
  <c r="C47" i="8"/>
  <c r="C43" i="8"/>
  <c r="C39" i="8"/>
  <c r="C35" i="8"/>
  <c r="C28" i="8"/>
  <c r="C18" i="8"/>
  <c r="C12" i="8"/>
  <c r="C29" i="8"/>
  <c r="C19" i="8"/>
  <c r="C13" i="8"/>
  <c r="C3" i="8"/>
  <c r="C100" i="8"/>
  <c r="C89" i="8"/>
  <c r="C84" i="8"/>
  <c r="C81" i="8"/>
  <c r="C77" i="8"/>
  <c r="C73" i="8"/>
  <c r="C69" i="8"/>
  <c r="C65" i="8"/>
  <c r="C61" i="8"/>
  <c r="C57" i="8"/>
  <c r="C53" i="8"/>
  <c r="C49" i="8"/>
  <c r="C45" i="8"/>
  <c r="C41" i="8"/>
  <c r="C37" i="8"/>
  <c r="C33" i="8"/>
  <c r="C30" i="8"/>
  <c r="C22" i="8"/>
  <c r="C14" i="8"/>
  <c r="C6" i="8"/>
  <c r="C87" i="8"/>
  <c r="C88" i="8"/>
  <c r="C99" i="8"/>
  <c r="C94" i="8"/>
  <c r="C85" i="8"/>
  <c r="C90" i="8"/>
  <c r="C80" i="8"/>
  <c r="C76" i="8"/>
  <c r="C72" i="8"/>
  <c r="C68" i="8"/>
  <c r="C64" i="8"/>
  <c r="C60" i="8"/>
  <c r="C56" i="8"/>
  <c r="C52" i="8"/>
  <c r="C48" i="8"/>
  <c r="C44" i="8"/>
  <c r="C40" i="8"/>
  <c r="C36" i="8"/>
  <c r="C32" i="8"/>
  <c r="C24" i="8"/>
  <c r="C16" i="8"/>
  <c r="C8" i="8"/>
  <c r="C37" i="6"/>
  <c r="C92" i="5"/>
  <c r="C93" i="5"/>
  <c r="C113" i="6"/>
  <c r="C102" i="6"/>
  <c r="C106" i="6"/>
  <c r="C95" i="6"/>
  <c r="C91" i="6"/>
  <c r="C89" i="6"/>
  <c r="C108" i="6"/>
  <c r="C118" i="6"/>
  <c r="C85" i="6"/>
  <c r="C88" i="6"/>
  <c r="C80" i="6"/>
  <c r="C76" i="6"/>
  <c r="C72" i="6"/>
  <c r="C68" i="6"/>
  <c r="C64" i="6"/>
  <c r="C60" i="6"/>
  <c r="C56" i="6"/>
  <c r="C45" i="6"/>
  <c r="C29" i="6"/>
  <c r="C87" i="5"/>
  <c r="C84" i="5"/>
  <c r="C121" i="6"/>
  <c r="C101" i="6"/>
  <c r="C97" i="6"/>
  <c r="C105" i="6"/>
  <c r="C116" i="6"/>
  <c r="C117" i="6"/>
  <c r="C99" i="6"/>
  <c r="C79" i="6"/>
  <c r="C75" i="6"/>
  <c r="C71" i="6"/>
  <c r="C51" i="6"/>
  <c r="C47" i="6"/>
  <c r="C39" i="6"/>
  <c r="C31" i="6"/>
  <c r="C23" i="6"/>
  <c r="C15" i="6"/>
  <c r="C7" i="6"/>
  <c r="C88" i="5"/>
  <c r="C114" i="6"/>
  <c r="C103" i="6"/>
  <c r="C2" i="8"/>
  <c r="C6" i="7"/>
  <c r="C51" i="7"/>
  <c r="C10" i="7"/>
  <c r="C22" i="7"/>
  <c r="C26" i="7"/>
  <c r="C7" i="7"/>
  <c r="C35" i="7"/>
  <c r="C21" i="7"/>
  <c r="C29" i="7"/>
  <c r="C33" i="7"/>
  <c r="C37" i="7"/>
  <c r="C45" i="7"/>
  <c r="C49" i="7"/>
  <c r="C52" i="7"/>
  <c r="C64" i="7"/>
  <c r="C11" i="7"/>
  <c r="C19" i="7"/>
  <c r="C27" i="7"/>
  <c r="C70" i="7"/>
  <c r="C74" i="7"/>
  <c r="C89" i="7"/>
  <c r="C3" i="7"/>
  <c r="C23" i="7"/>
  <c r="C94" i="7"/>
  <c r="C4" i="7"/>
  <c r="C16" i="7"/>
  <c r="C36" i="7"/>
  <c r="C48" i="7"/>
  <c r="C55" i="7"/>
  <c r="C59" i="7"/>
  <c r="C67" i="7"/>
  <c r="C71" i="7"/>
  <c r="C75" i="7"/>
  <c r="C84" i="7"/>
  <c r="C5" i="7"/>
  <c r="C13" i="7"/>
  <c r="C17" i="7"/>
  <c r="C20" i="7"/>
  <c r="C32" i="7"/>
  <c r="C39" i="7"/>
  <c r="C43" i="7"/>
  <c r="C54" i="7"/>
  <c r="C58" i="7"/>
  <c r="C69" i="7"/>
  <c r="C77" i="7"/>
  <c r="C81" i="7"/>
  <c r="C93" i="7"/>
  <c r="C38" i="7"/>
  <c r="C42" i="7"/>
  <c r="C53" i="7"/>
  <c r="C61" i="7"/>
  <c r="C65" i="7"/>
  <c r="C68" i="7"/>
  <c r="C80" i="7"/>
  <c r="C85" i="7"/>
  <c r="C87" i="7"/>
  <c r="C88" i="7"/>
  <c r="C9" i="7"/>
  <c r="C12" i="7"/>
  <c r="C15" i="7"/>
  <c r="C25" i="7"/>
  <c r="C28" i="7"/>
  <c r="C31" i="7"/>
  <c r="C41" i="7"/>
  <c r="C44" i="7"/>
  <c r="C47" i="7"/>
  <c r="C57" i="7"/>
  <c r="C60" i="7"/>
  <c r="C63" i="7"/>
  <c r="C73" i="7"/>
  <c r="C76" i="7"/>
  <c r="C79" i="7"/>
  <c r="C86" i="7"/>
  <c r="C8" i="7"/>
  <c r="C14" i="7"/>
  <c r="C18" i="7"/>
  <c r="C24" i="7"/>
  <c r="C30" i="7"/>
  <c r="C34" i="7"/>
  <c r="C40" i="7"/>
  <c r="C46" i="7"/>
  <c r="C50" i="7"/>
  <c r="C56" i="7"/>
  <c r="C62" i="7"/>
  <c r="C66" i="7"/>
  <c r="C72" i="7"/>
  <c r="C78" i="7"/>
  <c r="C82" i="7"/>
  <c r="C91" i="7"/>
  <c r="C90" i="7"/>
  <c r="C92" i="7"/>
  <c r="C94" i="6"/>
  <c r="C122" i="6"/>
  <c r="C110" i="6"/>
  <c r="C90" i="6"/>
  <c r="C96" i="6"/>
  <c r="C107" i="6"/>
  <c r="C119" i="6"/>
  <c r="C100" i="6"/>
  <c r="C111" i="6"/>
  <c r="C82" i="6"/>
  <c r="C78" i="6"/>
  <c r="C74" i="6"/>
  <c r="C70" i="6"/>
  <c r="C66" i="6"/>
  <c r="C62" i="6"/>
  <c r="C58" i="6"/>
  <c r="C54" i="6"/>
  <c r="C42" i="6"/>
  <c r="C34" i="6"/>
  <c r="C26" i="6"/>
  <c r="C18" i="6"/>
  <c r="C10" i="6"/>
  <c r="C109" i="6"/>
  <c r="C93" i="6"/>
  <c r="C98" i="6"/>
  <c r="C120" i="6"/>
  <c r="C112" i="6"/>
  <c r="C84" i="6"/>
  <c r="C86" i="6"/>
  <c r="C104" i="6"/>
  <c r="C115" i="6"/>
  <c r="C87" i="6"/>
  <c r="C92" i="6"/>
  <c r="C81" i="6"/>
  <c r="C77" i="6"/>
  <c r="C73" i="6"/>
  <c r="C69" i="6"/>
  <c r="C65" i="6"/>
  <c r="C61" i="6"/>
  <c r="C57" i="6"/>
  <c r="C53" i="6"/>
  <c r="C50" i="6"/>
  <c r="C44" i="6"/>
  <c r="C41" i="6"/>
  <c r="C36" i="6"/>
  <c r="C33" i="6"/>
  <c r="C28" i="6"/>
  <c r="C25" i="6"/>
  <c r="C20" i="6"/>
  <c r="C17" i="6"/>
  <c r="C12" i="6"/>
  <c r="C9" i="6"/>
  <c r="C4" i="6"/>
  <c r="C52" i="6"/>
  <c r="C49" i="6"/>
  <c r="C46" i="6"/>
  <c r="C43" i="6"/>
  <c r="C38" i="6"/>
  <c r="C35" i="6"/>
  <c r="C30" i="6"/>
  <c r="C27" i="6"/>
  <c r="C22" i="6"/>
  <c r="C19" i="6"/>
  <c r="C14" i="6"/>
  <c r="C11" i="6"/>
  <c r="C6" i="6"/>
  <c r="C3" i="6"/>
  <c r="C67" i="6"/>
  <c r="C63" i="6"/>
  <c r="C59" i="6"/>
  <c r="C55" i="6"/>
  <c r="C48" i="6"/>
  <c r="C40" i="6"/>
  <c r="C32" i="6"/>
  <c r="C24" i="6"/>
  <c r="C21" i="6"/>
  <c r="C16" i="6"/>
  <c r="C13" i="6"/>
  <c r="C8" i="6"/>
  <c r="C5" i="6"/>
  <c r="C91" i="5"/>
  <c r="C89" i="5"/>
  <c r="C6" i="5"/>
  <c r="C10" i="5"/>
  <c r="C14" i="5"/>
  <c r="C26" i="5"/>
  <c r="C34" i="5"/>
  <c r="C42" i="5"/>
  <c r="C54" i="5"/>
  <c r="C58" i="5"/>
  <c r="C70" i="5"/>
  <c r="C78" i="5"/>
  <c r="C7" i="5"/>
  <c r="C5" i="5"/>
  <c r="C9" i="5"/>
  <c r="C13" i="5"/>
  <c r="C22" i="5"/>
  <c r="C38" i="5"/>
  <c r="C50" i="5"/>
  <c r="C66" i="5"/>
  <c r="C18" i="5"/>
  <c r="C30" i="5"/>
  <c r="C46" i="5"/>
  <c r="C62" i="5"/>
  <c r="C74" i="5"/>
  <c r="C82" i="5"/>
  <c r="C3" i="5"/>
  <c r="C11" i="5"/>
  <c r="C4" i="5"/>
  <c r="C8" i="5"/>
  <c r="C12" i="5"/>
  <c r="C16" i="5"/>
  <c r="C20" i="5"/>
  <c r="C24" i="5"/>
  <c r="C28" i="5"/>
  <c r="C32" i="5"/>
  <c r="C36" i="5"/>
  <c r="C40" i="5"/>
  <c r="C44" i="5"/>
  <c r="C48" i="5"/>
  <c r="C52" i="5"/>
  <c r="C56" i="5"/>
  <c r="C60" i="5"/>
  <c r="C64" i="5"/>
  <c r="C68" i="5"/>
  <c r="C72" i="5"/>
  <c r="C76" i="5"/>
  <c r="C80" i="5"/>
  <c r="C85" i="5"/>
  <c r="C15" i="5"/>
  <c r="C17" i="5"/>
  <c r="C19" i="5"/>
  <c r="C21" i="5"/>
  <c r="C23" i="5"/>
  <c r="C25" i="5"/>
  <c r="C27" i="5"/>
  <c r="C29" i="5"/>
  <c r="C31" i="5"/>
  <c r="C33" i="5"/>
  <c r="C35" i="5"/>
  <c r="C37" i="5"/>
  <c r="C39" i="5"/>
  <c r="C41" i="5"/>
  <c r="C43" i="5"/>
  <c r="C45" i="5"/>
  <c r="C47" i="5"/>
  <c r="C49" i="5"/>
  <c r="C51" i="5"/>
  <c r="C53" i="5"/>
  <c r="C55" i="5"/>
  <c r="C57" i="5"/>
  <c r="C59" i="5"/>
  <c r="C61" i="5"/>
  <c r="C63" i="5"/>
  <c r="C65" i="5"/>
  <c r="C67" i="5"/>
  <c r="C69" i="5"/>
  <c r="C71" i="5"/>
  <c r="C73" i="5"/>
  <c r="C75" i="5"/>
  <c r="C77" i="5"/>
  <c r="C79" i="5"/>
  <c r="C81" i="5"/>
  <c r="C86" i="5"/>
  <c r="C88" i="2"/>
  <c r="C76" i="2"/>
  <c r="C72" i="2"/>
  <c r="C64" i="2"/>
  <c r="C56" i="2"/>
  <c r="C48" i="2"/>
  <c r="C40" i="2"/>
  <c r="C36" i="2"/>
  <c r="C32" i="2"/>
  <c r="C28" i="2"/>
  <c r="C24" i="2"/>
  <c r="C20" i="2"/>
  <c r="C16" i="2"/>
  <c r="C12" i="2"/>
  <c r="C8" i="2"/>
  <c r="C4" i="2"/>
  <c r="C85" i="4"/>
  <c r="C87" i="4"/>
  <c r="C84" i="4"/>
  <c r="C86" i="4"/>
  <c r="C86" i="2"/>
  <c r="C80" i="2"/>
  <c r="C68" i="2"/>
  <c r="C60" i="2"/>
  <c r="C52" i="2"/>
  <c r="C44" i="2"/>
  <c r="C90" i="2"/>
  <c r="C85" i="2"/>
  <c r="C87" i="2"/>
  <c r="C79" i="2"/>
  <c r="C75" i="2"/>
  <c r="C71" i="2"/>
  <c r="C67" i="2"/>
  <c r="C63" i="2"/>
  <c r="C59" i="2"/>
  <c r="C55" i="2"/>
  <c r="C51" i="2"/>
  <c r="C47" i="2"/>
  <c r="C43" i="2"/>
  <c r="C39" i="2"/>
  <c r="C35" i="2"/>
  <c r="C31" i="2"/>
  <c r="C27" i="2"/>
  <c r="C23" i="2"/>
  <c r="C19" i="2"/>
  <c r="C15" i="2"/>
  <c r="C11" i="2"/>
  <c r="C7" i="2"/>
  <c r="C3" i="2"/>
  <c r="C89" i="2"/>
  <c r="C78" i="2"/>
  <c r="C70" i="2"/>
  <c r="C62" i="2"/>
  <c r="C54" i="2"/>
  <c r="C50" i="2"/>
  <c r="C42" i="2"/>
  <c r="C34" i="2"/>
  <c r="C26" i="2"/>
  <c r="C18" i="2"/>
  <c r="C10" i="2"/>
  <c r="C88" i="4"/>
  <c r="C91" i="2"/>
  <c r="C82" i="2"/>
  <c r="C74" i="2"/>
  <c r="C66" i="2"/>
  <c r="C58" i="2"/>
  <c r="C46" i="2"/>
  <c r="C38" i="2"/>
  <c r="C30" i="2"/>
  <c r="C22" i="2"/>
  <c r="C14" i="2"/>
  <c r="C6" i="2"/>
  <c r="C77" i="2"/>
  <c r="C84" i="2"/>
  <c r="C93" i="2"/>
  <c r="C92" i="2"/>
  <c r="C81" i="2"/>
  <c r="C73" i="2"/>
  <c r="C69" i="2"/>
  <c r="C65" i="2"/>
  <c r="C61" i="2"/>
  <c r="C57" i="2"/>
  <c r="C53" i="2"/>
  <c r="C49" i="2"/>
  <c r="C45" i="2"/>
  <c r="C41" i="2"/>
  <c r="C37" i="2"/>
  <c r="C33" i="2"/>
  <c r="C29" i="2"/>
  <c r="C25" i="2"/>
  <c r="C21" i="2"/>
  <c r="C17" i="2"/>
  <c r="C13" i="2"/>
  <c r="C9" i="2"/>
  <c r="C5" i="2"/>
  <c r="C15" i="4"/>
  <c r="C27" i="4"/>
  <c r="C39" i="4"/>
  <c r="C55" i="4"/>
  <c r="C71" i="4"/>
  <c r="C75" i="4"/>
  <c r="C79" i="4"/>
  <c r="C7" i="4"/>
  <c r="C23" i="4"/>
  <c r="C31" i="4"/>
  <c r="C47" i="4"/>
  <c r="C63" i="4"/>
  <c r="C4" i="4"/>
  <c r="C16" i="4"/>
  <c r="C28" i="4"/>
  <c r="C36" i="4"/>
  <c r="C48" i="4"/>
  <c r="C60" i="4"/>
  <c r="C68" i="4"/>
  <c r="C72" i="4"/>
  <c r="C76" i="4"/>
  <c r="C80" i="4"/>
  <c r="C3" i="4"/>
  <c r="C11" i="4"/>
  <c r="C19" i="4"/>
  <c r="C35" i="4"/>
  <c r="C43" i="4"/>
  <c r="C51" i="4"/>
  <c r="C59" i="4"/>
  <c r="C67" i="4"/>
  <c r="C8" i="4"/>
  <c r="C12" i="4"/>
  <c r="C20" i="4"/>
  <c r="C24" i="4"/>
  <c r="C32" i="4"/>
  <c r="C40" i="4"/>
  <c r="C44" i="4"/>
  <c r="C52" i="4"/>
  <c r="C56" i="4"/>
  <c r="C64" i="4"/>
  <c r="C5" i="4"/>
  <c r="C9" i="4"/>
  <c r="C13" i="4"/>
  <c r="C17" i="4"/>
  <c r="C21" i="4"/>
  <c r="C25" i="4"/>
  <c r="C6" i="4"/>
  <c r="C10" i="4"/>
  <c r="C14" i="4"/>
  <c r="C18" i="4"/>
  <c r="C22" i="4"/>
  <c r="C26" i="4"/>
  <c r="C30" i="4"/>
  <c r="C34" i="4"/>
  <c r="C38" i="4"/>
  <c r="C42" i="4"/>
  <c r="C46" i="4"/>
  <c r="C50" i="4"/>
  <c r="C54" i="4"/>
  <c r="C58" i="4"/>
  <c r="C62" i="4"/>
  <c r="C66" i="4"/>
  <c r="C70" i="4"/>
  <c r="C74" i="4"/>
  <c r="C78" i="4"/>
  <c r="C82" i="4"/>
  <c r="C29" i="4"/>
  <c r="C33" i="4"/>
  <c r="C37" i="4"/>
  <c r="C41" i="4"/>
  <c r="C45" i="4"/>
  <c r="C49" i="4"/>
  <c r="C53" i="4"/>
  <c r="C57" i="4"/>
  <c r="C61" i="4"/>
  <c r="C65" i="4"/>
  <c r="C69" i="4"/>
  <c r="C73" i="4"/>
  <c r="C77" i="4"/>
  <c r="C81" i="4"/>
  <c r="N9" i="44"/>
  <c r="K14" i="43"/>
  <c r="I14" i="43"/>
  <c r="N11" i="44"/>
  <c r="K16" i="43"/>
  <c r="I16" i="43"/>
  <c r="N8" i="44"/>
  <c r="K13" i="43"/>
  <c r="I13" i="43"/>
  <c r="N10" i="44"/>
  <c r="K15" i="43"/>
  <c r="I15" i="43"/>
  <c r="F7" i="43"/>
  <c r="J10" i="44"/>
  <c r="H15" i="43"/>
  <c r="F8" i="43"/>
  <c r="H10" i="43"/>
  <c r="F16" i="43"/>
  <c r="J11" i="44"/>
  <c r="H16" i="43"/>
  <c r="H9" i="43"/>
  <c r="J8" i="44"/>
  <c r="H13" i="43"/>
  <c r="F12" i="43"/>
  <c r="F13" i="43"/>
  <c r="J9" i="44"/>
  <c r="F11" i="43"/>
  <c r="H7" i="43"/>
  <c r="H11" i="43"/>
  <c r="H8" i="43"/>
  <c r="H14" i="43"/>
  <c r="H12" i="43"/>
</calcChain>
</file>

<file path=xl/comments1.xml><?xml version="1.0" encoding="utf-8"?>
<comments xmlns="http://schemas.openxmlformats.org/spreadsheetml/2006/main">
  <authors>
    <author>Jeffrey.Meeson</author>
  </authors>
  <commentList>
    <comment ref="F6" authorId="0">
      <text>
        <r>
          <rPr>
            <b/>
            <sz val="8"/>
            <color indexed="81"/>
            <rFont val="Arial"/>
            <family val="2"/>
          </rPr>
          <t>US League Interest = Percentage of US respondents indicating they are "very interested," "interested," or "somewhat interested" in the specified league.</t>
        </r>
      </text>
    </comment>
    <comment ref="G6" authorId="0">
      <text>
        <r>
          <rPr>
            <b/>
            <sz val="8"/>
            <color indexed="81"/>
            <rFont val="Arial"/>
            <family val="2"/>
          </rPr>
          <t>State League Interest = Percentage of DMA respondents indicating they are "very interested," "interested," or "somewhat interested" in the specified league.</t>
        </r>
        <r>
          <rPr>
            <sz val="8"/>
            <color indexed="81"/>
            <rFont val="Arial"/>
            <family val="2"/>
          </rPr>
          <t xml:space="preserve">
</t>
        </r>
      </text>
    </comment>
    <comment ref="I6" authorId="0">
      <text>
        <r>
          <rPr>
            <b/>
            <sz val="8"/>
            <color indexed="81"/>
            <rFont val="Arial"/>
            <family val="2"/>
          </rPr>
          <t>US Avid League Interest = Percentage of US respondents indicating they are "very interested" in the specified league.</t>
        </r>
        <r>
          <rPr>
            <sz val="8"/>
            <color indexed="81"/>
            <rFont val="Arial"/>
            <family val="2"/>
          </rPr>
          <t xml:space="preserve">
</t>
        </r>
      </text>
    </comment>
    <comment ref="J6" authorId="0">
      <text>
        <r>
          <rPr>
            <b/>
            <sz val="8"/>
            <color indexed="81"/>
            <rFont val="Arial"/>
            <family val="2"/>
          </rPr>
          <t>State Avid League Interest = Percentage of DMA respondents indicating they are "very interested" in the specified league.</t>
        </r>
        <r>
          <rPr>
            <sz val="8"/>
            <color indexed="81"/>
            <rFont val="Arial"/>
            <family val="2"/>
          </rPr>
          <t xml:space="preserve">
</t>
        </r>
      </text>
    </comment>
    <comment ref="L6" authorId="0">
      <text>
        <r>
          <rPr>
            <b/>
            <sz val="8"/>
            <color indexed="81"/>
            <rFont val="Arial"/>
            <family val="2"/>
          </rPr>
          <t xml:space="preserve">WAL% = Percentage of fans in DMA who watched, listened or attended an event for this property. </t>
        </r>
      </text>
    </comment>
    <comment ref="M6" authorId="0">
      <text>
        <r>
          <rPr>
            <b/>
            <sz val="8"/>
            <color indexed="81"/>
            <rFont val="Arial"/>
            <family val="2"/>
          </rPr>
          <t>Estimate of number of total fans in DMA.  [WAL% x population]</t>
        </r>
      </text>
    </comment>
  </commentList>
</comments>
</file>

<file path=xl/sharedStrings.xml><?xml version="1.0" encoding="utf-8"?>
<sst xmlns="http://schemas.openxmlformats.org/spreadsheetml/2006/main" count="29427" uniqueCount="1392">
  <si>
    <t>Base Total</t>
  </si>
  <si>
    <t>Wilkes-Barre</t>
  </si>
  <si>
    <t>PA</t>
  </si>
  <si>
    <t>Avid AMA Pro Racing Fan</t>
  </si>
  <si>
    <t>Avid AFL Fan</t>
  </si>
  <si>
    <t>Avid College Baseball Fan</t>
  </si>
  <si>
    <t>Avid College Basketball Fan</t>
  </si>
  <si>
    <t>Avid College Football Fan</t>
  </si>
  <si>
    <t>Avid College Hockey Fan</t>
  </si>
  <si>
    <t>Avid European Soccer Fan</t>
  </si>
  <si>
    <t>Avid Extreme/Action Sports Fan</t>
  </si>
  <si>
    <t>Avid Figure Skating Fan</t>
  </si>
  <si>
    <t>Avid Formula One Fan</t>
  </si>
  <si>
    <t>Avid Grand-Am Road Racing Fan</t>
  </si>
  <si>
    <t>Avid Gymnastics Fan</t>
  </si>
  <si>
    <t>Avid High School Sports Fan</t>
  </si>
  <si>
    <t>Avid Horse Racing Fan</t>
  </si>
  <si>
    <t>Avid IndyCar Series Fan</t>
  </si>
  <si>
    <t>Avid LPGA Tour Fan</t>
  </si>
  <si>
    <t>Avid MLB Fan</t>
  </si>
  <si>
    <t>Avid MLS Fan</t>
  </si>
  <si>
    <t>Avid Mens Tennis (ATP) Fan</t>
  </si>
  <si>
    <t>Avid Mexican Soccer Fan</t>
  </si>
  <si>
    <t>Avid Minor League Baseball Fan</t>
  </si>
  <si>
    <t>Avid Minor League Hockey Fan</t>
  </si>
  <si>
    <t>Avid Monster Trucks Fan</t>
  </si>
  <si>
    <t>Avid MotoGP Fan</t>
  </si>
  <si>
    <t>Avid NASCAR Fan</t>
  </si>
  <si>
    <t>Avid NBA Fan</t>
  </si>
  <si>
    <t>Avid NFL Fan</t>
  </si>
  <si>
    <t>Avid NHL Fan</t>
  </si>
  <si>
    <t>Avid NBA Development League Fan</t>
  </si>
  <si>
    <t>Avid NHRA Fan</t>
  </si>
  <si>
    <t>Avid Olympics Fan</t>
  </si>
  <si>
    <t>Avid PGA TOUR Fan</t>
  </si>
  <si>
    <t>Avid Pro Boxing Fan</t>
  </si>
  <si>
    <t>Avid Pro Bull Riding Fan</t>
  </si>
  <si>
    <t>Avid Pro Rodeo Fan</t>
  </si>
  <si>
    <t>Avid Supercross/Motocross Fan</t>
  </si>
  <si>
    <t>Avid UFC Fan</t>
  </si>
  <si>
    <t>Avid WNBA Fan</t>
  </si>
  <si>
    <t>Avid WTA Fan</t>
  </si>
  <si>
    <t>Avid WWE Fan</t>
  </si>
  <si>
    <t>AMA Pro Racing Fan</t>
  </si>
  <si>
    <t>Arena Football League Fan</t>
  </si>
  <si>
    <t>College Baseball Fan</t>
  </si>
  <si>
    <t>College Basketball Fan</t>
  </si>
  <si>
    <t>College Football Fan</t>
  </si>
  <si>
    <t>College Hockey Fan</t>
  </si>
  <si>
    <t>European Soccer Fan</t>
  </si>
  <si>
    <t>Extreme/Action Sports Fan</t>
  </si>
  <si>
    <t>Figure Skating Fan</t>
  </si>
  <si>
    <t>Formula One Fan</t>
  </si>
  <si>
    <t>Grand-Am Road Racing Fan</t>
  </si>
  <si>
    <t>Gymnastics Fan</t>
  </si>
  <si>
    <t>High School Sports Fan</t>
  </si>
  <si>
    <t>Horse Racing Fan</t>
  </si>
  <si>
    <t>IndyCar Series Fan</t>
  </si>
  <si>
    <t>LPGA Fan</t>
  </si>
  <si>
    <t>MLB Fan</t>
  </si>
  <si>
    <t>MLS Fan</t>
  </si>
  <si>
    <t>Mens Tennis (ATP) Fan</t>
  </si>
  <si>
    <t>Mexican Soccer Fan</t>
  </si>
  <si>
    <t>Minor League Baseball Fan</t>
  </si>
  <si>
    <t>Minor League Hockey Fan</t>
  </si>
  <si>
    <t>Monster Trucks Fan</t>
  </si>
  <si>
    <t>MotoGP Fan</t>
  </si>
  <si>
    <t>NASCAR Fan</t>
  </si>
  <si>
    <t>NBA Fan</t>
  </si>
  <si>
    <t>NFL Fan</t>
  </si>
  <si>
    <t>NHL Fan</t>
  </si>
  <si>
    <t>NBA Development League Fan</t>
  </si>
  <si>
    <t>NHRA Fan</t>
  </si>
  <si>
    <t>Olympics Fan</t>
  </si>
  <si>
    <t>PGA TOUR Fan</t>
  </si>
  <si>
    <t>Pro Boxing Fan</t>
  </si>
  <si>
    <t>Pro Bull Riding Fan</t>
  </si>
  <si>
    <t>Pro Rodeo Fan</t>
  </si>
  <si>
    <t>Supercross/Motocross Fan</t>
  </si>
  <si>
    <t>UFC Fan</t>
  </si>
  <si>
    <t>WNBA Fan</t>
  </si>
  <si>
    <t>Womens Tennis (WTA) Fan</t>
  </si>
  <si>
    <t>WWE Fan</t>
  </si>
  <si>
    <t>Philadelphia Phillies WAL</t>
  </si>
  <si>
    <t>Pittsburgh Pirates WAL</t>
  </si>
  <si>
    <t>Philadelphia Union WAL</t>
  </si>
  <si>
    <t>Philadelphia 76ers WAL</t>
  </si>
  <si>
    <t>Philadelphia Eagles WAL</t>
  </si>
  <si>
    <t>Pittsburgh Steelers WAL</t>
  </si>
  <si>
    <t>Philadelphia Flyers WAL</t>
  </si>
  <si>
    <t>Pittsburgh Penguins WAL</t>
  </si>
  <si>
    <t>Penn State University basketball WAL</t>
  </si>
  <si>
    <t>Penn State University football WAL</t>
  </si>
  <si>
    <t>Villanova Basketball (Mens) WL</t>
  </si>
  <si>
    <t>Wichita</t>
  </si>
  <si>
    <t>KS</t>
  </si>
  <si>
    <t>Kansas City Royals WAL</t>
  </si>
  <si>
    <t>Kansas City Sporting</t>
  </si>
  <si>
    <t>Kansas City Chiefs WAL</t>
  </si>
  <si>
    <t>Kansas State Basketball (Mens) WAL</t>
  </si>
  <si>
    <t>Kansas State Basketball (Womens) WL</t>
  </si>
  <si>
    <t>Kansas State Football WAL</t>
  </si>
  <si>
    <t>Kansas Basketball (Mens) WAL</t>
  </si>
  <si>
    <t>Kansas Basketball (Womens) WL</t>
  </si>
  <si>
    <t>Kansas Football WAL</t>
  </si>
  <si>
    <t>West Palm Beach</t>
  </si>
  <si>
    <t>FL</t>
  </si>
  <si>
    <t>Miami Marlins WAL</t>
  </si>
  <si>
    <t>Tampa Bay Rays WAL</t>
  </si>
  <si>
    <t>Miami Heat WAL</t>
  </si>
  <si>
    <t>Orlando Magic WAL</t>
  </si>
  <si>
    <t>Jacksonville Jaguars WAL</t>
  </si>
  <si>
    <t>Miami Dolphins WAL</t>
  </si>
  <si>
    <t>Tampa Bay Buccaneers WAL</t>
  </si>
  <si>
    <t>Florida Panthers WAL</t>
  </si>
  <si>
    <t>Central Florida basketball (mens) WAL</t>
  </si>
  <si>
    <t>Central Florida Football WAL</t>
  </si>
  <si>
    <t>Florida Basketball WAL</t>
  </si>
  <si>
    <t>Florida Football WAL</t>
  </si>
  <si>
    <t>Florida Gators Basketball (Womens) WL</t>
  </si>
  <si>
    <t>Florida Gators Basketball WAL</t>
  </si>
  <si>
    <t>Florida Gators basketball WL</t>
  </si>
  <si>
    <t>Florida Gators Football WAL</t>
  </si>
  <si>
    <t>Florida Gators football WL</t>
  </si>
  <si>
    <t>Florida State Basketball (Mens) WL</t>
  </si>
  <si>
    <t>Florida State Basketball (Womens) WL</t>
  </si>
  <si>
    <t>Florida State Seminoles basketball WL</t>
  </si>
  <si>
    <t>Florida State Seminoles football WL</t>
  </si>
  <si>
    <t>Miami Hurricanes basketball (mens) WAL</t>
  </si>
  <si>
    <t>Miami Hurricanes basketball WAL</t>
  </si>
  <si>
    <t>Miami Hurricanes basketball WL</t>
  </si>
  <si>
    <t>Miami Hurricanes football WAL</t>
  </si>
  <si>
    <t>Miami Hurricanes football WL</t>
  </si>
  <si>
    <t>Miami Hurricanes womens basketball WL</t>
  </si>
  <si>
    <t>Washington DC</t>
  </si>
  <si>
    <t>VA</t>
  </si>
  <si>
    <t>Washington Nationals WAL</t>
  </si>
  <si>
    <t>D.C. United WAL</t>
  </si>
  <si>
    <t>Washington Wizards WAL</t>
  </si>
  <si>
    <t>Washington Redskins WAL</t>
  </si>
  <si>
    <t>Washington Capitals WAL</t>
  </si>
  <si>
    <t>George Mason Basketball WAL</t>
  </si>
  <si>
    <t>George Washington Basketball WAL</t>
  </si>
  <si>
    <t>Georgetown Basketball WAL</t>
  </si>
  <si>
    <t>Maryland Basketball WAL</t>
  </si>
  <si>
    <t>Maryland Football WAL</t>
  </si>
  <si>
    <t>Virginia Basketball WL</t>
  </si>
  <si>
    <t>Virginia Football WL</t>
  </si>
  <si>
    <t>Tulsa</t>
  </si>
  <si>
    <t>OK</t>
  </si>
  <si>
    <t>Oklahoma City Thunder WAL</t>
  </si>
  <si>
    <t>Oklahoma State Basketball WAL</t>
  </si>
  <si>
    <t>Oklahoma State Football WAL</t>
  </si>
  <si>
    <t>Oklahoma Basketball WAL</t>
  </si>
  <si>
    <t>Oklahoma Football WAL</t>
  </si>
  <si>
    <t>Tuscon</t>
  </si>
  <si>
    <t>AZ</t>
  </si>
  <si>
    <t>Arizona Diamondbacks WAL</t>
  </si>
  <si>
    <t>Phoenix Suns WAL</t>
  </si>
  <si>
    <t>Arizona Cardinals WAL</t>
  </si>
  <si>
    <t>Phoenix Coyotes WAL</t>
  </si>
  <si>
    <t>Arizona State basketball WL</t>
  </si>
  <si>
    <t>Arizona State Football WL</t>
  </si>
  <si>
    <t>Arizona baseball WAL</t>
  </si>
  <si>
    <t>Arizona Basketball (Mens) WAL</t>
  </si>
  <si>
    <t>Arizona Basketball (Womens) WAL</t>
  </si>
  <si>
    <t>Arizona Football WAL</t>
  </si>
  <si>
    <t>Toledo</t>
  </si>
  <si>
    <t>OH</t>
  </si>
  <si>
    <t>Cleveland Indians WAL</t>
  </si>
  <si>
    <t>Detroit Tigers WAL</t>
  </si>
  <si>
    <t>Detroit Pistons WAL</t>
  </si>
  <si>
    <t>Cleveland Browns WAL</t>
  </si>
  <si>
    <t>Detroit Lions WAL</t>
  </si>
  <si>
    <t>Columbus Blue Jackets WAL</t>
  </si>
  <si>
    <t>Detroit Red Wings WAL</t>
  </si>
  <si>
    <t>Bowling Green Basketball (Mens) WL</t>
  </si>
  <si>
    <t>Bowling Green Football WL</t>
  </si>
  <si>
    <t>Michigan State Basketball (Mens) WL</t>
  </si>
  <si>
    <t>University of Michigan Basketball (Mens) WL</t>
  </si>
  <si>
    <t>University of Michigan Football WL</t>
  </si>
  <si>
    <t>Notre Dame Fighting Irish football WL</t>
  </si>
  <si>
    <t>Ohio State Buckeyes football WL</t>
  </si>
  <si>
    <t>University of Toledo Basketball (Mens) WAL</t>
  </si>
  <si>
    <t>University of Toledo Football WAL</t>
  </si>
  <si>
    <t>Tampa</t>
  </si>
  <si>
    <t>Florida Marlins WAL</t>
  </si>
  <si>
    <t>Tampa Bay Lightning WAL</t>
  </si>
  <si>
    <t>University of South Florida Basketball (Mens) WAL</t>
  </si>
  <si>
    <t>University of South Florida Football WAL</t>
  </si>
  <si>
    <t>Syracuse</t>
  </si>
  <si>
    <t>NY</t>
  </si>
  <si>
    <t>New York Yankees WAL</t>
  </si>
  <si>
    <t>New York Mets WAL</t>
  </si>
  <si>
    <t>Toronto Blue Jays - WAL</t>
  </si>
  <si>
    <t>New Jersey Nets WAL</t>
  </si>
  <si>
    <t>New York Knicks WAL</t>
  </si>
  <si>
    <t>New York Giants WAL</t>
  </si>
  <si>
    <t>New York Jets WAL</t>
  </si>
  <si>
    <t>Buffalo Bills WAL</t>
  </si>
  <si>
    <t>Buffalo Sabres WAL</t>
  </si>
  <si>
    <t>Cornell Basketball (Mens) WAL</t>
  </si>
  <si>
    <t>Cornell Hockey WAL</t>
  </si>
  <si>
    <t>Syracuse Basketball (Mens) WAL</t>
  </si>
  <si>
    <t>Syracuse Football WAL</t>
  </si>
  <si>
    <t>St. Louis</t>
  </si>
  <si>
    <t>MO</t>
  </si>
  <si>
    <t>St. Louis Cardinals WAL</t>
  </si>
  <si>
    <t>St. Louis Rams WAL</t>
  </si>
  <si>
    <t>St. Louis Blues WAL</t>
  </si>
  <si>
    <t>University of Missouri basketball WAL</t>
  </si>
  <si>
    <t>University of Missouri football WAL</t>
  </si>
  <si>
    <t>Illinois Fighting Illini basketball WL</t>
  </si>
  <si>
    <t>Illinois Fighting Illini football WL</t>
  </si>
  <si>
    <t>Missouri State Bears basketball WL</t>
  </si>
  <si>
    <t>Kansas Basketball (Mens) WL</t>
  </si>
  <si>
    <t>Southern Illinois Basketball (Mens) WAL</t>
  </si>
  <si>
    <t>Southern Illinois Football WAL</t>
  </si>
  <si>
    <t>St Louis University Basketball (Mens) WAL</t>
  </si>
  <si>
    <t xml:space="preserve">St. Louis </t>
  </si>
  <si>
    <t>IL</t>
  </si>
  <si>
    <t>Spokane</t>
  </si>
  <si>
    <t>WA</t>
  </si>
  <si>
    <t>Seattle Mariners WAL</t>
  </si>
  <si>
    <t>Seattle Sehawks WAL</t>
  </si>
  <si>
    <t>University of Washington Football WAL</t>
  </si>
  <si>
    <t>Boise State Football WL</t>
  </si>
  <si>
    <t>Eastern Washington Basketball (Mens) WAL</t>
  </si>
  <si>
    <t>Eastern Washington Football WAL</t>
  </si>
  <si>
    <t>University of Idaho Basketball (Mens) WL</t>
  </si>
  <si>
    <t>Washington State Basketball (Mens) WAL</t>
  </si>
  <si>
    <t>Washington State Football WAL</t>
  </si>
  <si>
    <t>Gonzaga Basketball (Mens) WAL</t>
  </si>
  <si>
    <t>Seattle</t>
  </si>
  <si>
    <t>Seattle Sounders FC WAL</t>
  </si>
  <si>
    <t>Portland Trail Blazers WAL</t>
  </si>
  <si>
    <t>Gonzaga Basketball (Mens) WL</t>
  </si>
  <si>
    <t>University of Washington Basketball (Mens) WAL</t>
  </si>
  <si>
    <t>Washington State Basketball (Mens) WL</t>
  </si>
  <si>
    <t>Washington State Football WL</t>
  </si>
  <si>
    <t>San Francisco</t>
  </si>
  <si>
    <t>CA</t>
  </si>
  <si>
    <t>San Francisco Giants WAL</t>
  </si>
  <si>
    <t>Oakland Athletics  WAL</t>
  </si>
  <si>
    <t>San Jose Earthquakes WAL</t>
  </si>
  <si>
    <t>Golden State Warriors</t>
  </si>
  <si>
    <t>Oakland Raiders WAL</t>
  </si>
  <si>
    <t>San Francisco 49ers WAL</t>
  </si>
  <si>
    <t>San Jose Sharks WAL</t>
  </si>
  <si>
    <t>University of San Francisco Basketball (Mens) WL</t>
  </si>
  <si>
    <t>San Jose State Basketball (Mens) WL</t>
  </si>
  <si>
    <t>San Jose State Football WL</t>
  </si>
  <si>
    <t>Santa Clara Basketball (Mens) WL</t>
  </si>
  <si>
    <t>St Marys Basketball (Mens) WL</t>
  </si>
  <si>
    <t>Stanford Basketball (Mens) WAL</t>
  </si>
  <si>
    <t>Stanford Football WAL</t>
  </si>
  <si>
    <t>UC Berkeley Basketball (Mens) WAL</t>
  </si>
  <si>
    <t>UC Berkeley Football WAL</t>
  </si>
  <si>
    <t>San Diego</t>
  </si>
  <si>
    <t>Los Angeles Angels WAL</t>
  </si>
  <si>
    <t>Los Angeles Dodgers WAL</t>
  </si>
  <si>
    <t>San Diego Padres WAL</t>
  </si>
  <si>
    <t>L.A. Galaxy WAL</t>
  </si>
  <si>
    <t>Los Angeles Clippers WAL</t>
  </si>
  <si>
    <t>Los Angeles Lakers WAL</t>
  </si>
  <si>
    <t>San Diego Chargers WAL</t>
  </si>
  <si>
    <t>Anaheim Ducks WAL</t>
  </si>
  <si>
    <t>Los Angeles Kings WAL</t>
  </si>
  <si>
    <t>San Diego State Basketball (Mens) WAL</t>
  </si>
  <si>
    <t>San Diego State Football WAL</t>
  </si>
  <si>
    <t>University of San Diego Basketball (Mens) WL</t>
  </si>
  <si>
    <t>San Antonio</t>
  </si>
  <si>
    <t>TX</t>
  </si>
  <si>
    <t>Houston Astros WAL</t>
  </si>
  <si>
    <t>Texas Rangers WAL</t>
  </si>
  <si>
    <t>San Antonio Spurs WAL</t>
  </si>
  <si>
    <t>Dallas Cowboys WAL</t>
  </si>
  <si>
    <t>Houston Texans WAL</t>
  </si>
  <si>
    <t>Dallas Stars WAL</t>
  </si>
  <si>
    <t>Texas A&amp;M Basketball (Mens) WL</t>
  </si>
  <si>
    <t>Texas A&amp;M Football WL</t>
  </si>
  <si>
    <t>Texas Basketball (Mens) WL</t>
  </si>
  <si>
    <t>Texas Football WL</t>
  </si>
  <si>
    <t>Salt Lake City</t>
  </si>
  <si>
    <t>UT</t>
  </si>
  <si>
    <t>Real Salt Lake WAL</t>
  </si>
  <si>
    <t>Utah Jazz WAL</t>
  </si>
  <si>
    <t>BYU Footbal WAL</t>
  </si>
  <si>
    <t>BYU Basketball (Mens) WAL</t>
  </si>
  <si>
    <t>BYU Basketball (Womens) WL</t>
  </si>
  <si>
    <t>Utah Football WAL</t>
  </si>
  <si>
    <t>Utah Basketball (Mens) WAL</t>
  </si>
  <si>
    <t>Utah Basketball (Womens) WL</t>
  </si>
  <si>
    <t>Sacramento</t>
  </si>
  <si>
    <t>Sacramento Kings WAL</t>
  </si>
  <si>
    <t>Sacramento State Football WL</t>
  </si>
  <si>
    <t>Sacramento State Basketball WL</t>
  </si>
  <si>
    <t>Rochester</t>
  </si>
  <si>
    <t>Roanoke</t>
  </si>
  <si>
    <t>Duke Basketball (Mens) WL</t>
  </si>
  <si>
    <t>UNC Basketball (Mens) WL</t>
  </si>
  <si>
    <t>UVA Basketball (Mens) WAL</t>
  </si>
  <si>
    <t>UVA Basketball (Womens) WL</t>
  </si>
  <si>
    <t>UVA Football WAL</t>
  </si>
  <si>
    <t>Virginia Tech Basketball (Mens) WAL</t>
  </si>
  <si>
    <t>Virginia Tech Basketball (Womens) WL</t>
  </si>
  <si>
    <t>Virginia Tech Football WAL</t>
  </si>
  <si>
    <t>Richmond</t>
  </si>
  <si>
    <t>Atlanta Braves WAL</t>
  </si>
  <si>
    <t>Baltimore Orioles WAL</t>
  </si>
  <si>
    <t>Carolina Panthers WAL</t>
  </si>
  <si>
    <t>Richmond Basketball (Mens) WL</t>
  </si>
  <si>
    <t>Richmond Football WL</t>
  </si>
  <si>
    <t>VCU Basketball (Mens) WAL</t>
  </si>
  <si>
    <t>Virginia Tech Basketball (Mens) WL</t>
  </si>
  <si>
    <t>Virginia Tech Football WL</t>
  </si>
  <si>
    <t>Raleigh</t>
  </si>
  <si>
    <t>NC</t>
  </si>
  <si>
    <t>Charlotte Bobcats WAL</t>
  </si>
  <si>
    <t>Carolina Hurricanes WAL</t>
  </si>
  <si>
    <t>Duke Basketball (Mens) WAL</t>
  </si>
  <si>
    <t>Duke Football WAL</t>
  </si>
  <si>
    <t>East Carolina Basketball (Mens) WL</t>
  </si>
  <si>
    <t>East Carolina Football WL</t>
  </si>
  <si>
    <t>N.C. Wilmington Basketball (Mens) WL</t>
  </si>
  <si>
    <t>NC State Basketball (Mens) WAL</t>
  </si>
  <si>
    <t>NC State Football WAL</t>
  </si>
  <si>
    <t>UNC Basketball (Mens) WAL</t>
  </si>
  <si>
    <t>UNC Football WAL</t>
  </si>
  <si>
    <t>Wake Forest Demon Deacons Basketball (Mens) WL</t>
  </si>
  <si>
    <t>Wake Forest Demon Deacons football WL</t>
  </si>
  <si>
    <t>Portland</t>
  </si>
  <si>
    <t>OR</t>
  </si>
  <si>
    <t>Portland Timbers WAL</t>
  </si>
  <si>
    <t>University of Oregon Basketball (Mens) WAL</t>
  </si>
  <si>
    <t>University of Oregon Football WAL</t>
  </si>
  <si>
    <t>Oregon State Baseball WL</t>
  </si>
  <si>
    <t>Oregon State Basketball (Mens) WAL</t>
  </si>
  <si>
    <t>Oregon State Football WAL</t>
  </si>
  <si>
    <t>Portland State Basketball (Mens) WL</t>
  </si>
  <si>
    <t>Pittsburgh</t>
  </si>
  <si>
    <t>Duquesne Basketball (Mens) WL</t>
  </si>
  <si>
    <t>Notre Dame Basketball (Mens) WL</t>
  </si>
  <si>
    <t>Notre Dame Football WL</t>
  </si>
  <si>
    <t>Penn State Basketball (Mens) WL</t>
  </si>
  <si>
    <t>Penn State Football WAL</t>
  </si>
  <si>
    <t>University of Pittsburgh Basketball (Mens) WAL</t>
  </si>
  <si>
    <t>University of Pittsburgh Football WAL</t>
  </si>
  <si>
    <t>Robert Morris Basketball (Mens) WL</t>
  </si>
  <si>
    <t>West Virginia Basketball (Mens) WAL</t>
  </si>
  <si>
    <t>West Virginia Football WAL</t>
  </si>
  <si>
    <t>Phoenix</t>
  </si>
  <si>
    <t>Arizona State Baseball WAL</t>
  </si>
  <si>
    <t>Arizona State Basketball (Mens) WAL</t>
  </si>
  <si>
    <t>Arizona State Basketball (Womens) WL</t>
  </si>
  <si>
    <t>Arizona State Football WAL</t>
  </si>
  <si>
    <t>Arizona Wildcats Basketball (Mens) WL</t>
  </si>
  <si>
    <t>Arizona Wildcats Football WL</t>
  </si>
  <si>
    <t>Philadelphia</t>
  </si>
  <si>
    <t>Delaware Blue Hens Basketball (Mens) WL</t>
  </si>
  <si>
    <t>Delaware Football WL</t>
  </si>
  <si>
    <t>Drexel Basketball (Mens) WL</t>
  </si>
  <si>
    <t>La Salle Basketball (Mens) WL</t>
  </si>
  <si>
    <t>Penn State Football WL</t>
  </si>
  <si>
    <t>Rutgers Football WL</t>
  </si>
  <si>
    <t>St Joesphs Hawks Basketball (Mens) WAL</t>
  </si>
  <si>
    <t>Temple Basketball (Mens) WAL</t>
  </si>
  <si>
    <t>Orlando</t>
  </si>
  <si>
    <t>Florida Basketball (Mens) WAL</t>
  </si>
  <si>
    <t>Providence</t>
  </si>
  <si>
    <t>RI</t>
  </si>
  <si>
    <t>Boston Red Sox WAL</t>
  </si>
  <si>
    <t>New England Revolution WAL</t>
  </si>
  <si>
    <t>Boston Celtics WAL</t>
  </si>
  <si>
    <t>New England Patriots WAL</t>
  </si>
  <si>
    <t>Boston Bruins WAL</t>
  </si>
  <si>
    <t>UCONN Basketball (Mens) WL</t>
  </si>
  <si>
    <t>Providence Basketball (Mens) WAL</t>
  </si>
  <si>
    <t>URI Basketball (Mens) WL</t>
  </si>
  <si>
    <t>OKC</t>
  </si>
  <si>
    <t>Oklahoma Basketball (Mens) WAL</t>
  </si>
  <si>
    <t>Oklahoma Basketball (Womens) WAL</t>
  </si>
  <si>
    <t>Oklahoma State Basketball (Mens) WAL</t>
  </si>
  <si>
    <t>Tulsa Basketball (Mens) WL</t>
  </si>
  <si>
    <t>Norfolk</t>
  </si>
  <si>
    <t>Virginia basketball WL</t>
  </si>
  <si>
    <t>Virginia football WL</t>
  </si>
  <si>
    <t>Old Dominion basketball WAL</t>
  </si>
  <si>
    <t>Old Dominion football WAL</t>
  </si>
  <si>
    <t>New York</t>
  </si>
  <si>
    <t>New York Red Bulls WAL</t>
  </si>
  <si>
    <t>New Jersey Devils WAL</t>
  </si>
  <si>
    <t>New York Islanders WAL</t>
  </si>
  <si>
    <t>New York Rangers WAL</t>
  </si>
  <si>
    <t>New York Liberty</t>
  </si>
  <si>
    <t>( New York Liberty basketball game ) OR ( New York Liberty ) OR ( New York Liberty ) OR ( New York Liberty )</t>
  </si>
  <si>
    <t>Brooklyn Nets - WAL</t>
  </si>
  <si>
    <t/>
  </si>
  <si>
    <t>St. Johns University basketball - WAL</t>
  </si>
  <si>
    <t>Seton Hall Pirates basketball - WL</t>
  </si>
  <si>
    <t>Rutgers Scarlet Knights basketball - WL</t>
  </si>
  <si>
    <t>Rutgers Scarlet Knights football - WL</t>
  </si>
  <si>
    <t>CT</t>
  </si>
  <si>
    <t>NJ</t>
  </si>
  <si>
    <t>New Orleans</t>
  </si>
  <si>
    <t>LA</t>
  </si>
  <si>
    <t>New Orleans Hornets WAL</t>
  </si>
  <si>
    <t>New Orleans Saints WAL</t>
  </si>
  <si>
    <t>Louisiana Tech Football WL</t>
  </si>
  <si>
    <t>LSU Baseball WL</t>
  </si>
  <si>
    <t>LSU Basketball (Mens) WAL</t>
  </si>
  <si>
    <t>LSU Football WAL</t>
  </si>
  <si>
    <t>Mississippi State Football WL</t>
  </si>
  <si>
    <t>Southern Mississippi Basketball (Mens) WL</t>
  </si>
  <si>
    <t>Southern Mississippi Football WL</t>
  </si>
  <si>
    <t>Tulane Basketball (Mens) WAL</t>
  </si>
  <si>
    <t>Tulane Football WAL</t>
  </si>
  <si>
    <t>Nashville</t>
  </si>
  <si>
    <t>TN</t>
  </si>
  <si>
    <t>Memphis Grizzlies WAL</t>
  </si>
  <si>
    <t>Tennessee Titans WAL</t>
  </si>
  <si>
    <t>Nashville Predators WAL</t>
  </si>
  <si>
    <t>Vanderbilt football WAL</t>
  </si>
  <si>
    <t>Vanderbilt basketball (mens) WAL</t>
  </si>
  <si>
    <t>Vanderbilt basketball (womens) WAL</t>
  </si>
  <si>
    <t>Tennessee basketball (mens) WAL - Out of Market</t>
  </si>
  <si>
    <t>Tennessee football WAL - Out of Market</t>
  </si>
  <si>
    <t>Mobile</t>
  </si>
  <si>
    <t>University of Alabama basketball WAL</t>
  </si>
  <si>
    <t>University of Alabama football WAL</t>
  </si>
  <si>
    <t>Auburn University Basketball (Men's) WAL</t>
  </si>
  <si>
    <t>Auburn University football WAL</t>
  </si>
  <si>
    <t>Florida Gators Basketball (Men's) WL</t>
  </si>
  <si>
    <t>University of Mississippi Football WL</t>
  </si>
  <si>
    <t>Mississippi State Basketball (Mens) WL</t>
  </si>
  <si>
    <t>University of South Alabama Baseball WAL</t>
  </si>
  <si>
    <t>University of South Alabama Basketball (Mens) WAL</t>
  </si>
  <si>
    <t>University of South Alabama Football WAL</t>
  </si>
  <si>
    <t>Troy University Football WL</t>
  </si>
  <si>
    <t>Minneapolis</t>
  </si>
  <si>
    <t>MN</t>
  </si>
  <si>
    <t>Minnesota Twins WAL</t>
  </si>
  <si>
    <t>Minnesota Timberwolves WAL</t>
  </si>
  <si>
    <t>Minnesota Vikings WAL</t>
  </si>
  <si>
    <t>Minnesota Wild WAL</t>
  </si>
  <si>
    <t>Minnesota football WAL</t>
  </si>
  <si>
    <t>Minnesota basketball (mens) WAL OR</t>
  </si>
  <si>
    <t>Minnesota basketball (womens) WAL</t>
  </si>
  <si>
    <t>Minnesota hockey (mens) WAL</t>
  </si>
  <si>
    <t>Milwaukee</t>
  </si>
  <si>
    <t>WI</t>
  </si>
  <si>
    <t>Milwaukee Brewers WAL</t>
  </si>
  <si>
    <t>Chicago Cubs WAL</t>
  </si>
  <si>
    <t>Chicago White Sox WAL</t>
  </si>
  <si>
    <t>Milwaukee Bucks WAL</t>
  </si>
  <si>
    <t>Chicago Bulls WAL</t>
  </si>
  <si>
    <t>Green Bay Packers WAL</t>
  </si>
  <si>
    <t>Chicago Bears WAL</t>
  </si>
  <si>
    <t>Chicago Blackhawks WAL</t>
  </si>
  <si>
    <t>Marquette basketball WAL</t>
  </si>
  <si>
    <t>Wisconsin basketball WAL</t>
  </si>
  <si>
    <t>Wisconsin football WAL</t>
  </si>
  <si>
    <t>Wisconsin hockey WAL</t>
  </si>
  <si>
    <t>Wisconsin basketball (womens) WL</t>
  </si>
  <si>
    <t>Wisconsin-Milwaukee basketball WL</t>
  </si>
  <si>
    <t>Miami</t>
  </si>
  <si>
    <t>Florida Atlantic Basketball WAL</t>
  </si>
  <si>
    <t>Florida Atlantic Football WAL</t>
  </si>
  <si>
    <t>Florida International Basketball WAL</t>
  </si>
  <si>
    <t>Memphis</t>
  </si>
  <si>
    <t>University of Memphis Basketball (Mens) WAL</t>
  </si>
  <si>
    <t>University of Memphis Football WAL</t>
  </si>
  <si>
    <t>University of Mississippi Basketball (Mens) WAL</t>
  </si>
  <si>
    <t>University of Mississippi Football WAL</t>
  </si>
  <si>
    <t>Tennessee Basketball (Mens) WL</t>
  </si>
  <si>
    <t>Tennessee Football WL</t>
  </si>
  <si>
    <t>Louisville</t>
  </si>
  <si>
    <t>KY</t>
  </si>
  <si>
    <t>Cincinnati Reds WAL</t>
  </si>
  <si>
    <t>Indiana Pacers WAL</t>
  </si>
  <si>
    <t>Cincinnati Bengals WAL</t>
  </si>
  <si>
    <t>Indianapolis Colts WAL</t>
  </si>
  <si>
    <t>Indiana Basketball (Mens) WL</t>
  </si>
  <si>
    <t>Indiana Football WL</t>
  </si>
  <si>
    <t>Kentucky Football WAL</t>
  </si>
  <si>
    <t>Louisville Basketball (Womens) WAL</t>
  </si>
  <si>
    <t>Louisville Basketball (Mens) WAL</t>
  </si>
  <si>
    <t>Louisville Football WAL</t>
  </si>
  <si>
    <t>Murray State Basketball (Mens) WL</t>
  </si>
  <si>
    <t>Western Kentucky Football WL</t>
  </si>
  <si>
    <t>Western Kentucky Basketball (Mens) WL</t>
  </si>
  <si>
    <t>Little Rock</t>
  </si>
  <si>
    <t>AR</t>
  </si>
  <si>
    <t>University of Arkansas - Little Rock Basketball (Mens) WL</t>
  </si>
  <si>
    <t>Arkansas Baseball WL</t>
  </si>
  <si>
    <t>Arkansas Basketball (Mens) WAL</t>
  </si>
  <si>
    <t>Arkansas Basketball (Womens) WAL</t>
  </si>
  <si>
    <t>Arkansas Football WAL</t>
  </si>
  <si>
    <t>Los Angeles</t>
  </si>
  <si>
    <t>CD Chivas USA WAL</t>
  </si>
  <si>
    <t>Los Angeles Sparks WAL</t>
  </si>
  <si>
    <t>UCLA basketball (mens) WAL</t>
  </si>
  <si>
    <t>UCLA football WAL</t>
  </si>
  <si>
    <t>UCLA Bruins basketball (womens) WL</t>
  </si>
  <si>
    <t>USC basketball (mens) WAL</t>
  </si>
  <si>
    <t>USC football WAL</t>
  </si>
  <si>
    <t>USC Trojans basketball (womens)  WL</t>
  </si>
  <si>
    <t>Lexington</t>
  </si>
  <si>
    <t>Kentucky Basketball (Mens) WAL</t>
  </si>
  <si>
    <t>Kentucky Basketball (Womens) WAL</t>
  </si>
  <si>
    <t>Kentucky Hockey WL</t>
  </si>
  <si>
    <t xml:space="preserve">Las Vegas </t>
  </si>
  <si>
    <t>NV</t>
  </si>
  <si>
    <t>UNLV Basketball (Womens) WL</t>
  </si>
  <si>
    <t>UNLV Basketball (Mens) WAL</t>
  </si>
  <si>
    <t>UNLV Football WAL</t>
  </si>
  <si>
    <t>USC Football WL</t>
  </si>
  <si>
    <t>Kansas City</t>
  </si>
  <si>
    <t>Kansas State University basketball WAL</t>
  </si>
  <si>
    <t>Kansas State University football WAL</t>
  </si>
  <si>
    <t>University of Kansas basketball WAL</t>
  </si>
  <si>
    <t>University of Kansas football WAL</t>
  </si>
  <si>
    <t>Knoxville</t>
  </si>
  <si>
    <t>Atlanta Falcons WAL</t>
  </si>
  <si>
    <t>University of Kentucky Basketball (Mens) WL</t>
  </si>
  <si>
    <t>Tennessee Football WAL</t>
  </si>
  <si>
    <t>Tennessee Basketball (Mens) WAL</t>
  </si>
  <si>
    <t>Tennessee Basketball (Womens) WAL</t>
  </si>
  <si>
    <t>Jacksonville</t>
  </si>
  <si>
    <t>Florida State Seminoles Football WAL</t>
  </si>
  <si>
    <t>University of Georgia Basketball (Mens) WL</t>
  </si>
  <si>
    <t>University of Georgia Football WAL</t>
  </si>
  <si>
    <t>Indianapolis</t>
  </si>
  <si>
    <t>IN</t>
  </si>
  <si>
    <t>Indiana University basketball (mens) WAL</t>
  </si>
  <si>
    <t>Indiana University football WAL</t>
  </si>
  <si>
    <t>Indiana Hoosiers basketball (womens) WL</t>
  </si>
  <si>
    <t>Notre Dame Fighting Irish basketball WL</t>
  </si>
  <si>
    <t>Purdue Boilermakers basketball (mens) WL</t>
  </si>
  <si>
    <t>Purdue University basketball game (mens) WAL</t>
  </si>
  <si>
    <t>Purdue Boilermakers basketball (womens) WL</t>
  </si>
  <si>
    <t>Purdue University football WAL</t>
  </si>
  <si>
    <t>Ball State Cardinals basketball WL</t>
  </si>
  <si>
    <t>Ball State Cardinals football WL</t>
  </si>
  <si>
    <t>Butler University basketball WAL</t>
  </si>
  <si>
    <t>Houston</t>
  </si>
  <si>
    <t>Houston Dynamo</t>
  </si>
  <si>
    <t>Houston Rockets WAL</t>
  </si>
  <si>
    <t>Houston Cougars basketball WL</t>
  </si>
  <si>
    <t>Houston Cougars football WL</t>
  </si>
  <si>
    <t>Rice Owls baseball WL</t>
  </si>
  <si>
    <t>Rice Owls basketball WL</t>
  </si>
  <si>
    <t>Rice Owls football WL</t>
  </si>
  <si>
    <t>Texas A&amp;M Aggies basketball WL</t>
  </si>
  <si>
    <t>Texas A&amp;M Aggies football WL</t>
  </si>
  <si>
    <t>Texas Longhorns basketball WL</t>
  </si>
  <si>
    <t>Texas Longhorns football WL</t>
  </si>
  <si>
    <t>Texas Southern Tigers basketball WL</t>
  </si>
  <si>
    <t>Honolulu</t>
  </si>
  <si>
    <t>HI</t>
  </si>
  <si>
    <t>University of Hawaii Basketball (Mens) WAL</t>
  </si>
  <si>
    <t>University of Hawaii Football WAL</t>
  </si>
  <si>
    <t>University of Hawaii Volleyball (Mens) WAL</t>
  </si>
  <si>
    <t>University of Hawaii Volleyball (Womens) WAL</t>
  </si>
  <si>
    <t>Hartford</t>
  </si>
  <si>
    <t>Connecticut Huskies mens basketball WAL</t>
  </si>
  <si>
    <t>Connecticut Huskies football WAL</t>
  </si>
  <si>
    <t>Connecticut Huskies womens basketball WAL</t>
  </si>
  <si>
    <t>Massachusetts Minutemen basketball WL</t>
  </si>
  <si>
    <t>Connecticut Sun basketball WAL</t>
  </si>
  <si>
    <t>Connecticut Whale hockey WAL</t>
  </si>
  <si>
    <t>Bridgeport Bluefish baseball WAL</t>
  </si>
  <si>
    <t>Bridgeport Sound Tigers WAL</t>
  </si>
  <si>
    <t>New Britain Rock Cats baseball WAL</t>
  </si>
  <si>
    <t>Harrisburg</t>
  </si>
  <si>
    <t>Penn State University hockey WAL</t>
  </si>
  <si>
    <t>Reading Phillies WL</t>
  </si>
  <si>
    <t>Harrisburg Senators baseball WAL</t>
  </si>
  <si>
    <t>Hershey Bears hockey WAL</t>
  </si>
  <si>
    <t>Bucknell Bison basketball WL</t>
  </si>
  <si>
    <t>Baltimore Ravens WAL</t>
  </si>
  <si>
    <t>Harlingen</t>
  </si>
  <si>
    <t>Greenville</t>
  </si>
  <si>
    <t>SC</t>
  </si>
  <si>
    <t>Clemson University basketball WAL</t>
  </si>
  <si>
    <t>Clemson University football WAL</t>
  </si>
  <si>
    <t>Furman Paladins basketball WL</t>
  </si>
  <si>
    <t>Furman Paladins football WL</t>
  </si>
  <si>
    <t>Georgia Bulldogs football WL</t>
  </si>
  <si>
    <t>Tennessee Volunteers football WL</t>
  </si>
  <si>
    <t>South Carolina Gamecocks basketball WAL</t>
  </si>
  <si>
    <t>South Carolina Gamecocks football WAL</t>
  </si>
  <si>
    <t>Wofford Terriers basketball WL</t>
  </si>
  <si>
    <t>Wofford Terriers football WL</t>
  </si>
  <si>
    <t>Greensboro</t>
  </si>
  <si>
    <t>Wake Forest University basketball WAL</t>
  </si>
  <si>
    <t>Wake Forest University football WAL</t>
  </si>
  <si>
    <t>North Carolina State Wolfpack basketball WL</t>
  </si>
  <si>
    <t>North Carolina State football Wolfpack WL</t>
  </si>
  <si>
    <t>Duke Blue Devils basketball WL</t>
  </si>
  <si>
    <t>North Carolina Tar Heels basketball WL</t>
  </si>
  <si>
    <t>North Carolina Tar Heels football WL</t>
  </si>
  <si>
    <t>Grand Rapids</t>
  </si>
  <si>
    <t>MI</t>
  </si>
  <si>
    <t>Michigan State University basketball WAL</t>
  </si>
  <si>
    <t>Michigan State University football WAL</t>
  </si>
  <si>
    <t>Western Michigan University football WAL</t>
  </si>
  <si>
    <t>Grand Valley State Lakers football WL</t>
  </si>
  <si>
    <t>Michigan Wolverines basketball WL</t>
  </si>
  <si>
    <t>Michigan Wolverines football WL</t>
  </si>
  <si>
    <t>Fresno</t>
  </si>
  <si>
    <t>Fresno State baseball WAL</t>
  </si>
  <si>
    <t>Fresno State basketball game (mens) WAL</t>
  </si>
  <si>
    <t>Fresno State football WAL</t>
  </si>
  <si>
    <t>Fresno State Bulldogs basketball (womens) WL</t>
  </si>
  <si>
    <t>Ft Myers</t>
  </si>
  <si>
    <t>El Paso</t>
  </si>
  <si>
    <t>University of Texas at El Paso basketball WAL</t>
  </si>
  <si>
    <t>University of Texas at El Paso football WAL</t>
  </si>
  <si>
    <t>Texas Tech Red Raiders basketball WL</t>
  </si>
  <si>
    <t>Texas Tech Red Raiders football WL</t>
  </si>
  <si>
    <t>New Mexico State University basketball WAL</t>
  </si>
  <si>
    <t>New Mexico State University football WAL</t>
  </si>
  <si>
    <t>Detroit</t>
  </si>
  <si>
    <t>Michigan State University hockey WAL</t>
  </si>
  <si>
    <t>University of Michigan basketball WAL</t>
  </si>
  <si>
    <t>University of Michigan football WAL</t>
  </si>
  <si>
    <t>University of Michigan hockey WAL</t>
  </si>
  <si>
    <t>Central Michigan Chippewas basketball WL</t>
  </si>
  <si>
    <t>Central Michigan Chippewas football WL</t>
  </si>
  <si>
    <t>Eastern Michigan Eagles basketball WL</t>
  </si>
  <si>
    <t>Eastern Michigan Eagles football WL</t>
  </si>
  <si>
    <t>Des Moines</t>
  </si>
  <si>
    <t>IA</t>
  </si>
  <si>
    <t>University of Iowa basketball (mens) WAL</t>
  </si>
  <si>
    <t>Iowa Hawkeyes basketball (womens) WL</t>
  </si>
  <si>
    <t>University of Iowa football WAL</t>
  </si>
  <si>
    <t>Iowa State University basketball game (mens) WAL</t>
  </si>
  <si>
    <t>Iowa State University football WAL</t>
  </si>
  <si>
    <t>Iowa State Cyclones basketball (womens) WL</t>
  </si>
  <si>
    <t>Drake Bulldogs basketball WL</t>
  </si>
  <si>
    <t>Northern Iowa Panthers basketball WL</t>
  </si>
  <si>
    <t>Northern Iowa Panthers football WL</t>
  </si>
  <si>
    <t>Denver</t>
  </si>
  <si>
    <t>CO</t>
  </si>
  <si>
    <t>Colorado Rockies WAL</t>
  </si>
  <si>
    <t>Colorado Rapids WAL</t>
  </si>
  <si>
    <t>Denver Nuggets WAL</t>
  </si>
  <si>
    <t>Denver Broncos WAL</t>
  </si>
  <si>
    <t>Colorado Avalanche WAL</t>
  </si>
  <si>
    <t>Colorado Buffaloes basketball (mens) WL</t>
  </si>
  <si>
    <t>Colorado Buffaloes basketball (womens) WL</t>
  </si>
  <si>
    <t>Colorado Buffaloes football WL</t>
  </si>
  <si>
    <t>Colorado State Rams basketball WL</t>
  </si>
  <si>
    <t>Colorado State Rams football WL</t>
  </si>
  <si>
    <t>Wyoming Cowboys basketball WL</t>
  </si>
  <si>
    <t>Wyoming Cowboys football WL</t>
  </si>
  <si>
    <t>Dayton</t>
  </si>
  <si>
    <t>Ohio State University basketball WAL</t>
  </si>
  <si>
    <t>Ohio State University football WAL</t>
  </si>
  <si>
    <t>Dayton Dragons WAL</t>
  </si>
  <si>
    <t>Dayton Flyers basketball WL</t>
  </si>
  <si>
    <t>Dayton Flyers football WL</t>
  </si>
  <si>
    <t>Miami RedHawks basketball WL</t>
  </si>
  <si>
    <t>Miami RedHawks football WL</t>
  </si>
  <si>
    <t>Wright State Raiders basketball WL</t>
  </si>
  <si>
    <t>Cleveland Cavaliers WAL</t>
  </si>
  <si>
    <t xml:space="preserve">Dallas </t>
  </si>
  <si>
    <t>FC Dallas WAL</t>
  </si>
  <si>
    <t>Dallas Mavericks WAL</t>
  </si>
  <si>
    <t>Baylor Bears basketball WL</t>
  </si>
  <si>
    <t>Baylor Bears football WL</t>
  </si>
  <si>
    <t>Frisco RoughRiders WAL</t>
  </si>
  <si>
    <t>SMU Mustangs basketball WL</t>
  </si>
  <si>
    <t>SMU Mustangs football  WL</t>
  </si>
  <si>
    <t>TCU Horned Frogs basketball WL</t>
  </si>
  <si>
    <t>TCU Horned Frogs football WL</t>
  </si>
  <si>
    <t>Ohio State University basketball (mens) - WAL</t>
  </si>
  <si>
    <t>Ohio State University football - WAL</t>
  </si>
  <si>
    <t>Ohio State University hockey - WAL</t>
  </si>
  <si>
    <t>Ohio State Buckeyes basketball (womens) - WL</t>
  </si>
  <si>
    <t>Ohio Bobcats basketball  WL</t>
  </si>
  <si>
    <t>Ohio Bobcats football - WL</t>
  </si>
  <si>
    <t>Columbus Clippers baseball WAL</t>
  </si>
  <si>
    <t>Columbus Crew WAL</t>
  </si>
  <si>
    <t>Columbus</t>
  </si>
  <si>
    <t>Colorado Springs</t>
  </si>
  <si>
    <t>Air Force Academy basketball - WAL</t>
  </si>
  <si>
    <t>Air Force Academy football - WAL</t>
  </si>
  <si>
    <t>Air Force Academy hockey - WAL</t>
  </si>
  <si>
    <t>Colorado College hockey - WAL</t>
  </si>
  <si>
    <t>Colorado Buffaloes football - WL</t>
  </si>
  <si>
    <t>Colorado Springs Sky Sox baseball - WAL</t>
  </si>
  <si>
    <t>Cleveland</t>
  </si>
  <si>
    <t>Akron Aeros WL</t>
  </si>
  <si>
    <t>Akron Zips basketball WL</t>
  </si>
  <si>
    <t>Akron Zips football WL</t>
  </si>
  <si>
    <t>Cleveland State Vikings basketball WL</t>
  </si>
  <si>
    <t>Kent State Golden Flashes basketball WL</t>
  </si>
  <si>
    <t>Kent State Golden Flashes football WL</t>
  </si>
  <si>
    <t>Ohio State Buckeyes basketball WL</t>
  </si>
  <si>
    <t>Cincinnatti</t>
  </si>
  <si>
    <t>Cincinnati Bearcats football - WAL</t>
  </si>
  <si>
    <t>Cincinnati Bearcats basketball - WAL</t>
  </si>
  <si>
    <t>Kentucky Wildcats basketball - WL</t>
  </si>
  <si>
    <t>Kentucky Wildcats football - WL</t>
  </si>
  <si>
    <t>Miami RedHawks basketball - WL</t>
  </si>
  <si>
    <t>Miami RedHawks football - WL</t>
  </si>
  <si>
    <t>Xavier University basketball - WAL</t>
  </si>
  <si>
    <t>Chicago</t>
  </si>
  <si>
    <t>Chicago Fire WAL</t>
  </si>
  <si>
    <t>Chicago Sky basketball WAL</t>
  </si>
  <si>
    <t>Chicago Wolves hockey WAL</t>
  </si>
  <si>
    <t>DePaul University basketball WAL</t>
  </si>
  <si>
    <t>Northern Illinois Huskies basketball WL</t>
  </si>
  <si>
    <t>Northern Illinois Huskies football WL</t>
  </si>
  <si>
    <t>Northwestern Wildcats basketball WL</t>
  </si>
  <si>
    <t>Northwestern Wildcats football WL</t>
  </si>
  <si>
    <t>Charlotte</t>
  </si>
  <si>
    <t>Charlotte Checkers hockey WAL</t>
  </si>
  <si>
    <t>Charlotte Knights baseball WAL</t>
  </si>
  <si>
    <t>UNC Charlotte basketball WAL</t>
  </si>
  <si>
    <t>Davidson Wildcats basketball WL</t>
  </si>
  <si>
    <t>Duke Blue Devils football WL</t>
  </si>
  <si>
    <t>Wake Forest Demon Deacons basketball WL</t>
  </si>
  <si>
    <t>North Carolina State Wolfpack football WL</t>
  </si>
  <si>
    <t>Winthrop Eagles basketball WL</t>
  </si>
  <si>
    <t>Buffalo</t>
  </si>
  <si>
    <t>Canisius Golden Griffins basketball - WL</t>
  </si>
  <si>
    <t>Canisius Golden Griffins hockey - WL</t>
  </si>
  <si>
    <t>St. Bonaventure Bonnies basketball - WL</t>
  </si>
  <si>
    <t>Niagara Purple Eagles hockey - WL</t>
  </si>
  <si>
    <t>Buffalo Bulls basketball - WL</t>
  </si>
  <si>
    <t>Buffalo Bulls football - WL</t>
  </si>
  <si>
    <t>Buffalo Bisons baseball - WAL</t>
  </si>
  <si>
    <t>Toronto Raptors basketball - WAL</t>
  </si>
  <si>
    <t>Toronto Maple Leafs - WAL</t>
  </si>
  <si>
    <t>Boston</t>
  </si>
  <si>
    <t>MA</t>
  </si>
  <si>
    <t>Boston College Eagles basketball - WL</t>
  </si>
  <si>
    <t>Boston College Eagles football - WL</t>
  </si>
  <si>
    <t>Boston College Eagles hockey - WL</t>
  </si>
  <si>
    <t>BU Terriers basketball - WL</t>
  </si>
  <si>
    <t>BU Terriers hockey - WL</t>
  </si>
  <si>
    <t>Connecticut Huskies basketball - WL</t>
  </si>
  <si>
    <t>Harvard Crimson basketball - WL</t>
  </si>
  <si>
    <t>Harvard Crimson football - WL</t>
  </si>
  <si>
    <t xml:space="preserve">Harvard Crimson hockey - WL </t>
  </si>
  <si>
    <t>Holy Cross Crusaders hockey - WL</t>
  </si>
  <si>
    <t>Massachusetts Minutemen basketball - WL</t>
  </si>
  <si>
    <t>Massachusetts Minutemen football - WL</t>
  </si>
  <si>
    <t>Massachusetts Minutemen hockey - WL</t>
  </si>
  <si>
    <t>New Hampshire Wildcats hockey - WL</t>
  </si>
  <si>
    <t>Northeastern Huskies hockey - WL</t>
  </si>
  <si>
    <t>Birmingham</t>
  </si>
  <si>
    <t>AL</t>
  </si>
  <si>
    <t>Atlanta Hawks WAL</t>
  </si>
  <si>
    <t>Auburn University basketball WAL</t>
  </si>
  <si>
    <t>Birmingham Barons WAL</t>
  </si>
  <si>
    <t>Troy University football WAL</t>
  </si>
  <si>
    <t>UAB Blazers basketball WAL</t>
  </si>
  <si>
    <t>UAB Blazers football WAL</t>
  </si>
  <si>
    <t>Baltimore</t>
  </si>
  <si>
    <t>MD</t>
  </si>
  <si>
    <t>Washington Mystics WL</t>
  </si>
  <si>
    <t>Baltimore Blast soccer WAL</t>
  </si>
  <si>
    <t>University of Maryland basketball WAL</t>
  </si>
  <si>
    <t>University of Maryland football WAL</t>
  </si>
  <si>
    <t>Navy Midshipmen basketball WL</t>
  </si>
  <si>
    <t>Navy Midshipmen football WL</t>
  </si>
  <si>
    <t>Coppin State Eagles basketball WL</t>
  </si>
  <si>
    <t xml:space="preserve">Bakersfield </t>
  </si>
  <si>
    <t>Fresno State Bulldogs basketball - WL</t>
  </si>
  <si>
    <t>Fresno State Bulldogs football - WL</t>
  </si>
  <si>
    <t>UCLA Bruins basketball - WL</t>
  </si>
  <si>
    <t>UCLA Bruins football  - WL</t>
  </si>
  <si>
    <t>USC Trojans basketball - WL</t>
  </si>
  <si>
    <t>USC Trojans football - WL</t>
  </si>
  <si>
    <t>Austin</t>
  </si>
  <si>
    <t>University of Texas baseball -  WAL</t>
  </si>
  <si>
    <t>University of Texas football - WAL</t>
  </si>
  <si>
    <t>University of Texas mens basketball game  - WAL</t>
  </si>
  <si>
    <t>University of Texas womens basketball - WAL</t>
  </si>
  <si>
    <t xml:space="preserve">Atlanta </t>
  </si>
  <si>
    <t>GA</t>
  </si>
  <si>
    <t>Atlanta Dream basketball - WAL</t>
  </si>
  <si>
    <t>Auburn Tigers football - WL</t>
  </si>
  <si>
    <t>University of Georgia mens basketball - WAL</t>
  </si>
  <si>
    <t>Georgia Bulldogs womens basketball - WL</t>
  </si>
  <si>
    <t>University of Georgia football - WAL</t>
  </si>
  <si>
    <t>Georgia Tech basketball WAL</t>
  </si>
  <si>
    <t>Georgia Tech football WAL</t>
  </si>
  <si>
    <t>Gwinnett Braves baseball WAL</t>
  </si>
  <si>
    <t>Gwinnett Gladiators hockey WAL</t>
  </si>
  <si>
    <t>Georgia State Panthers basketball WL</t>
  </si>
  <si>
    <t>Georgia State Panthers football WL</t>
  </si>
  <si>
    <t>Albuquerque</t>
  </si>
  <si>
    <t>NM</t>
  </si>
  <si>
    <t>New Mexico basketball - WAL</t>
  </si>
  <si>
    <t>New Mexico football - WAL</t>
  </si>
  <si>
    <t>New Mexico State Aggies basketball - WL</t>
  </si>
  <si>
    <t>New Mexico State Aggies football - WL</t>
  </si>
  <si>
    <t>Albany</t>
  </si>
  <si>
    <t>Siena Saints basketball - WL</t>
  </si>
  <si>
    <t>Syracuse Orange basketball - WL</t>
  </si>
  <si>
    <t>University at Albany basketball - WAL</t>
  </si>
  <si>
    <t>Metric</t>
  </si>
  <si>
    <t>Pop</t>
  </si>
  <si>
    <t>Percent</t>
  </si>
  <si>
    <t>City</t>
  </si>
  <si>
    <t>State</t>
  </si>
  <si>
    <t>%</t>
  </si>
  <si>
    <t>League ID</t>
  </si>
  <si>
    <t>Leauge Name</t>
  </si>
  <si>
    <t xml:space="preserve">AMA Pro Racing </t>
  </si>
  <si>
    <t xml:space="preserve">Arena Football League </t>
  </si>
  <si>
    <t xml:space="preserve">College Baseball </t>
  </si>
  <si>
    <t xml:space="preserve">College Basketball </t>
  </si>
  <si>
    <t xml:space="preserve">College Football </t>
  </si>
  <si>
    <t xml:space="preserve">College Hockey </t>
  </si>
  <si>
    <t xml:space="preserve">European Soccer </t>
  </si>
  <si>
    <t xml:space="preserve">Extreme/Action Sports </t>
  </si>
  <si>
    <t xml:space="preserve">Figure Skating </t>
  </si>
  <si>
    <t xml:space="preserve">Formula One </t>
  </si>
  <si>
    <t xml:space="preserve">Grand-Am Road Racing </t>
  </si>
  <si>
    <t xml:space="preserve">Gymnastics </t>
  </si>
  <si>
    <t xml:space="preserve">High School Sports </t>
  </si>
  <si>
    <t xml:space="preserve">Horse Racing </t>
  </si>
  <si>
    <t xml:space="preserve">IndyCar Series </t>
  </si>
  <si>
    <t xml:space="preserve">LPGA </t>
  </si>
  <si>
    <t xml:space="preserve">MLB </t>
  </si>
  <si>
    <t xml:space="preserve">MLS </t>
  </si>
  <si>
    <t xml:space="preserve">Mens Tennis (ATP) </t>
  </si>
  <si>
    <t xml:space="preserve">Mexican Soccer </t>
  </si>
  <si>
    <t xml:space="preserve">Minor League Baseball </t>
  </si>
  <si>
    <t xml:space="preserve">Minor League Hockey </t>
  </si>
  <si>
    <t xml:space="preserve">Monster Trucks </t>
  </si>
  <si>
    <t xml:space="preserve">MotoGP </t>
  </si>
  <si>
    <t xml:space="preserve">NASCAR </t>
  </si>
  <si>
    <t xml:space="preserve">NBA </t>
  </si>
  <si>
    <t xml:space="preserve">NFL </t>
  </si>
  <si>
    <t xml:space="preserve">NHL </t>
  </si>
  <si>
    <t xml:space="preserve">NBA Development League </t>
  </si>
  <si>
    <t xml:space="preserve">NHRA </t>
  </si>
  <si>
    <t xml:space="preserve">Olympics </t>
  </si>
  <si>
    <t xml:space="preserve">PGA TOUR </t>
  </si>
  <si>
    <t xml:space="preserve">Pro Boxing </t>
  </si>
  <si>
    <t xml:space="preserve">Pro Bull Riding </t>
  </si>
  <si>
    <t xml:space="preserve">Pro Rodeo </t>
  </si>
  <si>
    <t xml:space="preserve">Supercross/Motocross </t>
  </si>
  <si>
    <t xml:space="preserve">UFC </t>
  </si>
  <si>
    <t xml:space="preserve">WNBA </t>
  </si>
  <si>
    <t xml:space="preserve">Womens Tennis (WTA) </t>
  </si>
  <si>
    <t xml:space="preserve">WWE </t>
  </si>
  <si>
    <t>Abbrev</t>
  </si>
  <si>
    <t>CBB</t>
  </si>
  <si>
    <t>MCB</t>
  </si>
  <si>
    <t>CFB</t>
  </si>
  <si>
    <t>MLB</t>
  </si>
  <si>
    <t>MLS</t>
  </si>
  <si>
    <t>League</t>
  </si>
  <si>
    <t xml:space="preserve">Atlanta Braves </t>
  </si>
  <si>
    <t xml:space="preserve">Atlanta Falcons </t>
  </si>
  <si>
    <t xml:space="preserve">Atlanta Hawks </t>
  </si>
  <si>
    <t xml:space="preserve">Auburn University Football </t>
  </si>
  <si>
    <t xml:space="preserve">Troy University Football </t>
  </si>
  <si>
    <t xml:space="preserve">UAB Blazers Football </t>
  </si>
  <si>
    <t xml:space="preserve">University of Alabama Football </t>
  </si>
  <si>
    <t xml:space="preserve">Auburn University Basketball </t>
  </si>
  <si>
    <t xml:space="preserve">UAB Blazers Basketball </t>
  </si>
  <si>
    <t xml:space="preserve">University of Alabama Basketball </t>
  </si>
  <si>
    <t xml:space="preserve">Arkansas Baseball </t>
  </si>
  <si>
    <t xml:space="preserve">Memphis Grizzlies </t>
  </si>
  <si>
    <t xml:space="preserve">Arkansas Football </t>
  </si>
  <si>
    <t xml:space="preserve">Arkansas - Little Rock Basketball  </t>
  </si>
  <si>
    <t xml:space="preserve">Arkansas Basketball  </t>
  </si>
  <si>
    <t>Arizona Basketball</t>
  </si>
  <si>
    <t xml:space="preserve">Sacramento State Basketball </t>
  </si>
  <si>
    <t xml:space="preserve">Sacramento State Football </t>
  </si>
  <si>
    <t xml:space="preserve">San Jose State Basketball  </t>
  </si>
  <si>
    <t xml:space="preserve">San Jose State Football </t>
  </si>
  <si>
    <t xml:space="preserve">Santa Clara Basketball  </t>
  </si>
  <si>
    <t xml:space="preserve">St Marys Basketball  </t>
  </si>
  <si>
    <t xml:space="preserve">University of San Diego Basketball  </t>
  </si>
  <si>
    <t xml:space="preserve">University of San Francisco Basketball  </t>
  </si>
  <si>
    <t xml:space="preserve">Anaheim Ducks </t>
  </si>
  <si>
    <t xml:space="preserve">CD Chivas USA </t>
  </si>
  <si>
    <t xml:space="preserve">Fresno State Basketball game  </t>
  </si>
  <si>
    <t xml:space="preserve">Fresno State Football </t>
  </si>
  <si>
    <t xml:space="preserve">L.A. Galaxy </t>
  </si>
  <si>
    <t xml:space="preserve">Los Angeles Angels </t>
  </si>
  <si>
    <t xml:space="preserve">Los Angeles Clippers </t>
  </si>
  <si>
    <t xml:space="preserve">Los Angeles Dodgers </t>
  </si>
  <si>
    <t xml:space="preserve">Los Angeles Kings </t>
  </si>
  <si>
    <t xml:space="preserve">Los Angeles Lakers </t>
  </si>
  <si>
    <t xml:space="preserve">Oakland Athletics  </t>
  </si>
  <si>
    <t xml:space="preserve">Oakland Raiders </t>
  </si>
  <si>
    <t xml:space="preserve">Sacramento Kings </t>
  </si>
  <si>
    <t xml:space="preserve">San Diego Chargers </t>
  </si>
  <si>
    <t xml:space="preserve">San Diego Padres </t>
  </si>
  <si>
    <t xml:space="preserve">San Diego State Basketball  </t>
  </si>
  <si>
    <t xml:space="preserve">San Diego State Football </t>
  </si>
  <si>
    <t xml:space="preserve">San Francisco 49ers </t>
  </si>
  <si>
    <t xml:space="preserve">San Francisco Giants </t>
  </si>
  <si>
    <t xml:space="preserve">San Jose Earthquakes </t>
  </si>
  <si>
    <t xml:space="preserve">San Jose Sharks </t>
  </si>
  <si>
    <t xml:space="preserve">Stanford Basketball  </t>
  </si>
  <si>
    <t xml:space="preserve">Stanford Football </t>
  </si>
  <si>
    <t xml:space="preserve">UC Berkeley Basketball  </t>
  </si>
  <si>
    <t xml:space="preserve">UC Berkeley Football </t>
  </si>
  <si>
    <t xml:space="preserve">UCLA Basketball  </t>
  </si>
  <si>
    <t xml:space="preserve">UCLA Football </t>
  </si>
  <si>
    <t xml:space="preserve">USC Basketball  </t>
  </si>
  <si>
    <t xml:space="preserve">USC Football </t>
  </si>
  <si>
    <t xml:space="preserve">Colorado Rockies </t>
  </si>
  <si>
    <t xml:space="preserve">Colorado Rapids </t>
  </si>
  <si>
    <t xml:space="preserve">Denver Nuggets </t>
  </si>
  <si>
    <t xml:space="preserve">Denver Broncos </t>
  </si>
  <si>
    <t xml:space="preserve">Colorado Avalanche </t>
  </si>
  <si>
    <t xml:space="preserve">Colorado State Rams Basketball </t>
  </si>
  <si>
    <t xml:space="preserve">Wyoming Cowboys Basketball </t>
  </si>
  <si>
    <t xml:space="preserve">Wyoming Cowboys Football </t>
  </si>
  <si>
    <t xml:space="preserve">Boston Celtics </t>
  </si>
  <si>
    <t xml:space="preserve">Boston Red Sox </t>
  </si>
  <si>
    <t xml:space="preserve">New England Patriots </t>
  </si>
  <si>
    <t xml:space="preserve">New Jersey Devils </t>
  </si>
  <si>
    <t xml:space="preserve">New York Giants </t>
  </si>
  <si>
    <t xml:space="preserve">New York Islanders </t>
  </si>
  <si>
    <t xml:space="preserve">New York Jets </t>
  </si>
  <si>
    <t xml:space="preserve">New York Knicks </t>
  </si>
  <si>
    <t xml:space="preserve">New York Mets </t>
  </si>
  <si>
    <t xml:space="preserve">New York Rangers </t>
  </si>
  <si>
    <t xml:space="preserve">New York Red Bulls </t>
  </si>
  <si>
    <t xml:space="preserve">New York Yankees </t>
  </si>
  <si>
    <t xml:space="preserve">Brooklyn Nets  </t>
  </si>
  <si>
    <t xml:space="preserve">St. Johns University Basketball  </t>
  </si>
  <si>
    <t xml:space="preserve">Connecticut Basketball </t>
  </si>
  <si>
    <t xml:space="preserve">Connecticut Football </t>
  </si>
  <si>
    <t xml:space="preserve">Rutgers Basketball  </t>
  </si>
  <si>
    <t xml:space="preserve">Rutgers Football  </t>
  </si>
  <si>
    <t xml:space="preserve">Seton Hall Basketball  </t>
  </si>
  <si>
    <t xml:space="preserve">St. Johns Basketball  </t>
  </si>
  <si>
    <t xml:space="preserve">Central Florida Football </t>
  </si>
  <si>
    <t xml:space="preserve">Florida Atlantic Basketball </t>
  </si>
  <si>
    <t xml:space="preserve">Florida Atlantic Football </t>
  </si>
  <si>
    <t xml:space="preserve">Florida Basketball </t>
  </si>
  <si>
    <t xml:space="preserve">Florida Football </t>
  </si>
  <si>
    <t xml:space="preserve">Florida International Basketball </t>
  </si>
  <si>
    <t xml:space="preserve">Florida Panthers </t>
  </si>
  <si>
    <t xml:space="preserve">Florida State Football </t>
  </si>
  <si>
    <t xml:space="preserve">Jacksonville Jaguars </t>
  </si>
  <si>
    <t xml:space="preserve">Miami Dolphins </t>
  </si>
  <si>
    <t xml:space="preserve">Miami Heat </t>
  </si>
  <si>
    <t xml:space="preserve">Miami Marlins </t>
  </si>
  <si>
    <t xml:space="preserve">Orlando Magic </t>
  </si>
  <si>
    <t xml:space="preserve">Tampa Bay Buccaneers </t>
  </si>
  <si>
    <t xml:space="preserve">Tampa Bay Lightning </t>
  </si>
  <si>
    <t xml:space="preserve">Tampa Bay Rays </t>
  </si>
  <si>
    <t xml:space="preserve">University of South Florida Football </t>
  </si>
  <si>
    <t xml:space="preserve">Florida State Basketball  </t>
  </si>
  <si>
    <t xml:space="preserve">University of South Florida Basketball  </t>
  </si>
  <si>
    <t xml:space="preserve">Central Florida Basketball  </t>
  </si>
  <si>
    <t xml:space="preserve">Miami Hurricanes Basketball </t>
  </si>
  <si>
    <t xml:space="preserve">Miami Hurricanes Football </t>
  </si>
  <si>
    <t xml:space="preserve">Georgia Tech Basketball </t>
  </si>
  <si>
    <t xml:space="preserve">Georgia Tech Football </t>
  </si>
  <si>
    <t xml:space="preserve">Georgia State Basketball </t>
  </si>
  <si>
    <t xml:space="preserve">Georgia State Football </t>
  </si>
  <si>
    <t xml:space="preserve">Auburn Tigers Football  </t>
  </si>
  <si>
    <t>University of Hawaii Basketball</t>
  </si>
  <si>
    <t>University of Hawaii Football</t>
  </si>
  <si>
    <t xml:space="preserve">Chicago Cubs </t>
  </si>
  <si>
    <t xml:space="preserve">Kansas City Chiefs </t>
  </si>
  <si>
    <t xml:space="preserve">Kansas City Royals </t>
  </si>
  <si>
    <t xml:space="preserve">Minnesota Vikings </t>
  </si>
  <si>
    <t xml:space="preserve">Drake Bulldogs Basketball </t>
  </si>
  <si>
    <t xml:space="preserve">St. Louis Cardinals </t>
  </si>
  <si>
    <t xml:space="preserve">St. Louis Rams </t>
  </si>
  <si>
    <t xml:space="preserve">St. Louis Blues </t>
  </si>
  <si>
    <t xml:space="preserve">University of Missouri Basketball </t>
  </si>
  <si>
    <t xml:space="preserve">University of Missouri Football </t>
  </si>
  <si>
    <t xml:space="preserve">Southern Illinois Football </t>
  </si>
  <si>
    <t xml:space="preserve">Chicago White Sox </t>
  </si>
  <si>
    <t xml:space="preserve">Chicago Fire </t>
  </si>
  <si>
    <t xml:space="preserve">Chicago Bulls </t>
  </si>
  <si>
    <t xml:space="preserve">Chicago Bears </t>
  </si>
  <si>
    <t xml:space="preserve">Chicago Blackhawks </t>
  </si>
  <si>
    <t xml:space="preserve">DePaul University Basketball </t>
  </si>
  <si>
    <t xml:space="preserve">Northern Illinois Huskies Basketball </t>
  </si>
  <si>
    <t xml:space="preserve">Northern Illinois Huskies Football </t>
  </si>
  <si>
    <t xml:space="preserve">Northwestern Wildcats Basketball </t>
  </si>
  <si>
    <t xml:space="preserve">Northwestern Wildcats Football </t>
  </si>
  <si>
    <t xml:space="preserve">Notre Dame Fighting Irish Basketball </t>
  </si>
  <si>
    <t xml:space="preserve">Notre Dame Fighting Irish Football </t>
  </si>
  <si>
    <t xml:space="preserve">Southern Illinois Basketball  </t>
  </si>
  <si>
    <t xml:space="preserve">St Louis University Basketball  </t>
  </si>
  <si>
    <t xml:space="preserve">Kansas Football </t>
  </si>
  <si>
    <t xml:space="preserve">Kansas State Football </t>
  </si>
  <si>
    <t xml:space="preserve">Kansas Basketball  </t>
  </si>
  <si>
    <t xml:space="preserve">Kansas State Basketball  </t>
  </si>
  <si>
    <t xml:space="preserve">Missouri Basketball </t>
  </si>
  <si>
    <t xml:space="preserve">Missouri Football </t>
  </si>
  <si>
    <t>CH</t>
  </si>
  <si>
    <t xml:space="preserve">Cincinnati Bengals </t>
  </si>
  <si>
    <t xml:space="preserve">Cincinnati Reds </t>
  </si>
  <si>
    <t xml:space="preserve">Columbus Blue Jackets </t>
  </si>
  <si>
    <t xml:space="preserve">Indiana Pacers </t>
  </si>
  <si>
    <t xml:space="preserve">Indianapolis Colts </t>
  </si>
  <si>
    <t xml:space="preserve">Kentucky Football </t>
  </si>
  <si>
    <t xml:space="preserve">Louisville Football </t>
  </si>
  <si>
    <t xml:space="preserve">Indiana Football </t>
  </si>
  <si>
    <t xml:space="preserve">Kentucky Hockey </t>
  </si>
  <si>
    <t xml:space="preserve">Notre Dame Football </t>
  </si>
  <si>
    <t xml:space="preserve">Tennessee Football </t>
  </si>
  <si>
    <t xml:space="preserve">Western Kentucky Football </t>
  </si>
  <si>
    <t xml:space="preserve">Indiana Basketball  </t>
  </si>
  <si>
    <t xml:space="preserve">Kentucky Basketball  </t>
  </si>
  <si>
    <t xml:space="preserve">Louisville Basketball  </t>
  </si>
  <si>
    <t xml:space="preserve">Murray State Basketball  </t>
  </si>
  <si>
    <t xml:space="preserve">Western Kentucky Basketball  </t>
  </si>
  <si>
    <t xml:space="preserve">New Orleans Saints </t>
  </si>
  <si>
    <t xml:space="preserve">LSU Basketball  </t>
  </si>
  <si>
    <t xml:space="preserve">LSU Football </t>
  </si>
  <si>
    <t xml:space="preserve">Tulane Basketball  </t>
  </si>
  <si>
    <t xml:space="preserve">Tulane Football </t>
  </si>
  <si>
    <t xml:space="preserve">Louisiana Tech Football </t>
  </si>
  <si>
    <t xml:space="preserve">LSU Baseball </t>
  </si>
  <si>
    <t xml:space="preserve">Mississippi State Football </t>
  </si>
  <si>
    <t xml:space="preserve">Southern Mississippi Basketball  </t>
  </si>
  <si>
    <t xml:space="preserve">Southern Mississippi Football </t>
  </si>
  <si>
    <t xml:space="preserve">New England Revolution </t>
  </si>
  <si>
    <t xml:space="preserve">Boston Bruins </t>
  </si>
  <si>
    <t xml:space="preserve">Boston College Basketball </t>
  </si>
  <si>
    <t xml:space="preserve">Boston College Football </t>
  </si>
  <si>
    <t xml:space="preserve">Boston College Hockey </t>
  </si>
  <si>
    <t xml:space="preserve">Boston University Hockey </t>
  </si>
  <si>
    <t xml:space="preserve">Boston University Basketball </t>
  </si>
  <si>
    <t xml:space="preserve">Northeastern Hockey </t>
  </si>
  <si>
    <t xml:space="preserve">Massachusetts Basketball </t>
  </si>
  <si>
    <t xml:space="preserve">Massachusetts Football </t>
  </si>
  <si>
    <t xml:space="preserve">Massachusetts Hockey </t>
  </si>
  <si>
    <t xml:space="preserve">Holy Cross Hockey </t>
  </si>
  <si>
    <t xml:space="preserve">Harvard Basketball </t>
  </si>
  <si>
    <t xml:space="preserve">Harvard Football </t>
  </si>
  <si>
    <t xml:space="preserve">Harvard Hockey  </t>
  </si>
  <si>
    <t xml:space="preserve">New Hampshire Hockey </t>
  </si>
  <si>
    <t xml:space="preserve">Baltimore Orioles </t>
  </si>
  <si>
    <t xml:space="preserve">Baltimore Ravens </t>
  </si>
  <si>
    <t xml:space="preserve">D.C. United </t>
  </si>
  <si>
    <t xml:space="preserve">Washington Capitals </t>
  </si>
  <si>
    <t xml:space="preserve">Washington Nationals </t>
  </si>
  <si>
    <t xml:space="preserve">Washington Redskins </t>
  </si>
  <si>
    <t xml:space="preserve">Washington Wizards </t>
  </si>
  <si>
    <t xml:space="preserve">Coppin State Basketball </t>
  </si>
  <si>
    <t xml:space="preserve">Navy Basketball </t>
  </si>
  <si>
    <t xml:space="preserve">Navy Football </t>
  </si>
  <si>
    <t xml:space="preserve">Detroit Lions </t>
  </si>
  <si>
    <t xml:space="preserve">Detroit Pistons </t>
  </si>
  <si>
    <t xml:space="preserve">Detroit Red Wings </t>
  </si>
  <si>
    <t xml:space="preserve">Detroit Tigers </t>
  </si>
  <si>
    <t xml:space="preserve">Michigan Basketball </t>
  </si>
  <si>
    <t xml:space="preserve">Michigan Football </t>
  </si>
  <si>
    <t xml:space="preserve">Notre Dame Basketball </t>
  </si>
  <si>
    <t xml:space="preserve">Central Michigan Basketball </t>
  </si>
  <si>
    <t xml:space="preserve">Central Michigan Football </t>
  </si>
  <si>
    <t xml:space="preserve">Grand Valley State Football </t>
  </si>
  <si>
    <t xml:space="preserve">Eastern Michigan Basketball </t>
  </si>
  <si>
    <t xml:space="preserve">Eastern Michigan Football </t>
  </si>
  <si>
    <t xml:space="preserve">Michigan Hockey </t>
  </si>
  <si>
    <t xml:space="preserve">Michigan State Football </t>
  </si>
  <si>
    <t xml:space="preserve">Michigan State Basketball </t>
  </si>
  <si>
    <t xml:space="preserve">Michigan State Hockey </t>
  </si>
  <si>
    <t xml:space="preserve">Western Michigan Football </t>
  </si>
  <si>
    <t xml:space="preserve">Minnesota Timberwolves </t>
  </si>
  <si>
    <t xml:space="preserve">Minnesota Twins </t>
  </si>
  <si>
    <t xml:space="preserve">Minnesota Wild </t>
  </si>
  <si>
    <t xml:space="preserve">Minnesota Basketball </t>
  </si>
  <si>
    <t xml:space="preserve">Minnesota Football </t>
  </si>
  <si>
    <t xml:space="preserve">Minnesota Hockey  </t>
  </si>
  <si>
    <t xml:space="preserve">Kansas Basketball </t>
  </si>
  <si>
    <t xml:space="preserve">Illinois Fighting Basketball </t>
  </si>
  <si>
    <t xml:space="preserve">Illinois Fighting Football </t>
  </si>
  <si>
    <t xml:space="preserve">Kansas State Basketball </t>
  </si>
  <si>
    <t xml:space="preserve">Missouri State Basketball </t>
  </si>
  <si>
    <t xml:space="preserve">Carolina Panthers </t>
  </si>
  <si>
    <t xml:space="preserve">UNC Football </t>
  </si>
  <si>
    <t xml:space="preserve">NC State Football </t>
  </si>
  <si>
    <t xml:space="preserve">Duke Football </t>
  </si>
  <si>
    <t xml:space="preserve">Charlotte Bobcats </t>
  </si>
  <si>
    <t xml:space="preserve">Carolina Hurricanes </t>
  </si>
  <si>
    <t xml:space="preserve">East Carolina Football </t>
  </si>
  <si>
    <t xml:space="preserve">UNC Basketball  </t>
  </si>
  <si>
    <t xml:space="preserve">Duke Basketball  </t>
  </si>
  <si>
    <t xml:space="preserve">NC State Basketball  </t>
  </si>
  <si>
    <t xml:space="preserve">Wake Forest Basketball  </t>
  </si>
  <si>
    <t xml:space="preserve">East Carolina Basketball  </t>
  </si>
  <si>
    <t xml:space="preserve">N.C. Wilmington Basketball  </t>
  </si>
  <si>
    <t xml:space="preserve">UNC Charlotte Basketball </t>
  </si>
  <si>
    <t xml:space="preserve">Davidson Wildcats Basketball </t>
  </si>
  <si>
    <t xml:space="preserve">Winthrop Eagles Basketball </t>
  </si>
  <si>
    <t xml:space="preserve">Wake Forest Football </t>
  </si>
  <si>
    <t xml:space="preserve">Rutgers Basketball </t>
  </si>
  <si>
    <t xml:space="preserve">Rutgers Football </t>
  </si>
  <si>
    <t xml:space="preserve">Dallas Cowboys </t>
  </si>
  <si>
    <t xml:space="preserve">New Mexico Basketball  </t>
  </si>
  <si>
    <t xml:space="preserve">New Mexico Football  </t>
  </si>
  <si>
    <t xml:space="preserve">New Mexico State Basketball  </t>
  </si>
  <si>
    <t xml:space="preserve">New Mexico State Football  </t>
  </si>
  <si>
    <t xml:space="preserve">Arizona Diamondbacks </t>
  </si>
  <si>
    <t xml:space="preserve">Phoenix Suns </t>
  </si>
  <si>
    <t xml:space="preserve">UNLV Football </t>
  </si>
  <si>
    <t xml:space="preserve">UNLV Basketball  </t>
  </si>
  <si>
    <t>USC Football</t>
  </si>
  <si>
    <t xml:space="preserve">Syracuse Football </t>
  </si>
  <si>
    <t xml:space="preserve">Cornell Hockey </t>
  </si>
  <si>
    <t xml:space="preserve">Cornell Basketball  </t>
  </si>
  <si>
    <t xml:space="preserve">Syracuse Basketball  </t>
  </si>
  <si>
    <t xml:space="preserve">Buffalo Bills </t>
  </si>
  <si>
    <t xml:space="preserve">Buffalo Sabres </t>
  </si>
  <si>
    <t xml:space="preserve">Cleveland Browns </t>
  </si>
  <si>
    <t xml:space="preserve">Cleveland Cavaliers </t>
  </si>
  <si>
    <t xml:space="preserve">Cleveland Indians </t>
  </si>
  <si>
    <t xml:space="preserve">Columbus Crew </t>
  </si>
  <si>
    <t xml:space="preserve">Pittsburgh Steelers </t>
  </si>
  <si>
    <t xml:space="preserve">Toledo Football </t>
  </si>
  <si>
    <t xml:space="preserve">Michigan State Basketball  </t>
  </si>
  <si>
    <t xml:space="preserve">Michigan Basketball  </t>
  </si>
  <si>
    <t xml:space="preserve">Toledo Basketball  </t>
  </si>
  <si>
    <t xml:space="preserve">Akron Basketball </t>
  </si>
  <si>
    <t xml:space="preserve">Cincinnati Basketball  </t>
  </si>
  <si>
    <t xml:space="preserve">Cleveland State Basketball </t>
  </si>
  <si>
    <t xml:space="preserve">Dayton Basketball </t>
  </si>
  <si>
    <t xml:space="preserve">Kent State Basketball </t>
  </si>
  <si>
    <t xml:space="preserve">Miami Basketball </t>
  </si>
  <si>
    <t xml:space="preserve">Ohio State Basketball </t>
  </si>
  <si>
    <t xml:space="preserve">Wright State Basketball </t>
  </si>
  <si>
    <t xml:space="preserve">Xavier Basketball  </t>
  </si>
  <si>
    <t xml:space="preserve">Akron Football </t>
  </si>
  <si>
    <t xml:space="preserve">Cincinnati Football  </t>
  </si>
  <si>
    <t xml:space="preserve">Dayton Football </t>
  </si>
  <si>
    <t xml:space="preserve">Kent State Football </t>
  </si>
  <si>
    <t xml:space="preserve">Kentucky Football  </t>
  </si>
  <si>
    <t xml:space="preserve">Miami Football </t>
  </si>
  <si>
    <t xml:space="preserve">Ohio State Football </t>
  </si>
  <si>
    <t xml:space="preserve">Ohio University Basketball  </t>
  </si>
  <si>
    <t xml:space="preserve">Ohio University Football  </t>
  </si>
  <si>
    <t>Ohio State Hockey</t>
  </si>
  <si>
    <t xml:space="preserve">Oklahoma Football </t>
  </si>
  <si>
    <t xml:space="preserve">Oklahoma City Thunder </t>
  </si>
  <si>
    <t xml:space="preserve">Oklahoma State Football </t>
  </si>
  <si>
    <t xml:space="preserve">Oklahoma Basketball </t>
  </si>
  <si>
    <t xml:space="preserve">Oklahoma State Basketball </t>
  </si>
  <si>
    <t xml:space="preserve">Texas Rangers </t>
  </si>
  <si>
    <t xml:space="preserve">Tulsa Basketball </t>
  </si>
  <si>
    <t xml:space="preserve">Seattle Mariners </t>
  </si>
  <si>
    <t xml:space="preserve">Portland Timbers </t>
  </si>
  <si>
    <t xml:space="preserve">Portland Trail Blazers </t>
  </si>
  <si>
    <t xml:space="preserve">Seattle Seahawks </t>
  </si>
  <si>
    <t xml:space="preserve">Oregon State Basketball  </t>
  </si>
  <si>
    <t xml:space="preserve">Oregon State Football </t>
  </si>
  <si>
    <t xml:space="preserve">Boise State Football </t>
  </si>
  <si>
    <t xml:space="preserve">Oregon State Baseball </t>
  </si>
  <si>
    <t xml:space="preserve">Portland State Basketball  </t>
  </si>
  <si>
    <t xml:space="preserve">Oregon Basketball  </t>
  </si>
  <si>
    <t xml:space="preserve">Oregon Football </t>
  </si>
  <si>
    <t xml:space="preserve">Delaware Football </t>
  </si>
  <si>
    <t xml:space="preserve">Penn State Football </t>
  </si>
  <si>
    <t xml:space="preserve">Philadelphia 76ers </t>
  </si>
  <si>
    <t xml:space="preserve">Philadelphia Eagles </t>
  </si>
  <si>
    <t xml:space="preserve">Philadelphia Flyers </t>
  </si>
  <si>
    <t xml:space="preserve">Philadelphia Phillies </t>
  </si>
  <si>
    <t xml:space="preserve">Philadelphia Union </t>
  </si>
  <si>
    <t xml:space="preserve">Pittsburgh Penguins </t>
  </si>
  <si>
    <t xml:space="preserve">Pittsburgh Pirates </t>
  </si>
  <si>
    <t xml:space="preserve">University of Pittsburgh Football </t>
  </si>
  <si>
    <t xml:space="preserve">West Virginia Football </t>
  </si>
  <si>
    <t xml:space="preserve">Delaware Basketball  </t>
  </si>
  <si>
    <t xml:space="preserve">Drexel Basketball  </t>
  </si>
  <si>
    <t xml:space="preserve">Duquesne Basketball  </t>
  </si>
  <si>
    <t xml:space="preserve">La Salle Basketball  </t>
  </si>
  <si>
    <t xml:space="preserve">Notre Dame Basketball  </t>
  </si>
  <si>
    <t xml:space="preserve">Penn State Basketball  </t>
  </si>
  <si>
    <t xml:space="preserve">Robert Morris Basketball  </t>
  </si>
  <si>
    <t xml:space="preserve">Temple Basketball  </t>
  </si>
  <si>
    <t xml:space="preserve">University of Pittsburgh Basketball  </t>
  </si>
  <si>
    <t xml:space="preserve">Villanova Basketball  </t>
  </si>
  <si>
    <t xml:space="preserve">West Virginia Basketball  </t>
  </si>
  <si>
    <t xml:space="preserve">St Joesphs Basketball  </t>
  </si>
  <si>
    <t xml:space="preserve">Providence Basketball  </t>
  </si>
  <si>
    <t xml:space="preserve">URI Basketball  </t>
  </si>
  <si>
    <t xml:space="preserve">Connecticut Basketball  </t>
  </si>
  <si>
    <t xml:space="preserve">Clemson Basketball </t>
  </si>
  <si>
    <t xml:space="preserve">Furman Basketball </t>
  </si>
  <si>
    <t xml:space="preserve">South Carolina Basketball </t>
  </si>
  <si>
    <t xml:space="preserve">Wofford Basketball </t>
  </si>
  <si>
    <t xml:space="preserve">Clemson Football </t>
  </si>
  <si>
    <t xml:space="preserve">Furman Football </t>
  </si>
  <si>
    <t xml:space="preserve">Georgia Football </t>
  </si>
  <si>
    <t xml:space="preserve">South Carolina Football </t>
  </si>
  <si>
    <t xml:space="preserve">Wofford Football </t>
  </si>
  <si>
    <t xml:space="preserve">Tennessee Titans </t>
  </si>
  <si>
    <t xml:space="preserve">Nashville Predators </t>
  </si>
  <si>
    <t xml:space="preserve">Vanderbilt Football </t>
  </si>
  <si>
    <t xml:space="preserve">Tennessee Basketball  </t>
  </si>
  <si>
    <t xml:space="preserve">Mississippi State Basketball  </t>
  </si>
  <si>
    <t xml:space="preserve">Memphis Basketball  </t>
  </si>
  <si>
    <t xml:space="preserve">Memphis Football </t>
  </si>
  <si>
    <t xml:space="preserve">Mississippi Basketball  </t>
  </si>
  <si>
    <t xml:space="preserve">Mississippi Football </t>
  </si>
  <si>
    <t xml:space="preserve">Vanderbilt Basketball  </t>
  </si>
  <si>
    <t xml:space="preserve">San Antonio Spurs </t>
  </si>
  <si>
    <t xml:space="preserve">Houston Texans </t>
  </si>
  <si>
    <t xml:space="preserve">Dallas Stars </t>
  </si>
  <si>
    <t xml:space="preserve">Houston Rockets </t>
  </si>
  <si>
    <t xml:space="preserve">FC Dallas </t>
  </si>
  <si>
    <t xml:space="preserve">Dallas Mavericks </t>
  </si>
  <si>
    <t xml:space="preserve">Texas A&amp;M Football </t>
  </si>
  <si>
    <t xml:space="preserve">Texas Football </t>
  </si>
  <si>
    <t xml:space="preserve">Baylor Basketball </t>
  </si>
  <si>
    <t xml:space="preserve">Baylor Football </t>
  </si>
  <si>
    <t xml:space="preserve">Houston Basketball </t>
  </si>
  <si>
    <t xml:space="preserve">Houston Football </t>
  </si>
  <si>
    <t xml:space="preserve">New Mexico State Basketball </t>
  </si>
  <si>
    <t xml:space="preserve">New Mexico State Football </t>
  </si>
  <si>
    <t xml:space="preserve">Rice Baseball </t>
  </si>
  <si>
    <t xml:space="preserve">Rice Basketball </t>
  </si>
  <si>
    <t xml:space="preserve">Rice Football </t>
  </si>
  <si>
    <t xml:space="preserve">SMU Basketball </t>
  </si>
  <si>
    <t xml:space="preserve">SMU Football  </t>
  </si>
  <si>
    <t xml:space="preserve">TCU Basketball </t>
  </si>
  <si>
    <t xml:space="preserve">TCU Football </t>
  </si>
  <si>
    <t xml:space="preserve">Texas A&amp;M Basketball </t>
  </si>
  <si>
    <t xml:space="preserve">Texas Basketball </t>
  </si>
  <si>
    <t xml:space="preserve">Texas at El Paso Basketball </t>
  </si>
  <si>
    <t xml:space="preserve">Texas at El Paso Football </t>
  </si>
  <si>
    <t xml:space="preserve">Texas Baseball   </t>
  </si>
  <si>
    <t xml:space="preserve">Texas Tech Basketball </t>
  </si>
  <si>
    <t xml:space="preserve">Texas Tech Football </t>
  </si>
  <si>
    <t xml:space="preserve">Real Salt Lake </t>
  </si>
  <si>
    <t xml:space="preserve">Utah Jazz </t>
  </si>
  <si>
    <t xml:space="preserve">BYU Footbal </t>
  </si>
  <si>
    <t xml:space="preserve">Utah Football </t>
  </si>
  <si>
    <t xml:space="preserve">BYU Basketball  </t>
  </si>
  <si>
    <t xml:space="preserve">Utah Basketball  </t>
  </si>
  <si>
    <t>`</t>
  </si>
  <si>
    <t xml:space="preserve">George Mason Basketball </t>
  </si>
  <si>
    <t xml:space="preserve">George Washington Basketball </t>
  </si>
  <si>
    <t xml:space="preserve">Georgetown Basketball </t>
  </si>
  <si>
    <t xml:space="preserve">Maryland Basketball </t>
  </si>
  <si>
    <t xml:space="preserve">Maryland Football </t>
  </si>
  <si>
    <t xml:space="preserve">Virginia Tech Football </t>
  </si>
  <si>
    <t xml:space="preserve">Virginia Basketball </t>
  </si>
  <si>
    <t xml:space="preserve">Virginia Football </t>
  </si>
  <si>
    <t xml:space="preserve">Richmond Football </t>
  </si>
  <si>
    <t xml:space="preserve">Old Dominion Basketball </t>
  </si>
  <si>
    <t xml:space="preserve">Old Dominion Football </t>
  </si>
  <si>
    <t xml:space="preserve">Eastern Washington Football </t>
  </si>
  <si>
    <t xml:space="preserve">Seattle Sounders FC </t>
  </si>
  <si>
    <t xml:space="preserve">Washington State Football </t>
  </si>
  <si>
    <t xml:space="preserve">Eastern Washington Basketball  </t>
  </si>
  <si>
    <t xml:space="preserve">Gonzaga Basketball  </t>
  </si>
  <si>
    <t xml:space="preserve">Washington State Basketball  </t>
  </si>
  <si>
    <t xml:space="preserve">Washington Football </t>
  </si>
  <si>
    <t xml:space="preserve">Washington Basketball  </t>
  </si>
  <si>
    <t xml:space="preserve">Idaho Basketball  </t>
  </si>
  <si>
    <t xml:space="preserve">Milwaukee Brewers </t>
  </si>
  <si>
    <t xml:space="preserve">Milwaukee Bucks </t>
  </si>
  <si>
    <t xml:space="preserve">Green Bay Packers </t>
  </si>
  <si>
    <t xml:space="preserve">Marquette Basketball </t>
  </si>
  <si>
    <t xml:space="preserve">Wisconsin Basketball </t>
  </si>
  <si>
    <t xml:space="preserve">Wisconsin-Milwaukee Basketball </t>
  </si>
  <si>
    <t xml:space="preserve">Wisconsin Football </t>
  </si>
  <si>
    <t>Wisconsin Hockey</t>
  </si>
  <si>
    <t>Alabama</t>
  </si>
  <si>
    <t>Arizona</t>
  </si>
  <si>
    <t>Arkansas</t>
  </si>
  <si>
    <t>California</t>
  </si>
  <si>
    <t>Colorado</t>
  </si>
  <si>
    <t>Connecticut</t>
  </si>
  <si>
    <t>Florida</t>
  </si>
  <si>
    <t>Georgia</t>
  </si>
  <si>
    <t>Hawaii</t>
  </si>
  <si>
    <t>Iowa</t>
  </si>
  <si>
    <t>Illinois</t>
  </si>
  <si>
    <t>Indiana</t>
  </si>
  <si>
    <t>Kansas</t>
  </si>
  <si>
    <t>Kentucky</t>
  </si>
  <si>
    <t>Louisiana</t>
  </si>
  <si>
    <t>Maryland</t>
  </si>
  <si>
    <t>Massachusetts</t>
  </si>
  <si>
    <t>Michigan</t>
  </si>
  <si>
    <t>Minnesota</t>
  </si>
  <si>
    <t>Missouri</t>
  </si>
  <si>
    <t>North Carolina</t>
  </si>
  <si>
    <t>New Jersey</t>
  </si>
  <si>
    <t>New Mexico</t>
  </si>
  <si>
    <t>Oregon</t>
  </si>
  <si>
    <t>Nevada</t>
  </si>
  <si>
    <t>Ohio</t>
  </si>
  <si>
    <t>Oklahoma</t>
  </si>
  <si>
    <t>Pennsylvania</t>
  </si>
  <si>
    <t>Rhode Island</t>
  </si>
  <si>
    <t>South Carolina</t>
  </si>
  <si>
    <t>Tennessee</t>
  </si>
  <si>
    <t>Texas</t>
  </si>
  <si>
    <t>Utah</t>
  </si>
  <si>
    <t>Virginia</t>
  </si>
  <si>
    <t>Washington</t>
  </si>
  <si>
    <t>Wisconsin</t>
  </si>
  <si>
    <t>Item in List</t>
  </si>
  <si>
    <t>State Code</t>
  </si>
  <si>
    <t>Asset</t>
  </si>
  <si>
    <t>Fan Base Size</t>
  </si>
  <si>
    <t>Percent of Market</t>
  </si>
  <si>
    <t xml:space="preserve">League ID </t>
  </si>
  <si>
    <t>League Interest</t>
  </si>
  <si>
    <t>Market Pop</t>
  </si>
  <si>
    <t xml:space="preserve"> </t>
  </si>
  <si>
    <t>National</t>
  </si>
  <si>
    <t>US League Interest</t>
  </si>
  <si>
    <t>Index</t>
  </si>
  <si>
    <t>US Avid League Interest</t>
  </si>
  <si>
    <t>State Avid League Interest</t>
  </si>
  <si>
    <t>State League Interest</t>
  </si>
  <si>
    <t>Population:</t>
  </si>
  <si>
    <t>Status</t>
  </si>
  <si>
    <t>US League 
Interest</t>
  </si>
  <si>
    <t>State League 
Interest</t>
  </si>
  <si>
    <t>US Avid League 
Interest</t>
  </si>
  <si>
    <t>State Avid League 
Interest</t>
  </si>
  <si>
    <t>WAL%</t>
  </si>
  <si>
    <t>Total Fans</t>
  </si>
  <si>
    <t>State Name</t>
  </si>
  <si>
    <t xml:space="preserve">Arizona Cardinals </t>
  </si>
  <si>
    <t xml:space="preserve">Arizona State Football </t>
  </si>
  <si>
    <t xml:space="preserve">Arizona Football </t>
  </si>
  <si>
    <t xml:space="preserve">Phoenix Coyotes </t>
  </si>
  <si>
    <t xml:space="preserve">Arizona State Baseball </t>
  </si>
  <si>
    <t xml:space="preserve">Arizona State Basketball  </t>
  </si>
  <si>
    <t>Top Scroll</t>
  </si>
  <si>
    <t>Left Scroll</t>
  </si>
  <si>
    <t>Rigth Scroll</t>
  </si>
  <si>
    <t>Location</t>
  </si>
  <si>
    <t>Max Length</t>
  </si>
  <si>
    <t>Avid</t>
  </si>
  <si>
    <t>Casual</t>
  </si>
  <si>
    <t xml:space="preserve">League Interest </t>
  </si>
  <si>
    <t>Max</t>
  </si>
  <si>
    <t>Min</t>
  </si>
  <si>
    <t>KO/PC</t>
  </si>
  <si>
    <t>KO</t>
  </si>
  <si>
    <t>PC</t>
  </si>
  <si>
    <t xml:space="preserve">Arizona Baseball </t>
  </si>
  <si>
    <t xml:space="preserve">Fresno State Baseball </t>
  </si>
  <si>
    <t xml:space="preserve">Colorado Football </t>
  </si>
  <si>
    <t xml:space="preserve">Colorado State Football </t>
  </si>
  <si>
    <t xml:space="preserve">Colorado Basketball  </t>
  </si>
  <si>
    <t xml:space="preserve">Iowa Football </t>
  </si>
  <si>
    <t xml:space="preserve">Iowa State Football </t>
  </si>
  <si>
    <t>Iowa State Basketball</t>
  </si>
  <si>
    <t xml:space="preserve">Iowa Basketball  </t>
  </si>
  <si>
    <t xml:space="preserve">Illinois Football </t>
  </si>
  <si>
    <t xml:space="preserve">Illinois Basketball </t>
  </si>
  <si>
    <t xml:space="preserve">Butler Basketball </t>
  </si>
  <si>
    <t xml:space="preserve">Purdue Basketball   </t>
  </si>
  <si>
    <t xml:space="preserve">Purdue Football </t>
  </si>
  <si>
    <t xml:space="preserve">Ball State Basketball </t>
  </si>
  <si>
    <t xml:space="preserve">Ball State Football </t>
  </si>
  <si>
    <t xml:space="preserve">Bowling Green Football </t>
  </si>
  <si>
    <t xml:space="preserve">Bowling Green Basketball  </t>
  </si>
  <si>
    <t>Houston Astros</t>
  </si>
  <si>
    <t xml:space="preserve">Georgia Football  </t>
  </si>
  <si>
    <t xml:space="preserve">Georgia Basketball  </t>
  </si>
  <si>
    <t>DP</t>
  </si>
  <si>
    <t xml:space="preserve">Northern Iowa Football </t>
  </si>
  <si>
    <t xml:space="preserve">Northern Iowa Basketball </t>
  </si>
  <si>
    <t>New Orleans Pelicans</t>
  </si>
  <si>
    <t>KO/DP</t>
  </si>
  <si>
    <t>District of Columbia</t>
  </si>
  <si>
    <t>DC</t>
  </si>
  <si>
    <t xml:space="preserve">Duke Basketball </t>
  </si>
  <si>
    <t xml:space="preserve">UNC Basketball </t>
  </si>
  <si>
    <t xml:space="preserve">Virginia Tech Basketball </t>
  </si>
  <si>
    <t xml:space="preserve">Richmond Basketball </t>
  </si>
  <si>
    <t xml:space="preserve">VCU Basketball </t>
  </si>
  <si>
    <t xml:space="preserve">Seton Hall Basketball </t>
  </si>
  <si>
    <t xml:space="preserve">Buffalo Football  </t>
  </si>
  <si>
    <t xml:space="preserve">Buffalo Basketball  </t>
  </si>
  <si>
    <t xml:space="preserve">St. Bonaventure Basketball  </t>
  </si>
  <si>
    <t xml:space="preserve">Canisius Hockey  </t>
  </si>
  <si>
    <t xml:space="preserve">Canisius Basketball  </t>
  </si>
  <si>
    <t xml:space="preserve">Texas Southern Basketball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</si>
</sst>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(* #,##0.00_);_(* \(#,##0.00\);_(* &quot;-&quot;??_);_(@_)"/>
    <numFmt numFmtId="164" formatCode="0.0%"/>
  </numFmts>
  <fonts count="12" x14ac:knownFonts="1">
    <font>
      <sz val="10"/>
      <color theme="1"/>
      <name val="Arial"/>
    </font>
    <font>
      <b/>
      <sz val="10"/>
      <name val="Trebuchet MS"/>
      <family val="2"/>
    </font>
    <font>
      <sz val="10"/>
      <name val="Trebuchet MS"/>
      <family val="2"/>
    </font>
    <font>
      <b/>
      <sz val="10"/>
      <name val="Trebuchet MS"/>
      <family val="2"/>
    </font>
    <font>
      <sz val="9"/>
      <name val="Arial"/>
    </font>
    <font>
      <b/>
      <sz val="8"/>
      <color indexed="81"/>
      <name val="Arial"/>
      <family val="2"/>
    </font>
    <font>
      <sz val="8"/>
      <color indexed="81"/>
      <name val="Arial"/>
      <family val="2"/>
    </font>
    <font>
      <sz val="10"/>
      <color theme="1"/>
      <name val="Arial"/>
    </font>
    <font>
      <sz val="10"/>
      <color theme="0"/>
      <name val="Arial"/>
      <family val="2"/>
    </font>
    <font>
      <b/>
      <sz val="7"/>
      <color theme="1"/>
      <name val="Arial"/>
      <family val="2"/>
    </font>
    <font>
      <sz val="9"/>
      <color theme="1"/>
      <name val="Arial"/>
      <family val="2"/>
    </font>
    <font>
      <sz val="20"/>
      <color theme="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</fills>
  <borders count="17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</borders>
  <cellStyleXfs count="5">
    <xf numFmtId="0" fontId="0" fillId="0" borderId="0"/>
    <xf numFmtId="43" fontId="7" fillId="0" borderId="0" applyFont="0" applyFill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9" fontId="7" fillId="0" borderId="0" applyFont="0" applyFill="0" applyBorder="0" applyAlignment="0" applyProtection="0"/>
  </cellStyleXfs>
  <cellXfs count="76">
    <xf numFmtId="0" fontId="0" fillId="0" borderId="0" xfId="0"/>
    <xf numFmtId="0" fontId="0" fillId="0" borderId="0" xfId="0" applyFont="1" applyAlignment="1">
      <alignment vertical="center" wrapText="1"/>
    </xf>
    <xf numFmtId="3" fontId="0" fillId="0" borderId="0" xfId="0" applyNumberFormat="1" applyFont="1" applyAlignment="1">
      <alignment horizontal="right"/>
    </xf>
    <xf numFmtId="164" fontId="0" fillId="0" borderId="0" xfId="0" applyNumberFormat="1" applyFont="1" applyAlignment="1">
      <alignment horizontal="right"/>
    </xf>
    <xf numFmtId="0" fontId="0" fillId="0" borderId="0" xfId="0" applyFont="1" applyAlignment="1">
      <alignment vertical="center"/>
    </xf>
    <xf numFmtId="0" fontId="1" fillId="2" borderId="0" xfId="0" applyFont="1" applyFill="1" applyAlignment="1">
      <alignment vertical="center" wrapText="1"/>
    </xf>
    <xf numFmtId="0" fontId="2" fillId="0" borderId="0" xfId="3" applyFont="1" applyAlignment="1">
      <alignment vertical="center" wrapText="1"/>
    </xf>
    <xf numFmtId="3" fontId="2" fillId="0" borderId="0" xfId="3" applyNumberFormat="1" applyFont="1" applyAlignment="1">
      <alignment horizontal="right"/>
    </xf>
    <xf numFmtId="164" fontId="2" fillId="0" borderId="0" xfId="3" applyNumberFormat="1" applyFont="1" applyAlignment="1">
      <alignment horizontal="right"/>
    </xf>
    <xf numFmtId="0" fontId="2" fillId="0" borderId="0" xfId="3" applyFont="1">
      <alignment vertical="center"/>
    </xf>
    <xf numFmtId="0" fontId="3" fillId="2" borderId="0" xfId="3" applyFont="1" applyFill="1" applyAlignment="1">
      <alignment vertical="center" wrapText="1"/>
    </xf>
    <xf numFmtId="0" fontId="2" fillId="0" borderId="0" xfId="2" applyFont="1" applyAlignment="1">
      <alignment vertical="center" wrapText="1"/>
    </xf>
    <xf numFmtId="3" fontId="2" fillId="0" borderId="0" xfId="2" applyNumberFormat="1" applyFont="1" applyAlignment="1">
      <alignment horizontal="right"/>
    </xf>
    <xf numFmtId="164" fontId="2" fillId="0" borderId="0" xfId="2" applyNumberFormat="1" applyFont="1" applyAlignment="1">
      <alignment horizontal="right"/>
    </xf>
    <xf numFmtId="0" fontId="2" fillId="0" borderId="0" xfId="2" applyFont="1">
      <alignment vertical="center"/>
    </xf>
    <xf numFmtId="0" fontId="3" fillId="2" borderId="0" xfId="2" applyFont="1" applyFill="1" applyAlignment="1">
      <alignment vertical="center" wrapText="1"/>
    </xf>
    <xf numFmtId="0" fontId="3" fillId="2" borderId="0" xfId="0" applyFont="1" applyFill="1" applyAlignment="1">
      <alignment vertical="center" wrapText="1"/>
    </xf>
    <xf numFmtId="3" fontId="0" fillId="0" borderId="0" xfId="0" applyNumberFormat="1"/>
    <xf numFmtId="164" fontId="7" fillId="0" borderId="0" xfId="4" applyNumberFormat="1" applyFont="1"/>
    <xf numFmtId="0" fontId="0" fillId="0" borderId="0" xfId="0" applyAlignment="1">
      <alignment horizontal="left" indent="2"/>
    </xf>
    <xf numFmtId="1" fontId="0" fillId="0" borderId="0" xfId="0" applyNumberFormat="1"/>
    <xf numFmtId="0" fontId="0" fillId="0" borderId="0" xfId="0" applyBorder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8" fillId="3" borderId="0" xfId="0" applyFont="1" applyFill="1" applyBorder="1"/>
    <xf numFmtId="0" fontId="0" fillId="0" borderId="5" xfId="0" applyBorder="1"/>
    <xf numFmtId="0" fontId="9" fillId="0" borderId="0" xfId="0" applyFont="1" applyBorder="1" applyAlignment="1">
      <alignment horizontal="center"/>
    </xf>
    <xf numFmtId="0" fontId="9" fillId="0" borderId="0" xfId="0" applyFont="1" applyBorder="1" applyAlignment="1">
      <alignment horizontal="center" wrapText="1"/>
    </xf>
    <xf numFmtId="0" fontId="9" fillId="0" borderId="0" xfId="0" applyFont="1" applyFill="1" applyBorder="1" applyAlignment="1">
      <alignment horizontal="center"/>
    </xf>
    <xf numFmtId="0" fontId="4" fillId="4" borderId="9" xfId="0" applyFont="1" applyFill="1" applyBorder="1"/>
    <xf numFmtId="0" fontId="4" fillId="4" borderId="10" xfId="0" applyFont="1" applyFill="1" applyBorder="1" applyAlignment="1">
      <alignment horizontal="center"/>
    </xf>
    <xf numFmtId="9" fontId="4" fillId="4" borderId="10" xfId="4" applyFont="1" applyFill="1" applyBorder="1" applyAlignment="1">
      <alignment horizontal="center"/>
    </xf>
    <xf numFmtId="1" fontId="4" fillId="4" borderId="10" xfId="0" applyNumberFormat="1" applyFont="1" applyFill="1" applyBorder="1" applyAlignment="1">
      <alignment horizontal="center"/>
    </xf>
    <xf numFmtId="3" fontId="4" fillId="4" borderId="11" xfId="1" applyNumberFormat="1" applyFont="1" applyFill="1" applyBorder="1" applyAlignment="1">
      <alignment horizontal="center"/>
    </xf>
    <xf numFmtId="3" fontId="4" fillId="0" borderId="0" xfId="1" applyNumberFormat="1" applyFont="1" applyFill="1" applyBorder="1" applyAlignment="1">
      <alignment horizontal="center"/>
    </xf>
    <xf numFmtId="9" fontId="4" fillId="0" borderId="0" xfId="4" applyFont="1" applyFill="1" applyBorder="1" applyAlignment="1">
      <alignment horizontal="center"/>
    </xf>
    <xf numFmtId="0" fontId="4" fillId="0" borderId="12" xfId="0" applyFont="1" applyFill="1" applyBorder="1"/>
    <xf numFmtId="0" fontId="4" fillId="0" borderId="0" xfId="0" applyFont="1" applyFill="1" applyBorder="1" applyAlignment="1">
      <alignment horizontal="center"/>
    </xf>
    <xf numFmtId="0" fontId="10" fillId="0" borderId="0" xfId="0" applyFont="1" applyBorder="1" applyAlignment="1">
      <alignment horizontal="center"/>
    </xf>
    <xf numFmtId="9" fontId="10" fillId="0" borderId="0" xfId="4" applyFont="1" applyBorder="1" applyAlignment="1">
      <alignment horizontal="center"/>
    </xf>
    <xf numFmtId="1" fontId="10" fillId="0" borderId="0" xfId="0" applyNumberFormat="1" applyFont="1" applyBorder="1" applyAlignment="1">
      <alignment horizontal="center"/>
    </xf>
    <xf numFmtId="3" fontId="10" fillId="0" borderId="13" xfId="1" applyNumberFormat="1" applyFont="1" applyBorder="1" applyAlignment="1">
      <alignment horizontal="center"/>
    </xf>
    <xf numFmtId="0" fontId="4" fillId="4" borderId="12" xfId="0" applyFont="1" applyFill="1" applyBorder="1"/>
    <xf numFmtId="0" fontId="4" fillId="4" borderId="0" xfId="0" applyFont="1" applyFill="1" applyBorder="1" applyAlignment="1">
      <alignment horizontal="center"/>
    </xf>
    <xf numFmtId="0" fontId="10" fillId="4" borderId="0" xfId="0" applyFont="1" applyFill="1" applyBorder="1" applyAlignment="1">
      <alignment horizontal="center"/>
    </xf>
    <xf numFmtId="9" fontId="10" fillId="4" borderId="0" xfId="4" applyFont="1" applyFill="1" applyBorder="1" applyAlignment="1">
      <alignment horizontal="center"/>
    </xf>
    <xf numFmtId="1" fontId="10" fillId="4" borderId="0" xfId="0" applyNumberFormat="1" applyFont="1" applyFill="1" applyBorder="1" applyAlignment="1">
      <alignment horizontal="center"/>
    </xf>
    <xf numFmtId="3" fontId="10" fillId="4" borderId="13" xfId="1" applyNumberFormat="1" applyFont="1" applyFill="1" applyBorder="1" applyAlignment="1">
      <alignment horizontal="center"/>
    </xf>
    <xf numFmtId="0" fontId="4" fillId="0" borderId="14" xfId="0" applyFont="1" applyFill="1" applyBorder="1"/>
    <xf numFmtId="0" fontId="4" fillId="0" borderId="15" xfId="0" applyFont="1" applyFill="1" applyBorder="1" applyAlignment="1">
      <alignment horizontal="center"/>
    </xf>
    <xf numFmtId="0" fontId="10" fillId="0" borderId="15" xfId="0" applyFont="1" applyBorder="1" applyAlignment="1">
      <alignment horizontal="center"/>
    </xf>
    <xf numFmtId="9" fontId="10" fillId="0" borderId="15" xfId="4" applyFont="1" applyBorder="1" applyAlignment="1">
      <alignment horizontal="center"/>
    </xf>
    <xf numFmtId="1" fontId="10" fillId="0" borderId="15" xfId="0" applyNumberFormat="1" applyFont="1" applyBorder="1" applyAlignment="1">
      <alignment horizontal="center"/>
    </xf>
    <xf numFmtId="3" fontId="10" fillId="0" borderId="16" xfId="1" applyNumberFormat="1" applyFont="1" applyBorder="1" applyAlignment="1">
      <alignment horizontal="center"/>
    </xf>
    <xf numFmtId="0" fontId="4" fillId="0" borderId="0" xfId="0" applyFont="1" applyFill="1" applyBorder="1"/>
    <xf numFmtId="3" fontId="10" fillId="0" borderId="0" xfId="1" applyNumberFormat="1" applyFont="1" applyFill="1" applyBorder="1" applyAlignment="1">
      <alignment horizontal="center"/>
    </xf>
    <xf numFmtId="0" fontId="0" fillId="0" borderId="0" xfId="0" applyFill="1" applyBorder="1"/>
    <xf numFmtId="0" fontId="10" fillId="0" borderId="0" xfId="0" applyFont="1" applyBorder="1"/>
    <xf numFmtId="0" fontId="9" fillId="0" borderId="0" xfId="0" applyFont="1" applyBorder="1"/>
    <xf numFmtId="1" fontId="0" fillId="0" borderId="0" xfId="0" applyNumberFormat="1" applyBorder="1"/>
    <xf numFmtId="1" fontId="10" fillId="0" borderId="0" xfId="4" applyNumberFormat="1" applyFont="1" applyBorder="1" applyAlignment="1">
      <alignment horizontal="right"/>
    </xf>
    <xf numFmtId="9" fontId="7" fillId="0" borderId="0" xfId="4" applyFont="1" applyBorder="1" applyAlignment="1">
      <alignment horizontal="center"/>
    </xf>
    <xf numFmtId="1" fontId="0" fillId="0" borderId="0" xfId="0" applyNumberFormat="1" applyBorder="1" applyAlignment="1">
      <alignment horizontal="center"/>
    </xf>
    <xf numFmtId="0" fontId="9" fillId="0" borderId="5" xfId="0" applyFont="1" applyBorder="1"/>
    <xf numFmtId="0" fontId="10" fillId="0" borderId="5" xfId="0" applyFont="1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0" xfId="0" applyAlignment="1">
      <alignment horizontal="left"/>
    </xf>
    <xf numFmtId="0" fontId="11" fillId="3" borderId="0" xfId="0" applyFont="1" applyFill="1" applyBorder="1" applyAlignment="1"/>
    <xf numFmtId="9" fontId="10" fillId="0" borderId="0" xfId="4" applyFont="1" applyBorder="1" applyAlignment="1">
      <alignment horizontal="left"/>
    </xf>
    <xf numFmtId="0" fontId="10" fillId="0" borderId="0" xfId="0" applyFont="1" applyBorder="1"/>
    <xf numFmtId="0" fontId="10" fillId="0" borderId="5" xfId="0" applyFont="1" applyBorder="1"/>
    <xf numFmtId="3" fontId="8" fillId="3" borderId="0" xfId="0" applyNumberFormat="1" applyFont="1" applyFill="1" applyBorder="1" applyAlignment="1">
      <alignment horizontal="right"/>
    </xf>
  </cellXfs>
  <cellStyles count="5">
    <cellStyle name="Comma" xfId="1" builtinId="3"/>
    <cellStyle name="Normal" xfId="0" builtinId="0"/>
    <cellStyle name="Normal 2" xfId="2"/>
    <cellStyle name="Normal 3" xfId="3"/>
    <cellStyle name="Percent" xfId="4" builtinId="5"/>
  </cellStyles>
  <dxfs count="3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64" formatCode="0.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3" formatCode="#,##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 tint="-4.9989318521683403E-2"/>
      </font>
    </dxf>
    <dxf>
      <font>
        <color theme="0"/>
      </font>
    </dxf>
    <dxf>
      <font>
        <b/>
        <i val="0"/>
        <color rgb="FFC00000"/>
      </font>
    </dxf>
    <dxf>
      <font>
        <b/>
        <i val="0"/>
        <color rgb="FF0070C0"/>
      </font>
    </dxf>
    <dxf>
      <font>
        <color theme="0" tint="-4.9989318521683403E-2"/>
      </font>
    </dxf>
    <dxf>
      <font>
        <color theme="0"/>
      </font>
    </dxf>
    <dxf>
      <font>
        <b/>
        <i val="0"/>
        <color rgb="FFC00000"/>
      </font>
    </dxf>
    <dxf>
      <font>
        <b/>
        <i val="0"/>
        <color rgb="FF0070C0"/>
      </font>
    </dxf>
    <dxf>
      <font>
        <b/>
        <i val="0"/>
        <color rgb="FFC00000"/>
      </font>
    </dxf>
    <dxf>
      <font>
        <b/>
        <i val="0"/>
        <color rgb="FF0070C0"/>
      </font>
    </dxf>
    <dxf>
      <font>
        <b/>
        <i val="0"/>
        <color rgb="FFC00000"/>
      </font>
    </dxf>
    <dxf>
      <font>
        <b/>
        <i val="0"/>
        <color rgb="FF0070C0"/>
      </font>
    </dxf>
    <dxf>
      <font>
        <b/>
        <i val="0"/>
        <color rgb="FFC00000"/>
      </font>
    </dxf>
    <dxf>
      <font>
        <b/>
        <i val="0"/>
        <color rgb="FF0070C0"/>
      </font>
    </dxf>
    <dxf>
      <font>
        <b/>
        <i val="0"/>
        <color rgb="FFC00000"/>
      </font>
    </dxf>
    <dxf>
      <font>
        <b/>
        <i val="0"/>
        <color rgb="FF0070C0"/>
      </font>
    </dxf>
    <dxf>
      <font>
        <b/>
        <i val="0"/>
        <color rgb="FFC00000"/>
      </font>
    </dxf>
    <dxf>
      <font>
        <b/>
        <i val="0"/>
        <color rgb="FF0070C0"/>
      </font>
    </dxf>
    <dxf>
      <font>
        <b/>
        <i val="0"/>
        <color rgb="FFC00000"/>
      </font>
    </dxf>
    <dxf>
      <font>
        <b/>
        <i val="0"/>
        <color rgb="FF0070C0"/>
      </font>
    </dxf>
    <dxf>
      <font>
        <b/>
        <i val="0"/>
        <color rgb="FFC00000"/>
      </font>
    </dxf>
    <dxf>
      <font>
        <b/>
        <i val="0"/>
        <color rgb="FF0070C0"/>
      </font>
    </dxf>
    <dxf>
      <font>
        <b/>
        <i val="0"/>
        <color rgb="FFC00000"/>
      </font>
    </dxf>
    <dxf>
      <font>
        <b/>
        <i val="0"/>
        <color rgb="FF0070C0"/>
      </font>
    </dxf>
    <dxf>
      <font>
        <b/>
        <i val="0"/>
        <color rgb="FFC00000"/>
      </font>
    </dxf>
    <dxf>
      <font>
        <b/>
        <i val="0"/>
        <color rgb="FF0070C0"/>
      </font>
    </dxf>
    <dxf>
      <font>
        <b/>
        <i val="0"/>
        <color rgb="FFC00000"/>
      </font>
    </dxf>
    <dxf>
      <font>
        <b/>
        <i val="0"/>
        <color rgb="FF0070C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46" Type="http://schemas.openxmlformats.org/officeDocument/2006/relationships/styles" Target="styles.xml"/><Relationship Id="rId47" Type="http://schemas.openxmlformats.org/officeDocument/2006/relationships/sharedStrings" Target="sharedStrings.xml"/><Relationship Id="rId48" Type="http://schemas.openxmlformats.org/officeDocument/2006/relationships/calcChain" Target="calcChain.xml"/><Relationship Id="rId49" Type="http://schemas.microsoft.com/office/2006/relationships/vbaProject" Target="vbaProject.bin"/><Relationship Id="rId20" Type="http://schemas.openxmlformats.org/officeDocument/2006/relationships/worksheet" Target="worksheets/sheet20.xml"/><Relationship Id="rId21" Type="http://schemas.openxmlformats.org/officeDocument/2006/relationships/worksheet" Target="worksheets/sheet21.xml"/><Relationship Id="rId22" Type="http://schemas.openxmlformats.org/officeDocument/2006/relationships/worksheet" Target="worksheets/sheet22.xml"/><Relationship Id="rId23" Type="http://schemas.openxmlformats.org/officeDocument/2006/relationships/worksheet" Target="worksheets/sheet23.xml"/><Relationship Id="rId24" Type="http://schemas.openxmlformats.org/officeDocument/2006/relationships/worksheet" Target="worksheets/sheet24.xml"/><Relationship Id="rId25" Type="http://schemas.openxmlformats.org/officeDocument/2006/relationships/worksheet" Target="worksheets/sheet25.xml"/><Relationship Id="rId26" Type="http://schemas.openxmlformats.org/officeDocument/2006/relationships/worksheet" Target="worksheets/sheet26.xml"/><Relationship Id="rId27" Type="http://schemas.openxmlformats.org/officeDocument/2006/relationships/worksheet" Target="worksheets/sheet27.xml"/><Relationship Id="rId28" Type="http://schemas.openxmlformats.org/officeDocument/2006/relationships/worksheet" Target="worksheets/sheet28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30" Type="http://schemas.openxmlformats.org/officeDocument/2006/relationships/worksheet" Target="worksheets/sheet30.xml"/><Relationship Id="rId31" Type="http://schemas.openxmlformats.org/officeDocument/2006/relationships/worksheet" Target="worksheets/sheet31.xml"/><Relationship Id="rId32" Type="http://schemas.openxmlformats.org/officeDocument/2006/relationships/worksheet" Target="worksheets/sheet32.xml"/><Relationship Id="rId9" Type="http://schemas.openxmlformats.org/officeDocument/2006/relationships/worksheet" Target="worksheets/sheet9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33" Type="http://schemas.openxmlformats.org/officeDocument/2006/relationships/worksheet" Target="worksheets/sheet33.xml"/><Relationship Id="rId34" Type="http://schemas.openxmlformats.org/officeDocument/2006/relationships/worksheet" Target="worksheets/sheet34.xml"/><Relationship Id="rId35" Type="http://schemas.openxmlformats.org/officeDocument/2006/relationships/worksheet" Target="worksheets/sheet35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worksheet" Target="worksheets/sheet18.xml"/><Relationship Id="rId19" Type="http://schemas.openxmlformats.org/officeDocument/2006/relationships/worksheet" Target="worksheets/sheet19.xml"/><Relationship Id="rId37" Type="http://schemas.openxmlformats.org/officeDocument/2006/relationships/worksheet" Target="worksheets/sheet37.xml"/><Relationship Id="rId38" Type="http://schemas.openxmlformats.org/officeDocument/2006/relationships/worksheet" Target="worksheets/sheet38.xml"/><Relationship Id="rId39" Type="http://schemas.openxmlformats.org/officeDocument/2006/relationships/worksheet" Target="worksheets/sheet39.xml"/><Relationship Id="rId40" Type="http://schemas.openxmlformats.org/officeDocument/2006/relationships/worksheet" Target="worksheets/sheet40.xml"/><Relationship Id="rId41" Type="http://schemas.openxmlformats.org/officeDocument/2006/relationships/worksheet" Target="worksheets/sheet41.xml"/><Relationship Id="rId42" Type="http://schemas.openxmlformats.org/officeDocument/2006/relationships/worksheet" Target="worksheets/sheet42.xml"/><Relationship Id="rId43" Type="http://schemas.openxmlformats.org/officeDocument/2006/relationships/worksheet" Target="worksheets/sheet43.xml"/><Relationship Id="rId44" Type="http://schemas.openxmlformats.org/officeDocument/2006/relationships/worksheet" Target="worksheets/sheet44.xml"/><Relationship Id="rId45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C00000"/>
            </a:solidFill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Display!$E$26:$E$35</c:f>
              <c:strCache>
                <c:ptCount val="10"/>
                <c:pt idx="0">
                  <c:v>Troy University Football , CFB</c:v>
                </c:pt>
                <c:pt idx="1">
                  <c:v>Atlanta Hawks , NBA </c:v>
                </c:pt>
                <c:pt idx="2">
                  <c:v>UAB Blazers Basketball , MCB</c:v>
                </c:pt>
                <c:pt idx="3">
                  <c:v>UAB Blazers Football , CFB</c:v>
                </c:pt>
                <c:pt idx="4">
                  <c:v>Auburn University Basketball , MCB</c:v>
                </c:pt>
                <c:pt idx="5">
                  <c:v>Atlanta Falcons , NFL </c:v>
                </c:pt>
                <c:pt idx="6">
                  <c:v>Atlanta Braves , MLB</c:v>
                </c:pt>
                <c:pt idx="7">
                  <c:v>University of Alabama Basketball , MCB</c:v>
                </c:pt>
                <c:pt idx="8">
                  <c:v>Auburn University Football , CFB</c:v>
                </c:pt>
                <c:pt idx="9">
                  <c:v>University of Alabama Football , CFB</c:v>
                </c:pt>
              </c:strCache>
            </c:strRef>
          </c:cat>
          <c:val>
            <c:numRef>
              <c:f>Display!$C$26:$C$35</c:f>
              <c:numCache>
                <c:formatCode>#,##0</c:formatCode>
                <c:ptCount val="10"/>
                <c:pt idx="0">
                  <c:v>111162.0</c:v>
                </c:pt>
                <c:pt idx="1">
                  <c:v>147586.0</c:v>
                </c:pt>
                <c:pt idx="2">
                  <c:v>205747.0</c:v>
                </c:pt>
                <c:pt idx="3">
                  <c:v>221894.0</c:v>
                </c:pt>
                <c:pt idx="4">
                  <c:v>269037.0</c:v>
                </c:pt>
                <c:pt idx="5">
                  <c:v>363388.0</c:v>
                </c:pt>
                <c:pt idx="6">
                  <c:v>376409.0</c:v>
                </c:pt>
                <c:pt idx="7">
                  <c:v>471392.0</c:v>
                </c:pt>
                <c:pt idx="8">
                  <c:v>631784.0</c:v>
                </c:pt>
                <c:pt idx="9">
                  <c:v>945726.0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2106585792"/>
        <c:axId val="-2106582528"/>
      </c:barChart>
      <c:catAx>
        <c:axId val="-210658579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noFill/>
          </a:ln>
        </c:spPr>
        <c:crossAx val="-2106582528"/>
        <c:crosses val="autoZero"/>
        <c:auto val="1"/>
        <c:lblAlgn val="ctr"/>
        <c:lblOffset val="100"/>
        <c:noMultiLvlLbl val="0"/>
      </c:catAx>
      <c:valAx>
        <c:axId val="-2106582528"/>
        <c:scaling>
          <c:orientation val="minMax"/>
          <c:max val="1.0875849E6"/>
          <c:min val="88929.6"/>
        </c:scaling>
        <c:delete val="1"/>
        <c:axPos val="b"/>
        <c:numFmt formatCode="#,##0" sourceLinked="1"/>
        <c:majorTickMark val="out"/>
        <c:minorTickMark val="none"/>
        <c:tickLblPos val="nextTo"/>
        <c:crossAx val="-21065857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04" l="0.700000000000001" r="0.700000000000001" t="0.750000000000004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72217405408593"/>
          <c:y val="0.0454076367389068"/>
          <c:w val="0.669350766279775"/>
          <c:h val="0.909184726522188"/>
        </c:manualLayout>
      </c:layout>
      <c:barChart>
        <c:barDir val="bar"/>
        <c:grouping val="clustered"/>
        <c:varyColors val="0"/>
        <c:ser>
          <c:idx val="1"/>
          <c:order val="0"/>
          <c:tx>
            <c:v>National</c:v>
          </c:tx>
          <c:spPr>
            <a:solidFill>
              <a:schemeClr val="bg1">
                <a:lumMod val="50000"/>
              </a:schemeClr>
            </a:solidFill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numFmt formatCode="0.0%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Display!$B$14:$B$23</c:f>
              <c:strCache>
                <c:ptCount val="10"/>
                <c:pt idx="0">
                  <c:v>NBA </c:v>
                </c:pt>
                <c:pt idx="1">
                  <c:v>College Baseball </c:v>
                </c:pt>
                <c:pt idx="2">
                  <c:v>NASCAR </c:v>
                </c:pt>
                <c:pt idx="3">
                  <c:v>Gymnastics </c:v>
                </c:pt>
                <c:pt idx="4">
                  <c:v>College Basketball </c:v>
                </c:pt>
                <c:pt idx="5">
                  <c:v>High School Sports </c:v>
                </c:pt>
                <c:pt idx="6">
                  <c:v>MLB </c:v>
                </c:pt>
                <c:pt idx="7">
                  <c:v>Olympics </c:v>
                </c:pt>
                <c:pt idx="8">
                  <c:v>NFL </c:v>
                </c:pt>
                <c:pt idx="9">
                  <c:v>College Football </c:v>
                </c:pt>
              </c:strCache>
            </c:strRef>
          </c:cat>
          <c:val>
            <c:numRef>
              <c:f>Display!$C$14:$C$23</c:f>
              <c:numCache>
                <c:formatCode>0.0%</c:formatCode>
                <c:ptCount val="10"/>
                <c:pt idx="0">
                  <c:v>0.348</c:v>
                </c:pt>
                <c:pt idx="1">
                  <c:v>0.193</c:v>
                </c:pt>
                <c:pt idx="2">
                  <c:v>0.26</c:v>
                </c:pt>
                <c:pt idx="3">
                  <c:v>0.33</c:v>
                </c:pt>
                <c:pt idx="4">
                  <c:v>0.329</c:v>
                </c:pt>
                <c:pt idx="5">
                  <c:v>0.283</c:v>
                </c:pt>
                <c:pt idx="6">
                  <c:v>0.486</c:v>
                </c:pt>
                <c:pt idx="7">
                  <c:v>0.557</c:v>
                </c:pt>
                <c:pt idx="8">
                  <c:v>0.611</c:v>
                </c:pt>
                <c:pt idx="9">
                  <c:v>0.435</c:v>
                </c:pt>
              </c:numCache>
            </c:numRef>
          </c:val>
        </c:ser>
        <c:ser>
          <c:idx val="0"/>
          <c:order val="1"/>
          <c:tx>
            <c:strRef>
              <c:f>Display!$D$13</c:f>
              <c:strCache>
                <c:ptCount val="1"/>
                <c:pt idx="0">
                  <c:v>State</c:v>
                </c:pt>
              </c:strCache>
            </c:strRef>
          </c:tx>
          <c:spPr>
            <a:solidFill>
              <a:srgbClr val="C00000"/>
            </a:solidFill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numFmt formatCode="0.0%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Display!$B$14:$B$23</c:f>
              <c:strCache>
                <c:ptCount val="10"/>
                <c:pt idx="0">
                  <c:v>NBA </c:v>
                </c:pt>
                <c:pt idx="1">
                  <c:v>College Baseball </c:v>
                </c:pt>
                <c:pt idx="2">
                  <c:v>NASCAR </c:v>
                </c:pt>
                <c:pt idx="3">
                  <c:v>Gymnastics </c:v>
                </c:pt>
                <c:pt idx="4">
                  <c:v>College Basketball </c:v>
                </c:pt>
                <c:pt idx="5">
                  <c:v>High School Sports </c:v>
                </c:pt>
                <c:pt idx="6">
                  <c:v>MLB </c:v>
                </c:pt>
                <c:pt idx="7">
                  <c:v>Olympics </c:v>
                </c:pt>
                <c:pt idx="8">
                  <c:v>NFL </c:v>
                </c:pt>
                <c:pt idx="9">
                  <c:v>College Football </c:v>
                </c:pt>
              </c:strCache>
            </c:strRef>
          </c:cat>
          <c:val>
            <c:numRef>
              <c:f>Display!$D$14:$D$23</c:f>
              <c:numCache>
                <c:formatCode>0.0%</c:formatCode>
                <c:ptCount val="10"/>
                <c:pt idx="0">
                  <c:v>0.31271932728597</c:v>
                </c:pt>
                <c:pt idx="1">
                  <c:v>0.314633957933302</c:v>
                </c:pt>
                <c:pt idx="2">
                  <c:v>0.325333405063012</c:v>
                </c:pt>
                <c:pt idx="3">
                  <c:v>0.364920600763645</c:v>
                </c:pt>
                <c:pt idx="4">
                  <c:v>0.37357575205809</c:v>
                </c:pt>
                <c:pt idx="5">
                  <c:v>0.401327550817718</c:v>
                </c:pt>
                <c:pt idx="6">
                  <c:v>0.408750193118365</c:v>
                </c:pt>
                <c:pt idx="7">
                  <c:v>0.553096515041162</c:v>
                </c:pt>
                <c:pt idx="8">
                  <c:v>0.568604609459489</c:v>
                </c:pt>
                <c:pt idx="9">
                  <c:v>0.724465613895694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-20"/>
        <c:axId val="-2089449456"/>
        <c:axId val="-2089446576"/>
      </c:barChart>
      <c:catAx>
        <c:axId val="-208944945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noFill/>
          </a:ln>
        </c:spPr>
        <c:crossAx val="-2089446576"/>
        <c:crosses val="autoZero"/>
        <c:auto val="1"/>
        <c:lblAlgn val="ctr"/>
        <c:lblOffset val="100"/>
        <c:noMultiLvlLbl val="0"/>
      </c:catAx>
      <c:valAx>
        <c:axId val="-2089446576"/>
        <c:scaling>
          <c:orientation val="minMax"/>
          <c:max val="0.833135455980048"/>
          <c:min val="0.0"/>
        </c:scaling>
        <c:delete val="1"/>
        <c:axPos val="b"/>
        <c:numFmt formatCode="0.0%" sourceLinked="1"/>
        <c:majorTickMark val="out"/>
        <c:minorTickMark val="none"/>
        <c:tickLblPos val="nextTo"/>
        <c:crossAx val="-2089449456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05" l="0.700000000000001" r="0.700000000000001" t="0.750000000000005" header="0.3" footer="0.3"/>
    <c:pageSetup/>
  </c:printSettings>
</c:chartSpace>
</file>

<file path=xl/ctrlProps/ctrlProp1.xml><?xml version="1.0" encoding="utf-8"?>
<formControlPr xmlns="http://schemas.microsoft.com/office/spreadsheetml/2009/9/main" objectType="Drop" dropLines="10" dropStyle="combo" dx="16" fmlaLink="Control!$B$2" fmlaRange="Validation!$G$1:$G$37" val="0"/>
</file>

<file path=xl/ctrlProps/ctrlProp2.xml><?xml version="1.0" encoding="utf-8"?>
<formControlPr xmlns="http://schemas.microsoft.com/office/spreadsheetml/2009/9/main" objectType="Scroll" dx="16" fmlaLink="Control!$B$7" max="1" min="1" page="10"/>
</file>

<file path=xl/ctrlProps/ctrlProp3.xml><?xml version="1.0" encoding="utf-8"?>
<formControlPr xmlns="http://schemas.microsoft.com/office/spreadsheetml/2009/9/main" objectType="Scroll" dx="16" fmlaLink="Control!$B$13" max="1" min="1" page="10"/>
</file>

<file path=xl/ctrlProps/ctrlProp4.xml><?xml version="1.0" encoding="utf-8"?>
<formControlPr xmlns="http://schemas.microsoft.com/office/spreadsheetml/2009/9/main" objectType="Scroll" dx="16" fmlaLink="Control!$B$10" max="30" min="1" page="10"/>
</file>

<file path=xl/ctrlProps/ctrlProp5.xml><?xml version="1.0" encoding="utf-8"?>
<formControlPr xmlns="http://schemas.microsoft.com/office/spreadsheetml/2009/9/main" objectType="Drop" dropLines="10" dropStyle="combo" dx="16" fmlaLink="Control!$B$15" fmlaRange="Validation!$I$1:$I$2" sel="2" val="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4" Type="http://schemas.openxmlformats.org/officeDocument/2006/relationships/image" Target="../media/image2.jpeg"/><Relationship Id="rId5" Type="http://schemas.openxmlformats.org/officeDocument/2006/relationships/image" Target="../media/image3.png"/><Relationship Id="rId1" Type="http://schemas.openxmlformats.org/officeDocument/2006/relationships/chart" Target="../charts/chart1.xml"/><Relationship Id="rId2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558800</xdr:colOff>
      <xdr:row>19</xdr:row>
      <xdr:rowOff>88900</xdr:rowOff>
    </xdr:from>
    <xdr:to>
      <xdr:col>13</xdr:col>
      <xdr:colOff>114300</xdr:colOff>
      <xdr:row>41</xdr:row>
      <xdr:rowOff>63500</xdr:rowOff>
    </xdr:to>
    <xdr:graphicFrame macro="">
      <xdr:nvGraphicFramePr>
        <xdr:cNvPr id="43021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371475</xdr:colOff>
      <xdr:row>3</xdr:row>
      <xdr:rowOff>38100</xdr:rowOff>
    </xdr:from>
    <xdr:to>
      <xdr:col>6</xdr:col>
      <xdr:colOff>114299</xdr:colOff>
      <xdr:row>5</xdr:row>
      <xdr:rowOff>0</xdr:rowOff>
    </xdr:to>
    <xdr:sp macro="" textlink="">
      <xdr:nvSpPr>
        <xdr:cNvPr id="3" name="TextBox 2"/>
        <xdr:cNvSpPr txBox="1"/>
      </xdr:nvSpPr>
      <xdr:spPr>
        <a:xfrm>
          <a:off x="3114675" y="647700"/>
          <a:ext cx="1247774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pPr algn="l"/>
          <a:r>
            <a:rPr lang="en-US" sz="900" b="0" i="1"/>
            <a:t>Select</a:t>
          </a:r>
          <a:r>
            <a:rPr lang="en-US" sz="900" b="0" i="1" baseline="0"/>
            <a:t> State</a:t>
          </a:r>
          <a:endParaRPr lang="en-US" sz="900" b="0" i="1"/>
        </a:p>
      </xdr:txBody>
    </xdr:sp>
    <xdr:clientData/>
  </xdr:twoCellAnchor>
  <xdr:twoCellAnchor>
    <xdr:from>
      <xdr:col>1</xdr:col>
      <xdr:colOff>23127</xdr:colOff>
      <xdr:row>16</xdr:row>
      <xdr:rowOff>147641</xdr:rowOff>
    </xdr:from>
    <xdr:to>
      <xdr:col>5</xdr:col>
      <xdr:colOff>569455</xdr:colOff>
      <xdr:row>18</xdr:row>
      <xdr:rowOff>147641</xdr:rowOff>
    </xdr:to>
    <xdr:sp macro="" textlink="">
      <xdr:nvSpPr>
        <xdr:cNvPr id="4" name="TextBox 3"/>
        <xdr:cNvSpPr txBox="1"/>
      </xdr:nvSpPr>
      <xdr:spPr>
        <a:xfrm>
          <a:off x="1432827" y="2976566"/>
          <a:ext cx="2708503" cy="3238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pPr algn="l"/>
          <a:r>
            <a:rPr lang="en-US" sz="1200" b="1"/>
            <a:t>League Interest</a:t>
          </a:r>
        </a:p>
      </xdr:txBody>
    </xdr:sp>
    <xdr:clientData/>
  </xdr:twoCellAnchor>
  <xdr:twoCellAnchor>
    <xdr:from>
      <xdr:col>10</xdr:col>
      <xdr:colOff>0</xdr:colOff>
      <xdr:row>16</xdr:row>
      <xdr:rowOff>140494</xdr:rowOff>
    </xdr:from>
    <xdr:to>
      <xdr:col>13</xdr:col>
      <xdr:colOff>503465</xdr:colOff>
      <xdr:row>18</xdr:row>
      <xdr:rowOff>140494</xdr:rowOff>
    </xdr:to>
    <xdr:sp macro="" textlink="">
      <xdr:nvSpPr>
        <xdr:cNvPr id="5" name="TextBox 4"/>
        <xdr:cNvSpPr txBox="1"/>
      </xdr:nvSpPr>
      <xdr:spPr>
        <a:xfrm>
          <a:off x="6610350" y="2969419"/>
          <a:ext cx="2227490" cy="3238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pPr algn="l"/>
          <a:r>
            <a:rPr lang="en-US" sz="1200" b="1"/>
            <a:t>Total Fans</a:t>
          </a:r>
        </a:p>
      </xdr:txBody>
    </xdr:sp>
    <xdr:clientData/>
  </xdr:twoCellAnchor>
  <xdr:twoCellAnchor editAs="oneCell">
    <xdr:from>
      <xdr:col>3</xdr:col>
      <xdr:colOff>12700</xdr:colOff>
      <xdr:row>17</xdr:row>
      <xdr:rowOff>139700</xdr:rowOff>
    </xdr:from>
    <xdr:to>
      <xdr:col>5</xdr:col>
      <xdr:colOff>292100</xdr:colOff>
      <xdr:row>20</xdr:row>
      <xdr:rowOff>63500</xdr:rowOff>
    </xdr:to>
    <xdr:grpSp>
      <xdr:nvGrpSpPr>
        <xdr:cNvPr id="43025" name="Group 5"/>
        <xdr:cNvGrpSpPr>
          <a:grpSpLocks/>
        </xdr:cNvGrpSpPr>
      </xdr:nvGrpSpPr>
      <xdr:grpSpPr bwMode="auto">
        <a:xfrm>
          <a:off x="3873500" y="3048000"/>
          <a:ext cx="1231900" cy="419100"/>
          <a:chOff x="3305175" y="3009900"/>
          <a:chExt cx="1219200" cy="409575"/>
        </a:xfrm>
      </xdr:grpSpPr>
      <xdr:sp macro="" textlink="">
        <xdr:nvSpPr>
          <xdr:cNvPr id="7" name="TextBox 6"/>
          <xdr:cNvSpPr txBox="1"/>
        </xdr:nvSpPr>
        <xdr:spPr>
          <a:xfrm>
            <a:off x="3556556" y="3171248"/>
            <a:ext cx="967819" cy="248227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en-US" sz="1100"/>
              <a:t>National </a:t>
            </a:r>
          </a:p>
        </xdr:txBody>
      </xdr:sp>
      <xdr:sp macro="" textlink="">
        <xdr:nvSpPr>
          <xdr:cNvPr id="8" name="TextBox 7"/>
          <xdr:cNvSpPr txBox="1"/>
        </xdr:nvSpPr>
        <xdr:spPr>
          <a:xfrm>
            <a:off x="3556556" y="3009900"/>
            <a:ext cx="967819" cy="248227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en-US" sz="1100"/>
              <a:t>State</a:t>
            </a:r>
          </a:p>
        </xdr:txBody>
      </xdr:sp>
      <xdr:sp macro="" textlink="">
        <xdr:nvSpPr>
          <xdr:cNvPr id="9" name="Rectangle 8"/>
          <xdr:cNvSpPr/>
        </xdr:nvSpPr>
        <xdr:spPr>
          <a:xfrm>
            <a:off x="3305175" y="3109191"/>
            <a:ext cx="276520" cy="86880"/>
          </a:xfrm>
          <a:prstGeom prst="rect">
            <a:avLst/>
          </a:prstGeom>
          <a:solidFill>
            <a:srgbClr val="C00000"/>
          </a:solidFill>
          <a:ln>
            <a:noFill/>
          </a:ln>
          <a:effectLst>
            <a:outerShdw blurRad="88900" dist="762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10" name="Rectangle 9"/>
          <xdr:cNvSpPr/>
        </xdr:nvSpPr>
        <xdr:spPr>
          <a:xfrm>
            <a:off x="3305175" y="3258127"/>
            <a:ext cx="276520" cy="74468"/>
          </a:xfrm>
          <a:prstGeom prst="rect">
            <a:avLst/>
          </a:prstGeom>
          <a:solidFill>
            <a:schemeClr val="bg1">
              <a:lumMod val="50000"/>
            </a:schemeClr>
          </a:solidFill>
          <a:ln>
            <a:noFill/>
          </a:ln>
          <a:effectLst>
            <a:outerShdw blurRad="88900" dist="762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</xdr:grpSp>
    <xdr:clientData/>
  </xdr:twoCellAnchor>
  <xdr:twoCellAnchor editAs="oneCell">
    <xdr:from>
      <xdr:col>0</xdr:col>
      <xdr:colOff>1397000</xdr:colOff>
      <xdr:row>19</xdr:row>
      <xdr:rowOff>88900</xdr:rowOff>
    </xdr:from>
    <xdr:to>
      <xdr:col>6</xdr:col>
      <xdr:colOff>279400</xdr:colOff>
      <xdr:row>41</xdr:row>
      <xdr:rowOff>50800</xdr:rowOff>
    </xdr:to>
    <xdr:graphicFrame macro="">
      <xdr:nvGraphicFramePr>
        <xdr:cNvPr id="43026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15</xdr:col>
      <xdr:colOff>215900</xdr:colOff>
      <xdr:row>28</xdr:row>
      <xdr:rowOff>139700</xdr:rowOff>
    </xdr:from>
    <xdr:to>
      <xdr:col>19</xdr:col>
      <xdr:colOff>584200</xdr:colOff>
      <xdr:row>34</xdr:row>
      <xdr:rowOff>38100</xdr:rowOff>
    </xdr:to>
    <xdr:pic>
      <xdr:nvPicPr>
        <xdr:cNvPr id="43027" name="Picture 11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853" r="30556" b="1775"/>
        <a:stretch>
          <a:fillRect/>
        </a:stretch>
      </xdr:blipFill>
      <xdr:spPr bwMode="auto">
        <a:xfrm>
          <a:off x="11493500" y="4953000"/>
          <a:ext cx="2413000" cy="889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15</xdr:col>
      <xdr:colOff>215900</xdr:colOff>
      <xdr:row>2</xdr:row>
      <xdr:rowOff>12700</xdr:rowOff>
    </xdr:from>
    <xdr:to>
      <xdr:col>19</xdr:col>
      <xdr:colOff>584200</xdr:colOff>
      <xdr:row>30</xdr:row>
      <xdr:rowOff>152400</xdr:rowOff>
    </xdr:to>
    <xdr:pic>
      <xdr:nvPicPr>
        <xdr:cNvPr id="43028" name="Picture 12" descr="RED TITLE 7.jpg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130" t="27779" r="76666" b="27779"/>
        <a:stretch>
          <a:fillRect/>
        </a:stretch>
      </xdr:blipFill>
      <xdr:spPr bwMode="auto">
        <a:xfrm>
          <a:off x="11493500" y="304800"/>
          <a:ext cx="2413000" cy="4991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16</xdr:col>
      <xdr:colOff>177800</xdr:colOff>
      <xdr:row>34</xdr:row>
      <xdr:rowOff>76200</xdr:rowOff>
    </xdr:from>
    <xdr:to>
      <xdr:col>19</xdr:col>
      <xdr:colOff>330200</xdr:colOff>
      <xdr:row>36</xdr:row>
      <xdr:rowOff>152400</xdr:rowOff>
    </xdr:to>
    <xdr:pic>
      <xdr:nvPicPr>
        <xdr:cNvPr id="43029" name="Picture 13" descr="octagon.gif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36400" y="5880100"/>
          <a:ext cx="1816100" cy="406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15</xdr:col>
      <xdr:colOff>215900</xdr:colOff>
      <xdr:row>37</xdr:row>
      <xdr:rowOff>38100</xdr:rowOff>
    </xdr:from>
    <xdr:to>
      <xdr:col>19</xdr:col>
      <xdr:colOff>584200</xdr:colOff>
      <xdr:row>40</xdr:row>
      <xdr:rowOff>139700</xdr:rowOff>
    </xdr:to>
    <xdr:pic>
      <xdr:nvPicPr>
        <xdr:cNvPr id="43030" name="Picture 14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853" r="30556" b="1775"/>
        <a:stretch>
          <a:fillRect/>
        </a:stretch>
      </xdr:blipFill>
      <xdr:spPr bwMode="auto">
        <a:xfrm>
          <a:off x="11493500" y="6337300"/>
          <a:ext cx="2413000" cy="596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15</xdr:col>
      <xdr:colOff>180975</xdr:colOff>
      <xdr:row>37</xdr:row>
      <xdr:rowOff>66675</xdr:rowOff>
    </xdr:from>
    <xdr:to>
      <xdr:col>19</xdr:col>
      <xdr:colOff>592211</xdr:colOff>
      <xdr:row>40</xdr:row>
      <xdr:rowOff>109076</xdr:rowOff>
    </xdr:to>
    <xdr:sp macro="" textlink="">
      <xdr:nvSpPr>
        <xdr:cNvPr id="16" name="TextBox 15"/>
        <xdr:cNvSpPr txBox="1"/>
      </xdr:nvSpPr>
      <xdr:spPr>
        <a:xfrm>
          <a:off x="10315575" y="6391275"/>
          <a:ext cx="2220986" cy="5281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pPr algn="ctr"/>
          <a:r>
            <a:rPr lang="en-US" sz="900" b="0" i="1">
              <a:solidFill>
                <a:schemeClr val="bg1"/>
              </a:solidFill>
            </a:rPr>
            <a:t>Sources:</a:t>
          </a:r>
        </a:p>
        <a:p>
          <a:pPr algn="ctr"/>
          <a:r>
            <a:rPr lang="en-US" sz="900" b="0" i="1" baseline="0">
              <a:solidFill>
                <a:schemeClr val="bg1"/>
              </a:solidFill>
            </a:rPr>
            <a:t>Scarborough Local Market, 2013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</xdr:row>
          <xdr:rowOff>50800</xdr:rowOff>
        </xdr:from>
        <xdr:to>
          <xdr:col>2</xdr:col>
          <xdr:colOff>1663700</xdr:colOff>
          <xdr:row>5</xdr:row>
          <xdr:rowOff>0</xdr:rowOff>
        </xdr:to>
        <xdr:sp macro="" textlink="">
          <xdr:nvSpPr>
            <xdr:cNvPr id="43009" name="Drop Down 1" hidden="1">
              <a:extLst>
                <a:ext uri="{63B3BB69-23CF-44E3-9099-C40C66FF867C}">
                  <a14:compatExt spid="_x0000_s43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12700</xdr:colOff>
          <xdr:row>6</xdr:row>
          <xdr:rowOff>12700</xdr:rowOff>
        </xdr:from>
        <xdr:to>
          <xdr:col>13</xdr:col>
          <xdr:colOff>177800</xdr:colOff>
          <xdr:row>16</xdr:row>
          <xdr:rowOff>12700</xdr:rowOff>
        </xdr:to>
        <xdr:sp macro="" textlink="">
          <xdr:nvSpPr>
            <xdr:cNvPr id="43010" name="Scroll Bar 2" hidden="1">
              <a:extLst>
                <a:ext uri="{63B3BB69-23CF-44E3-9099-C40C66FF867C}">
                  <a14:compatExt spid="_x0000_s430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317500</xdr:colOff>
          <xdr:row>20</xdr:row>
          <xdr:rowOff>38100</xdr:rowOff>
        </xdr:from>
        <xdr:to>
          <xdr:col>13</xdr:col>
          <xdr:colOff>482600</xdr:colOff>
          <xdr:row>40</xdr:row>
          <xdr:rowOff>38100</xdr:rowOff>
        </xdr:to>
        <xdr:sp macro="" textlink="">
          <xdr:nvSpPr>
            <xdr:cNvPr id="43011" name="Scroll Bar 3" hidden="1">
              <a:extLst>
                <a:ext uri="{63B3BB69-23CF-44E3-9099-C40C66FF867C}">
                  <a14:compatExt spid="_x0000_s430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19</xdr:row>
          <xdr:rowOff>152400</xdr:rowOff>
        </xdr:from>
        <xdr:to>
          <xdr:col>6</xdr:col>
          <xdr:colOff>203200</xdr:colOff>
          <xdr:row>39</xdr:row>
          <xdr:rowOff>152400</xdr:rowOff>
        </xdr:to>
        <xdr:sp macro="" textlink="">
          <xdr:nvSpPr>
            <xdr:cNvPr id="43012" name="Scroll Bar 4" hidden="1">
              <a:extLst>
                <a:ext uri="{63B3BB69-23CF-44E3-9099-C40C66FF867C}">
                  <a14:compatExt spid="_x0000_s430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63500</xdr:colOff>
          <xdr:row>18</xdr:row>
          <xdr:rowOff>63500</xdr:rowOff>
        </xdr:from>
        <xdr:to>
          <xdr:col>2</xdr:col>
          <xdr:colOff>990600</xdr:colOff>
          <xdr:row>19</xdr:row>
          <xdr:rowOff>101600</xdr:rowOff>
        </xdr:to>
        <xdr:sp macro="" textlink="">
          <xdr:nvSpPr>
            <xdr:cNvPr id="43013" name="Drop Down 5" hidden="1">
              <a:extLst>
                <a:ext uri="{63B3BB69-23CF-44E3-9099-C40C66FF867C}">
                  <a14:compatExt spid="_x0000_s430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le1" displayName="Table1" ref="A1:E8489" totalsRowShown="0">
  <autoFilter ref="A1:E8489">
    <filterColumn colId="4">
      <filters>
        <filter val="VA"/>
      </filters>
    </filterColumn>
  </autoFilter>
  <tableColumns count="5">
    <tableColumn id="1" name="Metric" dataDxfId="4"/>
    <tableColumn id="2" name="Pop" dataDxfId="3"/>
    <tableColumn id="3" name="Percent" dataDxfId="2"/>
    <tableColumn id="4" name="City" dataDxfId="1"/>
    <tableColumn id="5" name="Stat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4" Type="http://schemas.openxmlformats.org/officeDocument/2006/relationships/ctrlProp" Target="../ctrlProps/ctrlProp2.xml"/><Relationship Id="rId5" Type="http://schemas.openxmlformats.org/officeDocument/2006/relationships/ctrlProp" Target="../ctrlProps/ctrlProp3.xml"/><Relationship Id="rId6" Type="http://schemas.openxmlformats.org/officeDocument/2006/relationships/ctrlProp" Target="../ctrlProps/ctrlProp4.xml"/><Relationship Id="rId7" Type="http://schemas.openxmlformats.org/officeDocument/2006/relationships/ctrlProp" Target="../ctrlProps/ctrlProp5.xml"/><Relationship Id="rId8" Type="http://schemas.openxmlformats.org/officeDocument/2006/relationships/comments" Target="../comments1.xml"/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2" enableFormatConditionsCalculation="0"/>
  <dimension ref="A1:V45"/>
  <sheetViews>
    <sheetView showGridLines="0" showRowColHeaders="0" zoomScale="117" zoomScaleNormal="85" zoomScalePageLayoutView="85" workbookViewId="0">
      <selection activeCell="Q10" sqref="Q10"/>
    </sheetView>
  </sheetViews>
  <sheetFormatPr baseColWidth="10" defaultColWidth="8.83203125" defaultRowHeight="13" x14ac:dyDescent="0.15"/>
  <cols>
    <col min="1" max="1" width="8.5" customWidth="1"/>
    <col min="2" max="2" width="0.5" customWidth="1"/>
    <col min="3" max="3" width="41.6640625" customWidth="1"/>
    <col min="4" max="4" width="6" bestFit="1" customWidth="1"/>
    <col min="5" max="5" width="6.5" bestFit="1" customWidth="1"/>
    <col min="6" max="7" width="10.1640625" customWidth="1"/>
    <col min="8" max="8" width="5" bestFit="1" customWidth="1"/>
    <col min="9" max="10" width="10.1640625" customWidth="1"/>
    <col min="11" max="11" width="5.5" bestFit="1" customWidth="1"/>
    <col min="12" max="14" width="10.1640625" customWidth="1"/>
    <col min="15" max="15" width="3.1640625" customWidth="1"/>
    <col min="16" max="16" width="5" bestFit="1" customWidth="1"/>
    <col min="17" max="17" width="8" customWidth="1"/>
    <col min="18" max="18" width="5" bestFit="1" customWidth="1"/>
    <col min="24" max="24" width="9.1640625" customWidth="1"/>
  </cols>
  <sheetData>
    <row r="1" spans="2:22" ht="20.25" customHeight="1" thickBot="1" x14ac:dyDescent="0.2">
      <c r="C1" s="21"/>
      <c r="D1" s="21"/>
      <c r="E1" s="21"/>
      <c r="F1" s="21"/>
      <c r="G1" s="21"/>
      <c r="H1" s="21"/>
      <c r="I1" s="21"/>
      <c r="J1" s="21"/>
      <c r="K1" s="21"/>
      <c r="L1" s="21"/>
      <c r="M1" s="21"/>
      <c r="N1" s="21"/>
      <c r="O1" s="21"/>
      <c r="P1" s="21"/>
      <c r="Q1" s="21"/>
      <c r="R1" s="21"/>
      <c r="S1" s="21"/>
      <c r="T1" s="21"/>
      <c r="U1" s="21"/>
      <c r="V1" s="21"/>
    </row>
    <row r="2" spans="2:22" ht="3" customHeight="1" x14ac:dyDescent="0.15">
      <c r="B2" s="22"/>
      <c r="C2" s="23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4"/>
      <c r="U2" s="21"/>
      <c r="V2" s="21"/>
    </row>
    <row r="3" spans="2:22" ht="24.75" customHeight="1" x14ac:dyDescent="0.25">
      <c r="B3" s="25"/>
      <c r="C3" s="71" t="str">
        <f>Control!B4</f>
        <v>Alabama</v>
      </c>
      <c r="D3" s="71"/>
      <c r="E3" s="71"/>
      <c r="F3" s="71"/>
      <c r="G3" s="71"/>
      <c r="H3" s="71"/>
      <c r="I3" s="71"/>
      <c r="J3" s="71"/>
      <c r="K3" s="71"/>
      <c r="L3" s="26" t="s">
        <v>1324</v>
      </c>
      <c r="M3" s="75">
        <f>'Data Tab'!AB2</f>
        <v>1449888</v>
      </c>
      <c r="N3" s="75"/>
      <c r="O3" s="21"/>
      <c r="P3" s="21"/>
      <c r="Q3" s="21"/>
      <c r="R3" s="21"/>
      <c r="S3" s="21"/>
      <c r="T3" s="27"/>
      <c r="U3" s="21"/>
      <c r="V3" s="21"/>
    </row>
    <row r="4" spans="2:22" x14ac:dyDescent="0.15">
      <c r="B4" s="25"/>
      <c r="C4" s="21"/>
      <c r="D4" s="21"/>
      <c r="E4" s="21"/>
      <c r="F4" s="21"/>
      <c r="G4" s="21"/>
      <c r="H4" s="21"/>
      <c r="I4" s="21"/>
      <c r="J4" s="21"/>
      <c r="K4" s="21"/>
      <c r="L4" s="21"/>
      <c r="M4" s="21"/>
      <c r="N4" s="21"/>
      <c r="O4" s="21"/>
      <c r="P4" s="21"/>
      <c r="Q4" s="21"/>
      <c r="R4" s="21"/>
      <c r="S4" s="21"/>
      <c r="T4" s="27"/>
      <c r="U4" s="21"/>
      <c r="V4" s="21"/>
    </row>
    <row r="5" spans="2:22" ht="6.75" customHeight="1" x14ac:dyDescent="0.15">
      <c r="B5" s="25"/>
      <c r="C5" s="21"/>
      <c r="D5" s="21"/>
      <c r="E5" s="21"/>
      <c r="F5" s="21"/>
      <c r="G5" s="21"/>
      <c r="H5" s="21"/>
      <c r="I5" s="21"/>
      <c r="J5" s="21"/>
      <c r="K5" s="21"/>
      <c r="L5" s="21"/>
      <c r="M5" s="21"/>
      <c r="N5" s="21"/>
      <c r="O5" s="21"/>
      <c r="P5" s="21"/>
      <c r="Q5" s="21"/>
      <c r="R5" s="21"/>
      <c r="S5" s="21"/>
      <c r="T5" s="27"/>
      <c r="U5" s="21"/>
      <c r="V5" s="21"/>
    </row>
    <row r="6" spans="2:22" ht="20" x14ac:dyDescent="0.15">
      <c r="B6" s="25"/>
      <c r="C6" s="28" t="s">
        <v>1311</v>
      </c>
      <c r="D6" s="28" t="s">
        <v>1325</v>
      </c>
      <c r="E6" s="28" t="s">
        <v>860</v>
      </c>
      <c r="F6" s="29" t="s">
        <v>1326</v>
      </c>
      <c r="G6" s="29" t="s">
        <v>1327</v>
      </c>
      <c r="H6" s="28" t="s">
        <v>1320</v>
      </c>
      <c r="I6" s="29" t="s">
        <v>1328</v>
      </c>
      <c r="J6" s="29" t="s">
        <v>1329</v>
      </c>
      <c r="K6" s="28" t="s">
        <v>1320</v>
      </c>
      <c r="L6" s="29" t="s">
        <v>1330</v>
      </c>
      <c r="M6" s="28" t="s">
        <v>1331</v>
      </c>
      <c r="N6" s="30"/>
      <c r="O6" s="30"/>
      <c r="P6" s="30"/>
      <c r="Q6" s="21"/>
      <c r="R6" s="21"/>
      <c r="S6" s="21"/>
      <c r="T6" s="27"/>
      <c r="U6" s="21"/>
      <c r="V6" s="21"/>
    </row>
    <row r="7" spans="2:22" x14ac:dyDescent="0.15">
      <c r="B7" s="25"/>
      <c r="C7" s="31" t="str">
        <f>Display!B2</f>
        <v xml:space="preserve">University of Alabama Football </v>
      </c>
      <c r="D7" s="32" t="str">
        <f>Display!G2</f>
        <v>KO</v>
      </c>
      <c r="E7" s="32" t="str">
        <f>Display!F2</f>
        <v>CFB</v>
      </c>
      <c r="F7" s="33">
        <f>Display!H2</f>
        <v>0.435</v>
      </c>
      <c r="G7" s="33">
        <f>Display!I2</f>
        <v>0.72446561389569397</v>
      </c>
      <c r="H7" s="34">
        <f>Display!J2</f>
        <v>166.54381928636644</v>
      </c>
      <c r="I7" s="33">
        <f>Display!L2</f>
        <v>0.18600000000000003</v>
      </c>
      <c r="J7" s="33">
        <f>Display!M2</f>
        <v>0.52005948045642147</v>
      </c>
      <c r="K7" s="34">
        <f>Display!N2</f>
        <v>279.60187121312981</v>
      </c>
      <c r="L7" s="33">
        <f>Display!D2</f>
        <v>0.65227521022313451</v>
      </c>
      <c r="M7" s="35">
        <f>Display!C2</f>
        <v>945726</v>
      </c>
      <c r="N7" s="36"/>
      <c r="O7" s="37"/>
      <c r="P7" s="36"/>
      <c r="Q7" s="21"/>
      <c r="R7" s="21"/>
      <c r="S7" s="21"/>
      <c r="T7" s="27"/>
      <c r="U7" s="21"/>
      <c r="V7" s="21"/>
    </row>
    <row r="8" spans="2:22" x14ac:dyDescent="0.15">
      <c r="B8" s="25"/>
      <c r="C8" s="38" t="str">
        <f>Display!B3</f>
        <v xml:space="preserve">Auburn University Football </v>
      </c>
      <c r="D8" s="39" t="str">
        <f>Display!G3</f>
        <v>KO</v>
      </c>
      <c r="E8" s="40" t="str">
        <f>Display!F3</f>
        <v>CFB</v>
      </c>
      <c r="F8" s="41">
        <f>Display!H3</f>
        <v>0.435</v>
      </c>
      <c r="G8" s="41">
        <f>Display!I3</f>
        <v>0.72446561389569397</v>
      </c>
      <c r="H8" s="42">
        <f>Display!J3</f>
        <v>166.54381928636644</v>
      </c>
      <c r="I8" s="41">
        <f>Display!L3</f>
        <v>0.18600000000000003</v>
      </c>
      <c r="J8" s="41">
        <f>Display!M3</f>
        <v>0.52005948045642147</v>
      </c>
      <c r="K8" s="42">
        <f>Display!N3</f>
        <v>279.60187121312981</v>
      </c>
      <c r="L8" s="41">
        <f>Display!D3</f>
        <v>0.43574676112913552</v>
      </c>
      <c r="M8" s="43">
        <f>Display!C3</f>
        <v>631784</v>
      </c>
      <c r="N8" s="36"/>
      <c r="O8" s="37"/>
      <c r="P8" s="36"/>
      <c r="Q8" s="21"/>
      <c r="R8" s="21"/>
      <c r="S8" s="21"/>
      <c r="T8" s="27"/>
      <c r="U8" s="21"/>
      <c r="V8" s="21"/>
    </row>
    <row r="9" spans="2:22" x14ac:dyDescent="0.15">
      <c r="B9" s="25"/>
      <c r="C9" s="44" t="str">
        <f>Display!B4</f>
        <v xml:space="preserve">University of Alabama Basketball </v>
      </c>
      <c r="D9" s="45" t="str">
        <f>Display!G4</f>
        <v>KO</v>
      </c>
      <c r="E9" s="46" t="str">
        <f>Display!F4</f>
        <v>MCB</v>
      </c>
      <c r="F9" s="47">
        <f>Display!H4</f>
        <v>0.32899999999999996</v>
      </c>
      <c r="G9" s="47">
        <f>Display!I4</f>
        <v>0.37357575205809002</v>
      </c>
      <c r="H9" s="48">
        <f>Display!J4</f>
        <v>113.54886080793011</v>
      </c>
      <c r="I9" s="47">
        <f>Display!L4</f>
        <v>0.10800000000000001</v>
      </c>
      <c r="J9" s="47">
        <f>Display!M4</f>
        <v>0.13715955991083451</v>
      </c>
      <c r="K9" s="48">
        <f>Display!N4</f>
        <v>126.99959251003195</v>
      </c>
      <c r="L9" s="47">
        <f>Display!D4</f>
        <v>0.32512304398684588</v>
      </c>
      <c r="M9" s="49">
        <f>Display!C4</f>
        <v>471392</v>
      </c>
      <c r="N9" s="36"/>
      <c r="O9" s="37"/>
      <c r="P9" s="36"/>
      <c r="Q9" s="21"/>
      <c r="R9" s="21"/>
      <c r="S9" s="21"/>
      <c r="T9" s="27"/>
      <c r="U9" s="21"/>
      <c r="V9" s="21"/>
    </row>
    <row r="10" spans="2:22" x14ac:dyDescent="0.15">
      <c r="B10" s="25"/>
      <c r="C10" s="38" t="str">
        <f>Display!B5</f>
        <v xml:space="preserve">Atlanta Braves </v>
      </c>
      <c r="D10" s="39" t="str">
        <f>Display!G5</f>
        <v>KO</v>
      </c>
      <c r="E10" s="40" t="str">
        <f>Display!F5</f>
        <v>MLB</v>
      </c>
      <c r="F10" s="41">
        <f>Display!H5</f>
        <v>0.48599999999999999</v>
      </c>
      <c r="G10" s="41">
        <f>Display!I5</f>
        <v>0.40875019311836502</v>
      </c>
      <c r="H10" s="42">
        <f>Display!J5</f>
        <v>84.104978007894033</v>
      </c>
      <c r="I10" s="41">
        <f>Display!L5</f>
        <v>0.152</v>
      </c>
      <c r="J10" s="41">
        <f>Display!M5</f>
        <v>9.2437484826414174E-2</v>
      </c>
      <c r="K10" s="42">
        <f>Display!N5</f>
        <v>60.81413475421985</v>
      </c>
      <c r="L10" s="41">
        <f>Display!D5</f>
        <v>0.25961246661811122</v>
      </c>
      <c r="M10" s="43">
        <f>Display!C5</f>
        <v>376409</v>
      </c>
      <c r="N10" s="36"/>
      <c r="O10" s="37"/>
      <c r="P10" s="36"/>
      <c r="Q10" s="21"/>
      <c r="R10" s="21"/>
      <c r="S10" s="21"/>
      <c r="T10" s="27"/>
      <c r="U10" s="21"/>
      <c r="V10" s="21"/>
    </row>
    <row r="11" spans="2:22" x14ac:dyDescent="0.15">
      <c r="B11" s="25"/>
      <c r="C11" s="44" t="str">
        <f>Display!B6</f>
        <v xml:space="preserve">Atlanta Falcons </v>
      </c>
      <c r="D11" s="45" t="str">
        <f>Display!G6</f>
        <v>KO</v>
      </c>
      <c r="E11" s="46" t="str">
        <f>Display!F6</f>
        <v xml:space="preserve">NFL </v>
      </c>
      <c r="F11" s="47">
        <f>Display!H6</f>
        <v>0.61099999999999999</v>
      </c>
      <c r="G11" s="47">
        <f>Display!I6</f>
        <v>0.56860460945948932</v>
      </c>
      <c r="H11" s="48">
        <f>Display!J6</f>
        <v>93.061310877166818</v>
      </c>
      <c r="I11" s="47">
        <f>Display!L6</f>
        <v>0.28499999999999998</v>
      </c>
      <c r="J11" s="47">
        <f>Display!M6</f>
        <v>0.18639370765190139</v>
      </c>
      <c r="K11" s="48">
        <f>Display!N6</f>
        <v>65.401300930491729</v>
      </c>
      <c r="L11" s="47">
        <f>Display!D6</f>
        <v>0.25063177293694411</v>
      </c>
      <c r="M11" s="49">
        <f>Display!C6</f>
        <v>363388</v>
      </c>
      <c r="N11" s="36"/>
      <c r="O11" s="37"/>
      <c r="P11" s="36"/>
      <c r="Q11" s="21"/>
      <c r="R11" s="21"/>
      <c r="S11" s="21"/>
      <c r="T11" s="27"/>
      <c r="U11" s="21"/>
      <c r="V11" s="21"/>
    </row>
    <row r="12" spans="2:22" x14ac:dyDescent="0.15">
      <c r="B12" s="25"/>
      <c r="C12" s="38" t="str">
        <f>Display!B7</f>
        <v xml:space="preserve">Auburn University Basketball </v>
      </c>
      <c r="D12" s="39" t="str">
        <f>Display!G7</f>
        <v>KO</v>
      </c>
      <c r="E12" s="40" t="str">
        <f>Display!F7</f>
        <v>MCB</v>
      </c>
      <c r="F12" s="41">
        <f>Display!H7</f>
        <v>0.32899999999999996</v>
      </c>
      <c r="G12" s="41">
        <f>Display!I7</f>
        <v>0.37357575205809002</v>
      </c>
      <c r="H12" s="42">
        <f>Display!J7</f>
        <v>113.54886080793011</v>
      </c>
      <c r="I12" s="41">
        <f>Display!L7</f>
        <v>0.10800000000000001</v>
      </c>
      <c r="J12" s="41">
        <f>Display!M7</f>
        <v>0.13715955991083451</v>
      </c>
      <c r="K12" s="42">
        <f>Display!N7</f>
        <v>126.99959251003195</v>
      </c>
      <c r="L12" s="41">
        <f>Display!D7</f>
        <v>0.18555709130636297</v>
      </c>
      <c r="M12" s="43">
        <f>Display!C7</f>
        <v>269037</v>
      </c>
      <c r="N12" s="36"/>
      <c r="O12" s="37"/>
      <c r="P12" s="36"/>
      <c r="Q12" s="21"/>
      <c r="R12" s="21"/>
      <c r="S12" s="21"/>
      <c r="T12" s="27"/>
      <c r="U12" s="21"/>
      <c r="V12" s="21"/>
    </row>
    <row r="13" spans="2:22" x14ac:dyDescent="0.15">
      <c r="B13" s="25"/>
      <c r="C13" s="44" t="str">
        <f>Display!B8</f>
        <v xml:space="preserve">UAB Blazers Football </v>
      </c>
      <c r="D13" s="45">
        <f>Display!G8</f>
        <v>0</v>
      </c>
      <c r="E13" s="46" t="str">
        <f>Display!F8</f>
        <v>CFB</v>
      </c>
      <c r="F13" s="47">
        <f>Display!H8</f>
        <v>0.435</v>
      </c>
      <c r="G13" s="47">
        <f>Display!I8</f>
        <v>0.72446561389569397</v>
      </c>
      <c r="H13" s="48">
        <f>Display!J8</f>
        <v>166.54381928636644</v>
      </c>
      <c r="I13" s="47">
        <f>Display!L8</f>
        <v>0.18600000000000003</v>
      </c>
      <c r="J13" s="47">
        <f>Display!M8</f>
        <v>0.52005948045642147</v>
      </c>
      <c r="K13" s="48">
        <f>Display!N8</f>
        <v>279.60187121312981</v>
      </c>
      <c r="L13" s="47">
        <f>Display!D8</f>
        <v>0.1530421660155819</v>
      </c>
      <c r="M13" s="49">
        <f>Display!C8</f>
        <v>221894</v>
      </c>
      <c r="N13" s="36"/>
      <c r="O13" s="37"/>
      <c r="P13" s="36"/>
      <c r="Q13" s="21"/>
      <c r="R13" s="21"/>
      <c r="S13" s="21"/>
      <c r="T13" s="27"/>
      <c r="U13" s="21"/>
      <c r="V13" s="21"/>
    </row>
    <row r="14" spans="2:22" x14ac:dyDescent="0.15">
      <c r="B14" s="25"/>
      <c r="C14" s="38" t="str">
        <f>Display!B9</f>
        <v xml:space="preserve">UAB Blazers Basketball </v>
      </c>
      <c r="D14" s="39">
        <f>Display!G9</f>
        <v>0</v>
      </c>
      <c r="E14" s="40" t="str">
        <f>Display!F9</f>
        <v>MCB</v>
      </c>
      <c r="F14" s="41">
        <f>Display!H9</f>
        <v>0.32899999999999996</v>
      </c>
      <c r="G14" s="41">
        <f>Display!I9</f>
        <v>0.37357575205809002</v>
      </c>
      <c r="H14" s="42">
        <f>Display!J9</f>
        <v>113.54886080793011</v>
      </c>
      <c r="I14" s="41">
        <f>Display!L9</f>
        <v>0.10800000000000001</v>
      </c>
      <c r="J14" s="41">
        <f>Display!M9</f>
        <v>0.13715955991083451</v>
      </c>
      <c r="K14" s="42">
        <f>Display!N9</f>
        <v>126.99959251003195</v>
      </c>
      <c r="L14" s="41">
        <f>Display!D9</f>
        <v>0.14190544373082611</v>
      </c>
      <c r="M14" s="43">
        <f>Display!C9</f>
        <v>205747</v>
      </c>
      <c r="N14" s="36"/>
      <c r="O14" s="37"/>
      <c r="P14" s="36"/>
      <c r="Q14" s="21"/>
      <c r="R14" s="21"/>
      <c r="S14" s="21"/>
      <c r="T14" s="27"/>
      <c r="U14" s="21"/>
      <c r="V14" s="21"/>
    </row>
    <row r="15" spans="2:22" x14ac:dyDescent="0.15">
      <c r="B15" s="25"/>
      <c r="C15" s="44" t="str">
        <f>Display!B10</f>
        <v xml:space="preserve">Atlanta Hawks </v>
      </c>
      <c r="D15" s="45" t="str">
        <f>Display!G10</f>
        <v>KO</v>
      </c>
      <c r="E15" s="46" t="str">
        <f>Display!F10</f>
        <v xml:space="preserve">NBA </v>
      </c>
      <c r="F15" s="47">
        <f>Display!H10</f>
        <v>0.34799999999999998</v>
      </c>
      <c r="G15" s="47">
        <f>Display!I10</f>
        <v>0.31271932728596968</v>
      </c>
      <c r="H15" s="48">
        <f>Display!J10</f>
        <v>89.861875656887847</v>
      </c>
      <c r="I15" s="47">
        <f>Display!L10</f>
        <v>9.6999999999999989E-2</v>
      </c>
      <c r="J15" s="47">
        <f>Display!M10</f>
        <v>9.494940298836875E-2</v>
      </c>
      <c r="K15" s="48">
        <f>Display!N10</f>
        <v>97.88598246223583</v>
      </c>
      <c r="L15" s="47">
        <f>Display!D10</f>
        <v>0.1017913107771083</v>
      </c>
      <c r="M15" s="49">
        <f>Display!C10</f>
        <v>147586</v>
      </c>
      <c r="N15" s="36"/>
      <c r="O15" s="37"/>
      <c r="P15" s="36"/>
      <c r="Q15" s="21"/>
      <c r="R15" s="21"/>
      <c r="S15" s="21"/>
      <c r="T15" s="27"/>
      <c r="U15" s="21"/>
      <c r="V15" s="21"/>
    </row>
    <row r="16" spans="2:22" x14ac:dyDescent="0.15">
      <c r="B16" s="25"/>
      <c r="C16" s="50" t="str">
        <f>Display!B11</f>
        <v xml:space="preserve">Troy University Football </v>
      </c>
      <c r="D16" s="51" t="str">
        <f>Display!G11</f>
        <v>KO</v>
      </c>
      <c r="E16" s="52" t="str">
        <f>Display!F11</f>
        <v>CFB</v>
      </c>
      <c r="F16" s="53">
        <f>Display!H11</f>
        <v>0.435</v>
      </c>
      <c r="G16" s="53">
        <f>Display!I11</f>
        <v>0.72446561389569397</v>
      </c>
      <c r="H16" s="54">
        <f>Display!J11</f>
        <v>166.54381928636644</v>
      </c>
      <c r="I16" s="53">
        <f>Display!L11</f>
        <v>0.18600000000000003</v>
      </c>
      <c r="J16" s="53">
        <f>Display!M11</f>
        <v>0.52005948045642147</v>
      </c>
      <c r="K16" s="54">
        <f>Display!N11</f>
        <v>279.60187121312981</v>
      </c>
      <c r="L16" s="53">
        <f>Display!D11</f>
        <v>7.6669370323776728E-2</v>
      </c>
      <c r="M16" s="55">
        <f>Display!C11</f>
        <v>111162</v>
      </c>
      <c r="N16" s="36"/>
      <c r="O16" s="37"/>
      <c r="P16" s="36"/>
      <c r="Q16" s="21"/>
      <c r="R16" s="21"/>
      <c r="S16" s="21"/>
      <c r="T16" s="27"/>
      <c r="U16" s="21"/>
      <c r="V16" s="21"/>
    </row>
    <row r="17" spans="1:22" x14ac:dyDescent="0.15">
      <c r="A17" s="21"/>
      <c r="B17" s="25"/>
      <c r="C17" s="56"/>
      <c r="D17" s="39"/>
      <c r="E17" s="39"/>
      <c r="F17" s="37"/>
      <c r="G17" s="37"/>
      <c r="H17" s="39"/>
      <c r="I17" s="37"/>
      <c r="J17" s="37"/>
      <c r="K17" s="39"/>
      <c r="L17" s="37"/>
      <c r="M17" s="37"/>
      <c r="N17" s="57"/>
      <c r="O17" s="57"/>
      <c r="P17" s="39"/>
      <c r="Q17" s="37"/>
      <c r="R17" s="39"/>
      <c r="S17" s="21"/>
      <c r="T17" s="27"/>
      <c r="U17" s="21"/>
      <c r="V17" s="21"/>
    </row>
    <row r="18" spans="1:22" x14ac:dyDescent="0.15">
      <c r="A18" s="21"/>
      <c r="B18" s="25"/>
      <c r="C18" s="56"/>
      <c r="D18" s="39"/>
      <c r="E18" s="39"/>
      <c r="F18" s="37"/>
      <c r="G18" s="37"/>
      <c r="H18" s="39"/>
      <c r="I18" s="37"/>
      <c r="J18" s="37"/>
      <c r="K18" s="39"/>
      <c r="L18" s="37"/>
      <c r="M18" s="37"/>
      <c r="N18" s="57"/>
      <c r="O18" s="57"/>
      <c r="P18" s="39"/>
      <c r="Q18" s="37"/>
      <c r="R18" s="39"/>
      <c r="S18" s="21"/>
      <c r="T18" s="27"/>
      <c r="U18" s="21"/>
      <c r="V18" s="21"/>
    </row>
    <row r="19" spans="1:22" x14ac:dyDescent="0.15">
      <c r="A19" s="21"/>
      <c r="B19" s="25"/>
      <c r="C19" s="56"/>
      <c r="D19" s="39"/>
      <c r="E19" s="39"/>
      <c r="F19" s="37"/>
      <c r="G19" s="37"/>
      <c r="H19" s="39"/>
      <c r="I19" s="37"/>
      <c r="J19" s="37"/>
      <c r="K19" s="39"/>
      <c r="L19" s="37"/>
      <c r="M19" s="37"/>
      <c r="N19" s="57"/>
      <c r="O19" s="57"/>
      <c r="P19" s="39"/>
      <c r="Q19" s="37"/>
      <c r="R19" s="39"/>
      <c r="S19" s="21"/>
      <c r="T19" s="27"/>
      <c r="U19" s="21"/>
      <c r="V19" s="21"/>
    </row>
    <row r="20" spans="1:22" x14ac:dyDescent="0.15">
      <c r="A20" s="21"/>
      <c r="B20" s="25"/>
      <c r="C20" s="56"/>
      <c r="D20" s="39"/>
      <c r="E20" s="39"/>
      <c r="F20" s="37"/>
      <c r="G20" s="37"/>
      <c r="H20" s="39"/>
      <c r="I20" s="37"/>
      <c r="J20" s="37"/>
      <c r="K20" s="39"/>
      <c r="L20" s="37"/>
      <c r="M20" s="37"/>
      <c r="N20" s="57"/>
      <c r="O20" s="57"/>
      <c r="P20" s="39"/>
      <c r="Q20" s="37"/>
      <c r="R20" s="39"/>
      <c r="S20" s="21"/>
      <c r="T20" s="27"/>
      <c r="U20" s="21"/>
      <c r="V20" s="21"/>
    </row>
    <row r="21" spans="1:22" x14ac:dyDescent="0.15">
      <c r="A21" s="21"/>
      <c r="B21" s="25"/>
      <c r="C21" s="56"/>
      <c r="D21" s="39"/>
      <c r="E21" s="39"/>
      <c r="F21" s="37"/>
      <c r="G21" s="37"/>
      <c r="H21" s="39"/>
      <c r="I21" s="37"/>
      <c r="J21" s="37"/>
      <c r="K21" s="58"/>
      <c r="L21" s="37"/>
      <c r="M21" s="37"/>
      <c r="N21" s="57"/>
      <c r="O21" s="57"/>
      <c r="P21" s="39"/>
      <c r="Q21" s="37"/>
      <c r="R21" s="39"/>
      <c r="S21" s="21"/>
      <c r="T21" s="27"/>
      <c r="U21" s="21"/>
      <c r="V21" s="21"/>
    </row>
    <row r="22" spans="1:22" x14ac:dyDescent="0.15">
      <c r="A22" s="21"/>
      <c r="B22" s="25"/>
      <c r="C22" s="56"/>
      <c r="D22" s="39"/>
      <c r="E22" s="39"/>
      <c r="F22" s="37"/>
      <c r="G22" s="37"/>
      <c r="H22" s="39"/>
      <c r="I22" s="37"/>
      <c r="J22" s="37"/>
      <c r="K22" s="39"/>
      <c r="L22" s="37"/>
      <c r="M22" s="37"/>
      <c r="N22" s="57"/>
      <c r="O22" s="57"/>
      <c r="P22" s="39"/>
      <c r="Q22" s="37"/>
      <c r="R22" s="39"/>
      <c r="S22" s="21"/>
      <c r="T22" s="27"/>
      <c r="U22" s="21"/>
      <c r="V22" s="21"/>
    </row>
    <row r="23" spans="1:22" ht="20.25" customHeight="1" x14ac:dyDescent="0.15">
      <c r="A23" s="21"/>
      <c r="B23" s="25"/>
      <c r="C23" s="21"/>
      <c r="D23" s="21"/>
      <c r="E23" s="21"/>
      <c r="F23" s="21"/>
      <c r="G23" s="21"/>
      <c r="H23" s="21"/>
      <c r="I23" s="21"/>
      <c r="J23" s="21"/>
      <c r="K23" s="21"/>
      <c r="L23" s="21"/>
      <c r="M23" s="21"/>
      <c r="N23" s="21"/>
      <c r="O23" s="21"/>
      <c r="P23" s="21"/>
      <c r="Q23" s="21"/>
      <c r="R23" s="21"/>
      <c r="S23" s="21"/>
      <c r="T23" s="27"/>
      <c r="U23" s="21"/>
      <c r="V23" s="21"/>
    </row>
    <row r="24" spans="1:22" x14ac:dyDescent="0.15">
      <c r="B24" s="25"/>
      <c r="C24" s="21"/>
      <c r="D24" s="21"/>
      <c r="E24" s="21"/>
      <c r="F24" s="21"/>
      <c r="G24" s="21"/>
      <c r="H24" s="21"/>
      <c r="I24" s="21"/>
      <c r="J24" s="21"/>
      <c r="K24" s="21"/>
      <c r="L24" s="21"/>
      <c r="M24" s="21"/>
      <c r="N24" s="21"/>
      <c r="O24" s="21"/>
      <c r="P24" s="21"/>
      <c r="Q24" s="21"/>
      <c r="R24" s="21"/>
      <c r="S24" s="21"/>
      <c r="T24" s="27"/>
      <c r="U24" s="21"/>
      <c r="V24" s="21"/>
    </row>
    <row r="25" spans="1:22" x14ac:dyDescent="0.15">
      <c r="B25" s="25"/>
      <c r="C25" s="21"/>
      <c r="D25" s="21"/>
      <c r="E25" s="21"/>
      <c r="F25" s="21"/>
      <c r="G25" s="21"/>
      <c r="H25" s="21"/>
      <c r="I25" s="21"/>
      <c r="J25" s="21"/>
      <c r="K25" s="21"/>
      <c r="L25" s="21"/>
      <c r="M25" s="21"/>
      <c r="N25" s="21"/>
      <c r="O25" s="21"/>
      <c r="P25" s="28"/>
      <c r="Q25" s="21"/>
      <c r="R25" s="21"/>
      <c r="S25" s="21"/>
      <c r="T25" s="27"/>
      <c r="U25" s="21"/>
      <c r="V25" s="21"/>
    </row>
    <row r="26" spans="1:22" x14ac:dyDescent="0.15">
      <c r="B26" s="25"/>
      <c r="C26" s="21"/>
      <c r="D26" s="21"/>
      <c r="E26" s="21"/>
      <c r="F26" s="21"/>
      <c r="G26" s="21"/>
      <c r="H26" s="59"/>
      <c r="I26" s="59"/>
      <c r="J26" s="59"/>
      <c r="K26" s="60"/>
      <c r="L26" s="60"/>
      <c r="M26" s="60"/>
      <c r="N26" s="28"/>
      <c r="O26" s="28"/>
      <c r="P26" s="61"/>
      <c r="Q26" s="21"/>
      <c r="R26" s="21"/>
      <c r="S26" s="21"/>
      <c r="T26" s="27"/>
      <c r="U26" s="21"/>
      <c r="V26" s="21"/>
    </row>
    <row r="27" spans="1:22" x14ac:dyDescent="0.15">
      <c r="B27" s="25"/>
      <c r="C27" s="21"/>
      <c r="D27" s="21"/>
      <c r="E27" s="21"/>
      <c r="F27" s="21"/>
      <c r="G27" s="21"/>
      <c r="H27" s="59"/>
      <c r="I27" s="59"/>
      <c r="J27" s="59"/>
      <c r="K27" s="62"/>
      <c r="L27" s="72"/>
      <c r="M27" s="72"/>
      <c r="N27" s="63"/>
      <c r="O27" s="64"/>
      <c r="P27" s="61"/>
      <c r="Q27" s="21"/>
      <c r="R27" s="21"/>
      <c r="S27" s="21"/>
      <c r="T27" s="27"/>
      <c r="U27" s="21"/>
      <c r="V27" s="21"/>
    </row>
    <row r="28" spans="1:22" x14ac:dyDescent="0.15">
      <c r="B28" s="25"/>
      <c r="C28" s="21"/>
      <c r="D28" s="21"/>
      <c r="E28" s="21"/>
      <c r="F28" s="21"/>
      <c r="G28" s="21"/>
      <c r="H28" s="59"/>
      <c r="I28" s="59"/>
      <c r="J28" s="59"/>
      <c r="K28" s="62"/>
      <c r="L28" s="72"/>
      <c r="M28" s="72"/>
      <c r="N28" s="63"/>
      <c r="O28" s="64"/>
      <c r="P28" s="61"/>
      <c r="Q28" s="21"/>
      <c r="R28" s="21"/>
      <c r="S28" s="21"/>
      <c r="T28" s="27"/>
      <c r="U28" s="21"/>
      <c r="V28" s="21"/>
    </row>
    <row r="29" spans="1:22" x14ac:dyDescent="0.15">
      <c r="B29" s="25"/>
      <c r="C29" s="21"/>
      <c r="D29" s="21"/>
      <c r="E29" s="21"/>
      <c r="F29" s="21"/>
      <c r="G29" s="21"/>
      <c r="H29" s="59"/>
      <c r="I29" s="59"/>
      <c r="J29" s="59"/>
      <c r="K29" s="62"/>
      <c r="L29" s="72"/>
      <c r="M29" s="72"/>
      <c r="N29" s="63"/>
      <c r="O29" s="64"/>
      <c r="P29" s="61"/>
      <c r="Q29" s="21"/>
      <c r="R29" s="21"/>
      <c r="S29" s="21"/>
      <c r="T29" s="27"/>
      <c r="U29" s="21"/>
      <c r="V29" s="21"/>
    </row>
    <row r="30" spans="1:22" x14ac:dyDescent="0.15">
      <c r="B30" s="25"/>
      <c r="C30" s="21"/>
      <c r="D30" s="21"/>
      <c r="E30" s="21"/>
      <c r="F30" s="21"/>
      <c r="G30" s="21"/>
      <c r="H30" s="59"/>
      <c r="I30" s="59"/>
      <c r="J30" s="59"/>
      <c r="K30" s="62"/>
      <c r="L30" s="72"/>
      <c r="M30" s="72"/>
      <c r="N30" s="63"/>
      <c r="O30" s="64"/>
      <c r="P30" s="61"/>
      <c r="Q30" s="21"/>
      <c r="R30" s="21"/>
      <c r="S30" s="21"/>
      <c r="T30" s="27"/>
      <c r="U30" s="21"/>
      <c r="V30" s="21"/>
    </row>
    <row r="31" spans="1:22" x14ac:dyDescent="0.15">
      <c r="B31" s="25"/>
      <c r="C31" s="21"/>
      <c r="D31" s="21"/>
      <c r="E31" s="21"/>
      <c r="F31" s="21"/>
      <c r="G31" s="21"/>
      <c r="H31" s="59"/>
      <c r="I31" s="59"/>
      <c r="J31" s="59"/>
      <c r="K31" s="62"/>
      <c r="L31" s="72"/>
      <c r="M31" s="72"/>
      <c r="N31" s="63"/>
      <c r="O31" s="64"/>
      <c r="P31" s="61"/>
      <c r="Q31" s="21"/>
      <c r="R31" s="21"/>
      <c r="S31" s="21"/>
      <c r="T31" s="27"/>
      <c r="U31" s="21"/>
      <c r="V31" s="21"/>
    </row>
    <row r="32" spans="1:22" x14ac:dyDescent="0.15">
      <c r="B32" s="25"/>
      <c r="C32" s="21"/>
      <c r="D32" s="21"/>
      <c r="E32" s="21"/>
      <c r="F32" s="21"/>
      <c r="G32" s="21"/>
      <c r="H32" s="59"/>
      <c r="I32" s="59"/>
      <c r="J32" s="59"/>
      <c r="K32" s="62"/>
      <c r="L32" s="72"/>
      <c r="M32" s="72"/>
      <c r="N32" s="63"/>
      <c r="O32" s="64"/>
      <c r="P32" s="61"/>
      <c r="Q32" s="21"/>
      <c r="R32" s="60"/>
      <c r="S32" s="60"/>
      <c r="T32" s="65"/>
      <c r="U32" s="28"/>
      <c r="V32" s="28"/>
    </row>
    <row r="33" spans="2:22" x14ac:dyDescent="0.15">
      <c r="B33" s="25"/>
      <c r="C33" s="21"/>
      <c r="D33" s="21"/>
      <c r="E33" s="21"/>
      <c r="F33" s="21"/>
      <c r="G33" s="21"/>
      <c r="H33" s="59"/>
      <c r="I33" s="59"/>
      <c r="J33" s="59"/>
      <c r="K33" s="62"/>
      <c r="L33" s="72"/>
      <c r="M33" s="72"/>
      <c r="N33" s="63"/>
      <c r="O33" s="64"/>
      <c r="P33" s="61"/>
      <c r="Q33" s="21"/>
      <c r="R33" s="59"/>
      <c r="S33" s="73"/>
      <c r="T33" s="74"/>
      <c r="U33" s="41"/>
      <c r="V33" s="42"/>
    </row>
    <row r="34" spans="2:22" x14ac:dyDescent="0.15">
      <c r="B34" s="25"/>
      <c r="C34" s="21"/>
      <c r="D34" s="21"/>
      <c r="E34" s="21"/>
      <c r="F34" s="21"/>
      <c r="G34" s="21"/>
      <c r="H34" s="59"/>
      <c r="I34" s="59"/>
      <c r="J34" s="59"/>
      <c r="K34" s="62"/>
      <c r="L34" s="72"/>
      <c r="M34" s="72"/>
      <c r="N34" s="63"/>
      <c r="O34" s="64"/>
      <c r="P34" s="61"/>
      <c r="Q34" s="21"/>
      <c r="R34" s="59"/>
      <c r="S34" s="73"/>
      <c r="T34" s="74"/>
      <c r="U34" s="41"/>
      <c r="V34" s="42"/>
    </row>
    <row r="35" spans="2:22" x14ac:dyDescent="0.15">
      <c r="B35" s="25"/>
      <c r="C35" s="21"/>
      <c r="D35" s="21"/>
      <c r="E35" s="21"/>
      <c r="F35" s="21"/>
      <c r="G35" s="21"/>
      <c r="H35" s="59"/>
      <c r="I35" s="59"/>
      <c r="J35" s="59"/>
      <c r="K35" s="62"/>
      <c r="L35" s="72"/>
      <c r="M35" s="72"/>
      <c r="N35" s="63"/>
      <c r="O35" s="64"/>
      <c r="P35" s="61"/>
      <c r="Q35" s="21"/>
      <c r="R35" s="59"/>
      <c r="S35" s="73"/>
      <c r="T35" s="74"/>
      <c r="U35" s="41"/>
      <c r="V35" s="42"/>
    </row>
    <row r="36" spans="2:22" x14ac:dyDescent="0.15">
      <c r="B36" s="25"/>
      <c r="C36" s="21"/>
      <c r="D36" s="21"/>
      <c r="E36" s="21"/>
      <c r="F36" s="21"/>
      <c r="G36" s="21"/>
      <c r="H36" s="21"/>
      <c r="I36" s="21"/>
      <c r="J36" s="21"/>
      <c r="K36" s="62"/>
      <c r="L36" s="72"/>
      <c r="M36" s="72"/>
      <c r="N36" s="63"/>
      <c r="O36" s="64"/>
      <c r="P36" s="21"/>
      <c r="Q36" s="21"/>
      <c r="R36" s="59"/>
      <c r="S36" s="73"/>
      <c r="T36" s="74"/>
      <c r="U36" s="41"/>
      <c r="V36" s="42"/>
    </row>
    <row r="37" spans="2:22" x14ac:dyDescent="0.15">
      <c r="B37" s="25"/>
      <c r="C37" s="21"/>
      <c r="D37" s="21"/>
      <c r="E37" s="21"/>
      <c r="F37" s="21"/>
      <c r="G37" s="21"/>
      <c r="H37" s="21"/>
      <c r="I37" s="21"/>
      <c r="J37" s="21"/>
      <c r="K37" s="21"/>
      <c r="L37" s="21"/>
      <c r="M37" s="21"/>
      <c r="N37" s="21"/>
      <c r="O37" s="21"/>
      <c r="P37" s="21"/>
      <c r="Q37" s="21"/>
      <c r="R37" s="59"/>
      <c r="S37" s="73"/>
      <c r="T37" s="74"/>
      <c r="U37" s="41"/>
      <c r="V37" s="42"/>
    </row>
    <row r="38" spans="2:22" x14ac:dyDescent="0.15">
      <c r="B38" s="25"/>
      <c r="C38" s="21"/>
      <c r="D38" s="21"/>
      <c r="E38" s="21"/>
      <c r="F38" s="21"/>
      <c r="G38" s="21"/>
      <c r="H38" s="21"/>
      <c r="I38" s="21"/>
      <c r="J38" s="21"/>
      <c r="K38" s="21"/>
      <c r="L38" s="21"/>
      <c r="M38" s="21"/>
      <c r="N38" s="21"/>
      <c r="O38" s="21"/>
      <c r="P38" s="21"/>
      <c r="Q38" s="21"/>
      <c r="R38" s="59"/>
      <c r="S38" s="59"/>
      <c r="T38" s="66"/>
      <c r="U38" s="41"/>
      <c r="V38" s="42"/>
    </row>
    <row r="39" spans="2:22" x14ac:dyDescent="0.15">
      <c r="B39" s="25"/>
      <c r="C39" s="21"/>
      <c r="D39" s="21"/>
      <c r="E39" s="21"/>
      <c r="F39" s="21"/>
      <c r="G39" s="21"/>
      <c r="H39" s="21"/>
      <c r="I39" s="21"/>
      <c r="J39" s="21"/>
      <c r="K39" s="21"/>
      <c r="L39" s="21"/>
      <c r="M39" s="21"/>
      <c r="N39" s="21"/>
      <c r="O39" s="21"/>
      <c r="P39" s="21"/>
      <c r="Q39" s="21"/>
      <c r="R39" s="21"/>
      <c r="S39" s="21"/>
      <c r="T39" s="27"/>
      <c r="U39" s="21"/>
      <c r="V39" s="21"/>
    </row>
    <row r="40" spans="2:22" x14ac:dyDescent="0.15">
      <c r="B40" s="25"/>
      <c r="C40" s="21"/>
      <c r="D40" s="21"/>
      <c r="E40" s="21"/>
      <c r="F40" s="21"/>
      <c r="G40" s="21"/>
      <c r="H40" s="21"/>
      <c r="I40" s="21"/>
      <c r="J40" s="21"/>
      <c r="K40" s="21"/>
      <c r="L40" s="21"/>
      <c r="M40" s="21"/>
      <c r="N40" s="21"/>
      <c r="O40" s="21"/>
      <c r="P40" s="21"/>
      <c r="Q40" s="21"/>
      <c r="R40" s="21"/>
      <c r="S40" s="21"/>
      <c r="T40" s="27"/>
      <c r="U40" s="21"/>
      <c r="V40" s="21"/>
    </row>
    <row r="41" spans="2:22" ht="14" thickBot="1" x14ac:dyDescent="0.2">
      <c r="B41" s="67"/>
      <c r="C41" s="68"/>
      <c r="D41" s="68"/>
      <c r="E41" s="68"/>
      <c r="F41" s="68"/>
      <c r="G41" s="68"/>
      <c r="H41" s="68"/>
      <c r="I41" s="68"/>
      <c r="J41" s="68"/>
      <c r="K41" s="68"/>
      <c r="L41" s="68"/>
      <c r="M41" s="68"/>
      <c r="N41" s="68"/>
      <c r="O41" s="68"/>
      <c r="P41" s="68"/>
      <c r="Q41" s="68"/>
      <c r="R41" s="68"/>
      <c r="S41" s="68"/>
      <c r="T41" s="69"/>
      <c r="U41" s="21"/>
      <c r="V41" s="21"/>
    </row>
    <row r="42" spans="2:22" x14ac:dyDescent="0.15">
      <c r="C42" s="21"/>
      <c r="D42" s="21"/>
      <c r="E42" s="21"/>
      <c r="F42" s="21"/>
      <c r="G42" s="21"/>
      <c r="H42" s="21"/>
      <c r="I42" s="21"/>
      <c r="J42" s="21"/>
      <c r="K42" s="21"/>
      <c r="L42" s="21"/>
      <c r="M42" s="21"/>
      <c r="N42" s="21"/>
      <c r="O42" s="21"/>
      <c r="P42" s="21"/>
      <c r="Q42" s="21"/>
      <c r="R42" s="21"/>
      <c r="S42" s="21"/>
      <c r="T42" s="21"/>
      <c r="U42" s="21"/>
      <c r="V42" s="21"/>
    </row>
    <row r="43" spans="2:22" x14ac:dyDescent="0.15">
      <c r="C43" s="21"/>
      <c r="D43" s="21"/>
      <c r="E43" s="21"/>
      <c r="F43" s="21"/>
      <c r="G43" s="21"/>
      <c r="H43" s="21"/>
      <c r="I43" s="21"/>
      <c r="J43" s="21"/>
      <c r="K43" s="21"/>
      <c r="L43" s="21"/>
      <c r="M43" s="21"/>
      <c r="N43" s="21"/>
      <c r="O43" s="21"/>
      <c r="P43" s="21"/>
      <c r="Q43" s="21"/>
      <c r="R43" s="21"/>
      <c r="S43" s="21"/>
      <c r="T43" s="21"/>
      <c r="U43" s="21"/>
      <c r="V43" s="21"/>
    </row>
    <row r="44" spans="2:22" x14ac:dyDescent="0.15">
      <c r="C44" s="21"/>
      <c r="D44" s="21"/>
      <c r="E44" s="21"/>
      <c r="F44" s="21"/>
      <c r="G44" s="21"/>
      <c r="H44" s="21"/>
      <c r="I44" s="21"/>
      <c r="J44" s="21"/>
      <c r="K44" s="21"/>
      <c r="L44" s="21"/>
      <c r="M44" s="21"/>
      <c r="N44" s="21"/>
      <c r="O44" s="21"/>
      <c r="P44" s="21"/>
      <c r="Q44" s="21"/>
      <c r="R44" s="21"/>
      <c r="S44" s="21"/>
      <c r="T44" s="21"/>
      <c r="U44" s="21"/>
      <c r="V44" s="21"/>
    </row>
    <row r="45" spans="2:22" x14ac:dyDescent="0.15">
      <c r="C45" s="21"/>
      <c r="D45" s="21"/>
      <c r="E45" s="21"/>
      <c r="F45" s="21"/>
      <c r="G45" s="21"/>
      <c r="H45" s="21"/>
      <c r="I45" s="21"/>
      <c r="J45" s="21"/>
      <c r="K45" s="21"/>
      <c r="L45" s="21"/>
      <c r="M45" s="21"/>
      <c r="N45" s="21"/>
      <c r="O45" s="21"/>
      <c r="P45" s="21"/>
      <c r="Q45" s="21"/>
      <c r="R45" s="21"/>
      <c r="S45" s="21"/>
      <c r="T45" s="21"/>
      <c r="U45" s="21"/>
      <c r="V45" s="21"/>
    </row>
  </sheetData>
  <mergeCells count="16">
    <mergeCell ref="S34:T34"/>
    <mergeCell ref="M3:N3"/>
    <mergeCell ref="L27:M27"/>
    <mergeCell ref="L28:M28"/>
    <mergeCell ref="L29:M29"/>
    <mergeCell ref="L30:M30"/>
    <mergeCell ref="L35:M35"/>
    <mergeCell ref="S35:T35"/>
    <mergeCell ref="L36:M36"/>
    <mergeCell ref="S36:T36"/>
    <mergeCell ref="S37:T37"/>
    <mergeCell ref="L31:M31"/>
    <mergeCell ref="L32:M32"/>
    <mergeCell ref="L33:M33"/>
    <mergeCell ref="S33:T33"/>
    <mergeCell ref="L34:M34"/>
  </mergeCells>
  <conditionalFormatting sqref="D7:D22">
    <cfRule type="cellIs" dxfId="37" priority="30" operator="equal">
      <formula>"PC"</formula>
    </cfRule>
    <cfRule type="cellIs" dxfId="36" priority="31" operator="equal">
      <formula>"KO"</formula>
    </cfRule>
  </conditionalFormatting>
  <conditionalFormatting sqref="C7 C18:I22 D17:I17 J17:J20 J22">
    <cfRule type="expression" dxfId="35" priority="28">
      <formula>D7="PC"</formula>
    </cfRule>
    <cfRule type="expression" dxfId="34" priority="29">
      <formula>D7="KO"</formula>
    </cfRule>
  </conditionalFormatting>
  <conditionalFormatting sqref="C8">
    <cfRule type="expression" dxfId="33" priority="26">
      <formula>D8="PC"</formula>
    </cfRule>
    <cfRule type="expression" dxfId="32" priority="27">
      <formula>D8="KO"</formula>
    </cfRule>
  </conditionalFormatting>
  <conditionalFormatting sqref="C9">
    <cfRule type="expression" dxfId="31" priority="24">
      <formula>D9="PC"</formula>
    </cfRule>
    <cfRule type="expression" dxfId="30" priority="25">
      <formula>D9="KO"</formula>
    </cfRule>
  </conditionalFormatting>
  <conditionalFormatting sqref="C10">
    <cfRule type="expression" dxfId="29" priority="22">
      <formula>D10="PC"</formula>
    </cfRule>
    <cfRule type="expression" dxfId="28" priority="23">
      <formula>D10="KO"</formula>
    </cfRule>
  </conditionalFormatting>
  <conditionalFormatting sqref="C11">
    <cfRule type="expression" dxfId="27" priority="20">
      <formula>D11="PC"</formula>
    </cfRule>
    <cfRule type="expression" dxfId="26" priority="21">
      <formula>D11="KO"</formula>
    </cfRule>
  </conditionalFormatting>
  <conditionalFormatting sqref="C12">
    <cfRule type="expression" dxfId="25" priority="18">
      <formula>D12="PC"</formula>
    </cfRule>
    <cfRule type="expression" dxfId="24" priority="19">
      <formula>D12="KO"</formula>
    </cfRule>
  </conditionalFormatting>
  <conditionalFormatting sqref="C13">
    <cfRule type="expression" dxfId="23" priority="16">
      <formula>D13="PC"</formula>
    </cfRule>
    <cfRule type="expression" dxfId="22" priority="17">
      <formula>D13="KO"</formula>
    </cfRule>
  </conditionalFormatting>
  <conditionalFormatting sqref="C14 C17:R17 L21:R21">
    <cfRule type="expression" dxfId="21" priority="14">
      <formula>D14="PC"</formula>
    </cfRule>
    <cfRule type="expression" dxfId="20" priority="15">
      <formula>D14="KO"</formula>
    </cfRule>
  </conditionalFormatting>
  <conditionalFormatting sqref="C15 L18:R22 K18:K20 K22">
    <cfRule type="expression" dxfId="19" priority="12">
      <formula>D15="PC"</formula>
    </cfRule>
    <cfRule type="expression" dxfId="18" priority="13">
      <formula>D15="KO"</formula>
    </cfRule>
  </conditionalFormatting>
  <conditionalFormatting sqref="C16:C22 L17:R22 K17:K20 K22">
    <cfRule type="expression" dxfId="17" priority="10">
      <formula>D16="PC"</formula>
    </cfRule>
    <cfRule type="expression" dxfId="16" priority="11">
      <formula>D16="KO"</formula>
    </cfRule>
  </conditionalFormatting>
  <conditionalFormatting sqref="C22:R22 C10:P10 C12:P12 C14:P14 C16:P16 C18:R18 C20:R20 N17:O17 N19:O19 N21:O21">
    <cfRule type="cellIs" dxfId="15" priority="9" operator="equal">
      <formula>0</formula>
    </cfRule>
  </conditionalFormatting>
  <conditionalFormatting sqref="C9:P9 C11:P11 C13:P13 C15:P15 C17:R17 C19:R19 C21:J21 L21:R21">
    <cfRule type="cellIs" dxfId="14" priority="8" operator="equal">
      <formula>0</formula>
    </cfRule>
  </conditionalFormatting>
  <conditionalFormatting sqref="J21">
    <cfRule type="expression" dxfId="13" priority="32">
      <formula>#REF!="PC"</formula>
    </cfRule>
    <cfRule type="expression" dxfId="12" priority="33">
      <formula>#REF!="KO"</formula>
    </cfRule>
  </conditionalFormatting>
  <conditionalFormatting sqref="D8">
    <cfRule type="cellIs" dxfId="11" priority="7" operator="equal">
      <formula>0</formula>
    </cfRule>
  </conditionalFormatting>
  <conditionalFormatting sqref="D7">
    <cfRule type="cellIs" dxfId="10" priority="6" operator="equal">
      <formula>0</formula>
    </cfRule>
  </conditionalFormatting>
  <conditionalFormatting sqref="F8">
    <cfRule type="cellIs" dxfId="9" priority="5" operator="equal">
      <formula>0</formula>
    </cfRule>
  </conditionalFormatting>
  <conditionalFormatting sqref="G8">
    <cfRule type="cellIs" dxfId="8" priority="4" operator="equal">
      <formula>0</formula>
    </cfRule>
  </conditionalFormatting>
  <conditionalFormatting sqref="J8">
    <cfRule type="cellIs" dxfId="7" priority="3" operator="equal">
      <formula>0</formula>
    </cfRule>
  </conditionalFormatting>
  <conditionalFormatting sqref="H8:I8">
    <cfRule type="cellIs" dxfId="6" priority="2" operator="equal">
      <formula>0</formula>
    </cfRule>
  </conditionalFormatting>
  <conditionalFormatting sqref="K8">
    <cfRule type="cellIs" dxfId="5" priority="1" operator="equal">
      <formula>0</formula>
    </cfRule>
  </conditionalFormatting>
  <pageMargins left="0.7" right="0.7" top="0.75" bottom="0.75" header="0.3" footer="0.3"/>
  <pageSetup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3" name="Drop Down 1">
              <controlPr defaultSize="0" autoLine="0" autoPict="0" macro="[0]!ChangeState">
                <anchor moveWithCells="1">
                  <from>
                    <xdr:col>2</xdr:col>
                    <xdr:colOff>0</xdr:colOff>
                    <xdr:row>3</xdr:row>
                    <xdr:rowOff>50800</xdr:rowOff>
                  </from>
                  <to>
                    <xdr:col>2</xdr:col>
                    <xdr:colOff>1663700</xdr:colOff>
                    <xdr:row>5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43010" r:id="rId4" name="Scroll Bar 2">
              <controlPr defaultSize="0" autoPict="0">
                <anchor moveWithCells="1">
                  <from>
                    <xdr:col>13</xdr:col>
                    <xdr:colOff>12700</xdr:colOff>
                    <xdr:row>6</xdr:row>
                    <xdr:rowOff>12700</xdr:rowOff>
                  </from>
                  <to>
                    <xdr:col>13</xdr:col>
                    <xdr:colOff>177800</xdr:colOff>
                    <xdr:row>16</xdr:row>
                    <xdr:rowOff>12700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43011" r:id="rId5" name="Scroll Bar 3">
              <controlPr defaultSize="0" autoPict="0">
                <anchor moveWithCells="1">
                  <from>
                    <xdr:col>13</xdr:col>
                    <xdr:colOff>317500</xdr:colOff>
                    <xdr:row>20</xdr:row>
                    <xdr:rowOff>38100</xdr:rowOff>
                  </from>
                  <to>
                    <xdr:col>13</xdr:col>
                    <xdr:colOff>482600</xdr:colOff>
                    <xdr:row>40</xdr:row>
                    <xdr:rowOff>38100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43012" r:id="rId6" name="Scroll Bar 4">
              <controlPr defaultSize="0" autoPict="0">
                <anchor moveWithCells="1">
                  <from>
                    <xdr:col>6</xdr:col>
                    <xdr:colOff>38100</xdr:colOff>
                    <xdr:row>19</xdr:row>
                    <xdr:rowOff>152400</xdr:rowOff>
                  </from>
                  <to>
                    <xdr:col>6</xdr:col>
                    <xdr:colOff>203200</xdr:colOff>
                    <xdr:row>39</xdr:row>
                    <xdr:rowOff>152400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43013" r:id="rId7" name="Drop Down 5">
              <controlPr defaultSize="0" autoLine="0" autoPict="0" macro="[0]!ChangeLeagueInterest">
                <anchor moveWithCells="1">
                  <from>
                    <xdr:col>2</xdr:col>
                    <xdr:colOff>63500</xdr:colOff>
                    <xdr:row>18</xdr:row>
                    <xdr:rowOff>63500</xdr:rowOff>
                  </from>
                  <to>
                    <xdr:col>2</xdr:col>
                    <xdr:colOff>990600</xdr:colOff>
                    <xdr:row>19</xdr:row>
                    <xdr:rowOff>101600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 enableFormatConditionsCalculation="0"/>
  <dimension ref="A1:B15"/>
  <sheetViews>
    <sheetView workbookViewId="0">
      <selection activeCell="B30" sqref="B30:B31"/>
    </sheetView>
  </sheetViews>
  <sheetFormatPr baseColWidth="10" defaultColWidth="8.83203125" defaultRowHeight="13" x14ac:dyDescent="0.15"/>
  <cols>
    <col min="1" max="1" width="16.5" customWidth="1"/>
    <col min="2" max="2" width="12.6640625" customWidth="1"/>
  </cols>
  <sheetData>
    <row r="1" spans="1:2" x14ac:dyDescent="0.15">
      <c r="A1" t="s">
        <v>810</v>
      </c>
    </row>
    <row r="2" spans="1:2" x14ac:dyDescent="0.15">
      <c r="A2" s="19" t="s">
        <v>1309</v>
      </c>
      <c r="B2">
        <v>1</v>
      </c>
    </row>
    <row r="3" spans="1:2" x14ac:dyDescent="0.15">
      <c r="A3" s="19" t="s">
        <v>1310</v>
      </c>
      <c r="B3" t="str">
        <f>INDEX(Validation!$F:$F,Control!B2)</f>
        <v>AL</v>
      </c>
    </row>
    <row r="4" spans="1:2" x14ac:dyDescent="0.15">
      <c r="A4" s="19" t="s">
        <v>1332</v>
      </c>
      <c r="B4" t="str">
        <f>INDEX(Validation!$G:$G,Control!B2)</f>
        <v>Alabama</v>
      </c>
    </row>
    <row r="6" spans="1:2" x14ac:dyDescent="0.15">
      <c r="A6" s="70" t="s">
        <v>1339</v>
      </c>
    </row>
    <row r="7" spans="1:2" x14ac:dyDescent="0.15">
      <c r="A7" s="19" t="s">
        <v>1342</v>
      </c>
      <c r="B7">
        <v>1</v>
      </c>
    </row>
    <row r="8" spans="1:2" x14ac:dyDescent="0.15">
      <c r="A8" s="19" t="s">
        <v>1343</v>
      </c>
      <c r="B8">
        <f>MAX(COUNTA('Data Tab'!A:A)-10,0)</f>
        <v>1</v>
      </c>
    </row>
    <row r="9" spans="1:2" x14ac:dyDescent="0.15">
      <c r="A9" t="s">
        <v>1340</v>
      </c>
    </row>
    <row r="10" spans="1:2" x14ac:dyDescent="0.15">
      <c r="A10" s="19" t="s">
        <v>1342</v>
      </c>
      <c r="B10">
        <v>1</v>
      </c>
    </row>
    <row r="11" spans="1:2" x14ac:dyDescent="0.15">
      <c r="A11" s="19" t="s">
        <v>1343</v>
      </c>
      <c r="B11">
        <v>40</v>
      </c>
    </row>
    <row r="12" spans="1:2" x14ac:dyDescent="0.15">
      <c r="A12" t="s">
        <v>1341</v>
      </c>
    </row>
    <row r="13" spans="1:2" x14ac:dyDescent="0.15">
      <c r="A13" s="19" t="s">
        <v>1342</v>
      </c>
      <c r="B13">
        <v>1</v>
      </c>
    </row>
    <row r="14" spans="1:2" x14ac:dyDescent="0.15">
      <c r="A14" s="19" t="s">
        <v>1343</v>
      </c>
      <c r="B14">
        <f>MAX(COUNTA('Data Tab'!A:A)-10,0)</f>
        <v>1</v>
      </c>
    </row>
    <row r="15" spans="1:2" x14ac:dyDescent="0.15">
      <c r="A15" t="s">
        <v>1346</v>
      </c>
      <c r="B15">
        <v>2</v>
      </c>
    </row>
  </sheetData>
  <pageMargins left="0.7" right="0.7" top="0.75" bottom="0.75" header="0.3" footer="0.3"/>
  <pageSetup orientation="portrait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 enableFormatConditionsCalculation="0"/>
  <dimension ref="A1:AG83"/>
  <sheetViews>
    <sheetView workbookViewId="0">
      <selection activeCell="H3" sqref="H2:H3"/>
    </sheetView>
  </sheetViews>
  <sheetFormatPr baseColWidth="10" defaultColWidth="8.83203125" defaultRowHeight="13" x14ac:dyDescent="0.15"/>
  <cols>
    <col min="2" max="2" width="16.5" customWidth="1"/>
    <col min="3" max="3" width="15.33203125" customWidth="1"/>
    <col min="4" max="4" width="16.1640625" customWidth="1"/>
    <col min="5" max="5" width="10" customWidth="1"/>
    <col min="6" max="6" width="9.83203125" customWidth="1"/>
    <col min="8" max="8" width="17" bestFit="1" customWidth="1"/>
    <col min="9" max="9" width="12.1640625" bestFit="1" customWidth="1"/>
    <col min="10" max="10" width="8.1640625" customWidth="1"/>
    <col min="11" max="11" width="4.5" customWidth="1"/>
    <col min="28" max="28" width="19" customWidth="1"/>
    <col min="32" max="32" width="11.1640625" bestFit="1" customWidth="1"/>
  </cols>
  <sheetData>
    <row r="1" spans="1:33" x14ac:dyDescent="0.15">
      <c r="B1" t="s">
        <v>1311</v>
      </c>
      <c r="C1" t="s">
        <v>1312</v>
      </c>
      <c r="D1" t="s">
        <v>1313</v>
      </c>
      <c r="E1" t="s">
        <v>1314</v>
      </c>
      <c r="F1" t="s">
        <v>860</v>
      </c>
      <c r="G1" t="s">
        <v>1349</v>
      </c>
      <c r="H1" t="s">
        <v>1319</v>
      </c>
      <c r="I1" t="s">
        <v>1323</v>
      </c>
      <c r="J1" t="s">
        <v>1320</v>
      </c>
      <c r="L1" t="s">
        <v>1321</v>
      </c>
      <c r="M1" t="s">
        <v>1322</v>
      </c>
      <c r="N1" t="s">
        <v>1320</v>
      </c>
    </row>
    <row r="2" spans="1:33" x14ac:dyDescent="0.15">
      <c r="A2">
        <v>1</v>
      </c>
      <c r="B2" t="str">
        <f>INDEX('Data Tab'!A:A,$A2+Control!$B$7)</f>
        <v xml:space="preserve">University of Alabama Football </v>
      </c>
      <c r="C2" s="17">
        <f>INDEX('Data Tab'!B:B,$A2+Control!$B$7)</f>
        <v>945726</v>
      </c>
      <c r="D2" s="18">
        <f>INDEX('Data Tab'!C:C,$A2+Control!$B$7)</f>
        <v>0.65227521022313451</v>
      </c>
      <c r="E2">
        <f>INDEX('Data Tab'!D:D,$A2+Control!$B$7)</f>
        <v>5</v>
      </c>
      <c r="F2" t="str">
        <f>INDEX('Data Tab'!E:E,$A2+Control!$B$7)</f>
        <v>CFB</v>
      </c>
      <c r="G2" t="str">
        <f>INDEX('Data Tab'!F:F,$A2+Control!$B$7)</f>
        <v>KO</v>
      </c>
      <c r="H2" s="18">
        <f>IF(E2&gt;0,INDEX('Data Tab'!$AF$2:$AF$82,$E2+41),"")</f>
        <v>0.435</v>
      </c>
      <c r="I2" s="18">
        <f>IF(E2&gt;0,INDEX('Data Tab'!$AC$2:$AC$82,$E2+41),"")</f>
        <v>0.72446561389569397</v>
      </c>
      <c r="J2" s="20">
        <f t="shared" ref="J2:J7" si="0">IFERROR((I2/H2)*100,"")</f>
        <v>166.54381928636644</v>
      </c>
      <c r="L2" s="18">
        <f>IF(E2&gt;0,INDEX('Data Tab'!$AF$2:$AF$82,$E2+1),"")</f>
        <v>0.18600000000000003</v>
      </c>
      <c r="M2" s="18">
        <f>IF(E2&gt;0,INDEX('Data Tab'!$AC$2:$AC$82,$E2+1),"")</f>
        <v>0.52005948045642147</v>
      </c>
      <c r="N2" s="20">
        <f t="shared" ref="N2:N7" si="1">IFERROR((M2/L2)*100,"")</f>
        <v>279.60187121312981</v>
      </c>
      <c r="AC2" s="17"/>
      <c r="AD2" s="18"/>
      <c r="AF2" s="17"/>
      <c r="AG2" s="18"/>
    </row>
    <row r="3" spans="1:33" x14ac:dyDescent="0.15">
      <c r="A3">
        <v>2</v>
      </c>
      <c r="B3" t="str">
        <f>INDEX('Data Tab'!A:A,$A3+Control!$B$7)</f>
        <v xml:space="preserve">Auburn University Football </v>
      </c>
      <c r="C3" s="17">
        <f>INDEX('Data Tab'!B:B,$A3+Control!$B$7)</f>
        <v>631784</v>
      </c>
      <c r="D3" s="18">
        <f>INDEX('Data Tab'!C:C,$A3+Control!$B$7)</f>
        <v>0.43574676112913552</v>
      </c>
      <c r="E3">
        <f>INDEX('Data Tab'!D:D,$A3+Control!$B$7)</f>
        <v>5</v>
      </c>
      <c r="F3" t="str">
        <f>INDEX('Data Tab'!E:E,$A3+Control!$B$7)</f>
        <v>CFB</v>
      </c>
      <c r="G3" t="str">
        <f>INDEX('Data Tab'!F:F,$A3+Control!$B$7)</f>
        <v>KO</v>
      </c>
      <c r="H3" s="18">
        <f>IF(E3&gt;0,INDEX('Data Tab'!$AF$2:$AF$82,$E3+41),"")</f>
        <v>0.435</v>
      </c>
      <c r="I3" s="18">
        <f>IF(E3&gt;0,INDEX('Data Tab'!$AC$2:$AC$82,$E3+41),"")</f>
        <v>0.72446561389569397</v>
      </c>
      <c r="J3" s="20">
        <f t="shared" si="0"/>
        <v>166.54381928636644</v>
      </c>
      <c r="L3" s="18">
        <f>IF(E3&gt;0,INDEX('Data Tab'!$AF$2:$AF$82,$E3+1),"")</f>
        <v>0.18600000000000003</v>
      </c>
      <c r="M3" s="18">
        <f>IF(E3&gt;0,INDEX('Data Tab'!$AC$2:$AC$82,$E3+1),"")</f>
        <v>0.52005948045642147</v>
      </c>
      <c r="N3" s="20">
        <f t="shared" si="1"/>
        <v>279.60187121312981</v>
      </c>
      <c r="AC3" s="17"/>
      <c r="AD3" s="18"/>
      <c r="AF3" s="17"/>
      <c r="AG3" s="18"/>
    </row>
    <row r="4" spans="1:33" x14ac:dyDescent="0.15">
      <c r="A4">
        <v>3</v>
      </c>
      <c r="B4" t="str">
        <f>INDEX('Data Tab'!A:A,$A4+Control!$B$7)</f>
        <v xml:space="preserve">University of Alabama Basketball </v>
      </c>
      <c r="C4" s="17">
        <f>INDEX('Data Tab'!B:B,$A4+Control!$B$7)</f>
        <v>471392</v>
      </c>
      <c r="D4" s="18">
        <f>INDEX('Data Tab'!C:C,$A4+Control!$B$7)</f>
        <v>0.32512304398684588</v>
      </c>
      <c r="E4">
        <f>INDEX('Data Tab'!D:D,$A4+Control!$B$7)</f>
        <v>4</v>
      </c>
      <c r="F4" t="str">
        <f>INDEX('Data Tab'!E:E,$A4+Control!$B$7)</f>
        <v>MCB</v>
      </c>
      <c r="G4" t="str">
        <f>INDEX('Data Tab'!F:F,$A4+Control!$B$7)</f>
        <v>KO</v>
      </c>
      <c r="H4" s="18">
        <f>IF(E4&gt;0,INDEX('Data Tab'!$AF$2:$AF$82,$E4+41),"")</f>
        <v>0.32899999999999996</v>
      </c>
      <c r="I4" s="18">
        <f>IF(E4&gt;0,INDEX('Data Tab'!$AC$2:$AC$82,$E4+41),"")</f>
        <v>0.37357575205809002</v>
      </c>
      <c r="J4" s="20">
        <f t="shared" si="0"/>
        <v>113.54886080793011</v>
      </c>
      <c r="L4" s="18">
        <f>IF(E4&gt;0,INDEX('Data Tab'!$AF$2:$AF$82,$E4+1),"")</f>
        <v>0.10800000000000001</v>
      </c>
      <c r="M4" s="18">
        <f>IF(E4&gt;0,INDEX('Data Tab'!$AC$2:$AC$82,$E4+1),"")</f>
        <v>0.13715955991083451</v>
      </c>
      <c r="N4" s="20">
        <f t="shared" si="1"/>
        <v>126.99959251003195</v>
      </c>
      <c r="AC4" s="17"/>
      <c r="AD4" s="18"/>
      <c r="AF4" s="17"/>
      <c r="AG4" s="18"/>
    </row>
    <row r="5" spans="1:33" x14ac:dyDescent="0.15">
      <c r="A5">
        <v>4</v>
      </c>
      <c r="B5" t="str">
        <f>INDEX('Data Tab'!A:A,$A5+Control!$B$7)</f>
        <v xml:space="preserve">Atlanta Braves </v>
      </c>
      <c r="C5" s="17">
        <f>INDEX('Data Tab'!B:B,$A5+Control!$B$7)</f>
        <v>376409</v>
      </c>
      <c r="D5" s="18">
        <f>INDEX('Data Tab'!C:C,$A5+Control!$B$7)</f>
        <v>0.25961246661811122</v>
      </c>
      <c r="E5">
        <f>INDEX('Data Tab'!D:D,$A5+Control!$B$7)</f>
        <v>17</v>
      </c>
      <c r="F5" t="str">
        <f>INDEX('Data Tab'!E:E,$A5+Control!$B$7)</f>
        <v>MLB</v>
      </c>
      <c r="G5" t="str">
        <f>INDEX('Data Tab'!F:F,$A5+Control!$B$7)</f>
        <v>KO</v>
      </c>
      <c r="H5" s="18">
        <f>IF(E5&gt;0,INDEX('Data Tab'!$AF$2:$AF$82,$E5+41),"")</f>
        <v>0.48599999999999999</v>
      </c>
      <c r="I5" s="18">
        <f>IF(E5&gt;0,INDEX('Data Tab'!$AC$2:$AC$82,$E5+41),"")</f>
        <v>0.40875019311836502</v>
      </c>
      <c r="J5" s="20">
        <f t="shared" si="0"/>
        <v>84.104978007894033</v>
      </c>
      <c r="L5" s="18">
        <f>IF(E5&gt;0,INDEX('Data Tab'!$AF$2:$AF$82,$E5+1),"")</f>
        <v>0.152</v>
      </c>
      <c r="M5" s="18">
        <f>IF(E5&gt;0,INDEX('Data Tab'!$AC$2:$AC$82,$E5+1),"")</f>
        <v>9.2437484826414174E-2</v>
      </c>
      <c r="N5" s="20">
        <f t="shared" si="1"/>
        <v>60.81413475421985</v>
      </c>
      <c r="AC5" s="17"/>
      <c r="AD5" s="18"/>
      <c r="AF5" s="17"/>
      <c r="AG5" s="18"/>
    </row>
    <row r="6" spans="1:33" x14ac:dyDescent="0.15">
      <c r="A6">
        <v>5</v>
      </c>
      <c r="B6" t="str">
        <f>INDEX('Data Tab'!A:A,$A6+Control!$B$7)</f>
        <v xml:space="preserve">Atlanta Falcons </v>
      </c>
      <c r="C6" s="17">
        <f>INDEX('Data Tab'!B:B,$A6+Control!$B$7)</f>
        <v>363388</v>
      </c>
      <c r="D6" s="18">
        <f>INDEX('Data Tab'!C:C,$A6+Control!$B$7)</f>
        <v>0.25063177293694411</v>
      </c>
      <c r="E6">
        <f>INDEX('Data Tab'!D:D,$A6+Control!$B$7)</f>
        <v>27</v>
      </c>
      <c r="F6" t="str">
        <f>INDEX('Data Tab'!E:E,$A6+Control!$B$7)</f>
        <v xml:space="preserve">NFL </v>
      </c>
      <c r="G6" t="str">
        <f>INDEX('Data Tab'!F:F,$A6+Control!$B$7)</f>
        <v>KO</v>
      </c>
      <c r="H6" s="18">
        <f>IF(E6&gt;0,INDEX('Data Tab'!$AF$2:$AF$82,$E6+41),"")</f>
        <v>0.61099999999999999</v>
      </c>
      <c r="I6" s="18">
        <f>IF(E6&gt;0,INDEX('Data Tab'!$AC$2:$AC$82,$E6+41),"")</f>
        <v>0.56860460945948932</v>
      </c>
      <c r="J6" s="20">
        <f t="shared" si="0"/>
        <v>93.061310877166818</v>
      </c>
      <c r="L6" s="18">
        <f>IF(E6&gt;0,INDEX('Data Tab'!$AF$2:$AF$82,$E6+1),"")</f>
        <v>0.28499999999999998</v>
      </c>
      <c r="M6" s="18">
        <f>IF(E6&gt;0,INDEX('Data Tab'!$AC$2:$AC$82,$E6+1),"")</f>
        <v>0.18639370765190139</v>
      </c>
      <c r="N6" s="20">
        <f t="shared" si="1"/>
        <v>65.401300930491729</v>
      </c>
      <c r="AC6" s="17"/>
      <c r="AD6" s="18"/>
      <c r="AF6" s="17"/>
      <c r="AG6" s="18"/>
    </row>
    <row r="7" spans="1:33" x14ac:dyDescent="0.15">
      <c r="A7">
        <v>6</v>
      </c>
      <c r="B7" t="str">
        <f>INDEX('Data Tab'!A:A,$A7+Control!$B$7)</f>
        <v xml:space="preserve">Auburn University Basketball </v>
      </c>
      <c r="C7" s="17">
        <f>INDEX('Data Tab'!B:B,$A7+Control!$B$7)</f>
        <v>269037</v>
      </c>
      <c r="D7" s="18">
        <f>INDEX('Data Tab'!C:C,$A7+Control!$B$7)</f>
        <v>0.18555709130636297</v>
      </c>
      <c r="E7">
        <f>INDEX('Data Tab'!D:D,$A7+Control!$B$7)</f>
        <v>4</v>
      </c>
      <c r="F7" t="str">
        <f>INDEX('Data Tab'!E:E,$A7+Control!$B$7)</f>
        <v>MCB</v>
      </c>
      <c r="G7" t="str">
        <f>INDEX('Data Tab'!F:F,$A7+Control!$B$7)</f>
        <v>KO</v>
      </c>
      <c r="H7" s="18">
        <f>IF(E7&gt;0,INDEX('Data Tab'!$AF$2:$AF$82,$E7+41),"")</f>
        <v>0.32899999999999996</v>
      </c>
      <c r="I7" s="18">
        <f>IF(E7&gt;0,INDEX('Data Tab'!$AC$2:$AC$82,$E7+41),"")</f>
        <v>0.37357575205809002</v>
      </c>
      <c r="J7" s="20">
        <f t="shared" si="0"/>
        <v>113.54886080793011</v>
      </c>
      <c r="L7" s="18">
        <f>IF(E7&gt;0,INDEX('Data Tab'!$AF$2:$AF$82,$E7+1),"")</f>
        <v>0.10800000000000001</v>
      </c>
      <c r="M7" s="18">
        <f>IF(E7&gt;0,INDEX('Data Tab'!$AC$2:$AC$82,$E7+1),"")</f>
        <v>0.13715955991083451</v>
      </c>
      <c r="N7" s="20">
        <f t="shared" si="1"/>
        <v>126.99959251003195</v>
      </c>
      <c r="AC7" s="17"/>
      <c r="AD7" s="18"/>
      <c r="AF7" s="17"/>
      <c r="AG7" s="18"/>
    </row>
    <row r="8" spans="1:33" x14ac:dyDescent="0.15">
      <c r="A8">
        <v>7</v>
      </c>
      <c r="B8" t="str">
        <f>INDEX('Data Tab'!A:A,$A8+Control!$B$7)</f>
        <v xml:space="preserve">UAB Blazers Football </v>
      </c>
      <c r="C8" s="17">
        <f>INDEX('Data Tab'!B:B,$A8+Control!$B$7)</f>
        <v>221894</v>
      </c>
      <c r="D8" s="18">
        <f>INDEX('Data Tab'!C:C,$A8+Control!$B$7)</f>
        <v>0.1530421660155819</v>
      </c>
      <c r="E8">
        <f>INDEX('Data Tab'!D:D,$A8+Control!$B$7)</f>
        <v>5</v>
      </c>
      <c r="F8" t="str">
        <f>INDEX('Data Tab'!E:E,$A8+Control!$B$7)</f>
        <v>CFB</v>
      </c>
      <c r="G8">
        <f>INDEX('Data Tab'!F:F,$A8+Control!$B$7)</f>
        <v>0</v>
      </c>
      <c r="H8" s="18">
        <f>IF(E8&gt;0,INDEX('Data Tab'!$AF$2:$AF$82,$E8+41),"")</f>
        <v>0.435</v>
      </c>
      <c r="I8" s="18">
        <f>IF(E8&gt;0,INDEX('Data Tab'!$AC$2:$AC$82,$E8+41),"")</f>
        <v>0.72446561389569397</v>
      </c>
      <c r="J8" s="20">
        <f>IFERROR((I8/H8)*100,"")</f>
        <v>166.54381928636644</v>
      </c>
      <c r="L8" s="18">
        <f>IF(E8&gt;0,INDEX('Data Tab'!$AF$2:$AF$82,$E8+1),"")</f>
        <v>0.18600000000000003</v>
      </c>
      <c r="M8" s="18">
        <f>IF(E8&gt;0,INDEX('Data Tab'!$AC$2:$AC$82,$E8+1),"")</f>
        <v>0.52005948045642147</v>
      </c>
      <c r="N8" s="20">
        <f>IFERROR((M8/L8)*100,"")</f>
        <v>279.60187121312981</v>
      </c>
      <c r="AC8" s="17"/>
      <c r="AD8" s="18"/>
      <c r="AF8" s="17"/>
      <c r="AG8" s="18"/>
    </row>
    <row r="9" spans="1:33" x14ac:dyDescent="0.15">
      <c r="A9">
        <v>8</v>
      </c>
      <c r="B9" t="str">
        <f>INDEX('Data Tab'!A:A,$A9+Control!$B$7)</f>
        <v xml:space="preserve">UAB Blazers Basketball </v>
      </c>
      <c r="C9" s="17">
        <f>INDEX('Data Tab'!B:B,$A9+Control!$B$7)</f>
        <v>205747</v>
      </c>
      <c r="D9" s="18">
        <f>INDEX('Data Tab'!C:C,$A9+Control!$B$7)</f>
        <v>0.14190544373082611</v>
      </c>
      <c r="E9">
        <f>INDEX('Data Tab'!D:D,$A9+Control!$B$7)</f>
        <v>4</v>
      </c>
      <c r="F9" t="str">
        <f>INDEX('Data Tab'!E:E,$A9+Control!$B$7)</f>
        <v>MCB</v>
      </c>
      <c r="G9">
        <f>INDEX('Data Tab'!F:F,$A9+Control!$B$7)</f>
        <v>0</v>
      </c>
      <c r="H9" s="18">
        <f>IF(E9&gt;0,INDEX('Data Tab'!$AF$2:$AF$82,$E9+41),"")</f>
        <v>0.32899999999999996</v>
      </c>
      <c r="I9" s="18">
        <f>IF(E9&gt;0,INDEX('Data Tab'!$AC$2:$AC$82,$E9+41),"")</f>
        <v>0.37357575205809002</v>
      </c>
      <c r="J9" s="20">
        <f>IFERROR((I9/H9)*100,"")</f>
        <v>113.54886080793011</v>
      </c>
      <c r="L9" s="18">
        <f>IF(E9&gt;0,INDEX('Data Tab'!$AF$2:$AF$82,$E9+1),"")</f>
        <v>0.10800000000000001</v>
      </c>
      <c r="M9" s="18">
        <f>IF(E9&gt;0,INDEX('Data Tab'!$AC$2:$AC$82,$E9+1),"")</f>
        <v>0.13715955991083451</v>
      </c>
      <c r="N9" s="20">
        <f>IFERROR((M9/L9)*100,"")</f>
        <v>126.99959251003195</v>
      </c>
      <c r="AC9" s="17"/>
      <c r="AD9" s="18"/>
      <c r="AF9" s="17"/>
      <c r="AG9" s="18"/>
    </row>
    <row r="10" spans="1:33" x14ac:dyDescent="0.15">
      <c r="A10">
        <v>9</v>
      </c>
      <c r="B10" t="str">
        <f>INDEX('Data Tab'!A:A,$A10+Control!$B$7)</f>
        <v xml:space="preserve">Atlanta Hawks </v>
      </c>
      <c r="C10" s="17">
        <f>INDEX('Data Tab'!B:B,$A10+Control!$B$7)</f>
        <v>147586</v>
      </c>
      <c r="D10" s="18">
        <f>INDEX('Data Tab'!C:C,$A10+Control!$B$7)</f>
        <v>0.1017913107771083</v>
      </c>
      <c r="E10">
        <f>INDEX('Data Tab'!D:D,$A10+Control!$B$7)</f>
        <v>26</v>
      </c>
      <c r="F10" t="str">
        <f>INDEX('Data Tab'!E:E,$A10+Control!$B$7)</f>
        <v xml:space="preserve">NBA </v>
      </c>
      <c r="G10" t="str">
        <f>INDEX('Data Tab'!F:F,$A10+Control!$B$7)</f>
        <v>KO</v>
      </c>
      <c r="H10" s="18">
        <f>IF(E10&gt;0,INDEX('Data Tab'!$AF$2:$AF$82,$E10+41),"")</f>
        <v>0.34799999999999998</v>
      </c>
      <c r="I10" s="18">
        <f>IF(E10&gt;0,INDEX('Data Tab'!$AC$2:$AC$82,$E10+41),"")</f>
        <v>0.31271932728596968</v>
      </c>
      <c r="J10" s="20">
        <f>IFERROR((I10/H10)*100,"")</f>
        <v>89.861875656887847</v>
      </c>
      <c r="L10" s="18">
        <f>IF(E10&gt;0,INDEX('Data Tab'!$AF$2:$AF$82,$E10+1),"")</f>
        <v>9.6999999999999989E-2</v>
      </c>
      <c r="M10" s="18">
        <f>IF(E10&gt;0,INDEX('Data Tab'!$AC$2:$AC$82,$E10+1),"")</f>
        <v>9.494940298836875E-2</v>
      </c>
      <c r="N10" s="20">
        <f>IFERROR((M10/L10)*100,"")</f>
        <v>97.88598246223583</v>
      </c>
      <c r="AC10" s="17"/>
      <c r="AD10" s="18"/>
      <c r="AF10" s="17"/>
      <c r="AG10" s="18"/>
    </row>
    <row r="11" spans="1:33" x14ac:dyDescent="0.15">
      <c r="A11">
        <v>10</v>
      </c>
      <c r="B11" t="str">
        <f>INDEX('Data Tab'!A:A,$A11+Control!$B$7)</f>
        <v xml:space="preserve">Troy University Football </v>
      </c>
      <c r="C11" s="17">
        <f>INDEX('Data Tab'!B:B,$A11+Control!$B$7)</f>
        <v>111162</v>
      </c>
      <c r="D11" s="18">
        <f>INDEX('Data Tab'!C:C,$A11+Control!$B$7)</f>
        <v>7.6669370323776728E-2</v>
      </c>
      <c r="E11">
        <f>INDEX('Data Tab'!D:D,$A11+Control!$B$7)</f>
        <v>5</v>
      </c>
      <c r="F11" t="str">
        <f>INDEX('Data Tab'!E:E,$A11+Control!$B$7)</f>
        <v>CFB</v>
      </c>
      <c r="G11" t="str">
        <f>INDEX('Data Tab'!F:F,$A11+Control!$B$7)</f>
        <v>KO</v>
      </c>
      <c r="H11" s="18">
        <f>IF(E11&gt;0,INDEX('Data Tab'!$AF$2:$AF$82,$E11+41),"")</f>
        <v>0.435</v>
      </c>
      <c r="I11" s="18">
        <f>IF(E11&gt;0,INDEX('Data Tab'!$AC$2:$AC$82,$E11+41),"")</f>
        <v>0.72446561389569397</v>
      </c>
      <c r="J11" s="20">
        <f>IFERROR((I11/H11)*100,"")</f>
        <v>166.54381928636644</v>
      </c>
      <c r="L11" s="18">
        <f>IF(E11&gt;0,INDEX('Data Tab'!$AF$2:$AF$82,$E11+1),"")</f>
        <v>0.18600000000000003</v>
      </c>
      <c r="M11" s="18">
        <f>IF(E11&gt;0,INDEX('Data Tab'!$AC$2:$AC$82,$E11+1),"")</f>
        <v>0.52005948045642147</v>
      </c>
      <c r="N11" s="20">
        <f>IFERROR((M11/L11)*100,"")</f>
        <v>279.60187121312981</v>
      </c>
      <c r="AC11" s="17"/>
      <c r="AD11" s="18"/>
      <c r="AF11" s="17"/>
      <c r="AG11" s="18"/>
    </row>
    <row r="12" spans="1:33" x14ac:dyDescent="0.15">
      <c r="AC12" s="17"/>
      <c r="AD12" s="18"/>
      <c r="AF12" s="17"/>
      <c r="AG12" s="18"/>
    </row>
    <row r="13" spans="1:33" x14ac:dyDescent="0.15">
      <c r="C13" t="s">
        <v>1318</v>
      </c>
      <c r="D13" t="s">
        <v>810</v>
      </c>
      <c r="F13" t="s">
        <v>1347</v>
      </c>
      <c r="G13" t="s">
        <v>1348</v>
      </c>
      <c r="AC13" s="17"/>
      <c r="AD13" s="18"/>
      <c r="AF13" s="17"/>
      <c r="AG13" s="18"/>
    </row>
    <row r="14" spans="1:33" x14ac:dyDescent="0.15">
      <c r="A14">
        <v>9</v>
      </c>
      <c r="B14" t="str">
        <f>VLOOKUP(INDEX('Data Tab'!$AH$3:$AH$42,Display!$A14+Control!$B$10),Validation!$A$2:$B$41,2,FALSE)</f>
        <v xml:space="preserve">NBA </v>
      </c>
      <c r="C14" s="18">
        <f>INDEX('Data Tab'!$AN$3:$AN$42,Display!$A14+Control!$B$10)</f>
        <v>0.34799999999999998</v>
      </c>
      <c r="D14" s="18">
        <f>INDEX('Data Tab'!$AK$3:$AK$42,Display!$A14+Control!$B$10)</f>
        <v>0.31271932728596968</v>
      </c>
      <c r="F14">
        <f>MIN(MAX('Data Tab'!$AK$3,'Data Tab'!$AN$3)*1.15,1)</f>
        <v>0.83313545598004801</v>
      </c>
      <c r="G14">
        <f>MAX(MIN('Data Tab'!$AK$43,'Data Tab'!$AN$43)-0.1*MIN('Data Tab'!$AK$43,'Data Tab'!$AN$43),0)</f>
        <v>0</v>
      </c>
      <c r="AC14" s="17"/>
      <c r="AD14" s="18"/>
      <c r="AF14" s="17"/>
      <c r="AG14" s="18"/>
    </row>
    <row r="15" spans="1:33" x14ac:dyDescent="0.15">
      <c r="A15">
        <v>8</v>
      </c>
      <c r="B15" t="str">
        <f>VLOOKUP(INDEX('Data Tab'!$AH$3:$AH$42,Display!$A15+Control!$B$10),Validation!$A$2:$B$41,2,FALSE)</f>
        <v xml:space="preserve">College Baseball </v>
      </c>
      <c r="C15" s="18">
        <f>INDEX('Data Tab'!$AN$3:$AN$42,Display!$A15+Control!$B$10)</f>
        <v>0.193</v>
      </c>
      <c r="D15" s="18">
        <f>INDEX('Data Tab'!$AK$3:$AK$42,Display!$A15+Control!$B$10)</f>
        <v>0.31463395793330245</v>
      </c>
      <c r="AC15" s="17"/>
      <c r="AD15" s="18"/>
      <c r="AF15" s="17"/>
      <c r="AG15" s="18"/>
    </row>
    <row r="16" spans="1:33" x14ac:dyDescent="0.15">
      <c r="A16">
        <v>7</v>
      </c>
      <c r="B16" t="str">
        <f>VLOOKUP(INDEX('Data Tab'!$AH$3:$AH$42,Display!$A16+Control!$B$10),Validation!$A$2:$B$41,2,FALSE)</f>
        <v xml:space="preserve">NASCAR </v>
      </c>
      <c r="C16" s="18">
        <f>INDEX('Data Tab'!$AN$3:$AN$42,Display!$A16+Control!$B$10)</f>
        <v>0.26</v>
      </c>
      <c r="D16" s="18">
        <f>INDEX('Data Tab'!$AK$3:$AK$42,Display!$A16+Control!$B$10)</f>
        <v>0.32533340506301178</v>
      </c>
      <c r="AC16" s="17"/>
      <c r="AD16" s="18"/>
      <c r="AF16" s="17"/>
      <c r="AG16" s="18"/>
    </row>
    <row r="17" spans="1:33" x14ac:dyDescent="0.15">
      <c r="A17">
        <v>6</v>
      </c>
      <c r="B17" t="str">
        <f>VLOOKUP(INDEX('Data Tab'!$AH$3:$AH$42,Display!$A17+Control!$B$10),Validation!$A$2:$B$41,2,FALSE)</f>
        <v xml:space="preserve">Gymnastics </v>
      </c>
      <c r="C17" s="18">
        <f>INDEX('Data Tab'!$AN$3:$AN$42,Display!$A17+Control!$B$10)</f>
        <v>0.33</v>
      </c>
      <c r="D17" s="18">
        <f>INDEX('Data Tab'!$AK$3:$AK$42,Display!$A17+Control!$B$10)</f>
        <v>0.36492060076364519</v>
      </c>
      <c r="AC17" s="17"/>
      <c r="AD17" s="18"/>
      <c r="AF17" s="17"/>
      <c r="AG17" s="18"/>
    </row>
    <row r="18" spans="1:33" x14ac:dyDescent="0.15">
      <c r="A18">
        <v>5</v>
      </c>
      <c r="B18" t="str">
        <f>VLOOKUP(INDEX('Data Tab'!$AH$3:$AH$42,Display!$A18+Control!$B$10),Validation!$A$2:$B$41,2,FALSE)</f>
        <v xml:space="preserve">College Basketball </v>
      </c>
      <c r="C18" s="18">
        <f>INDEX('Data Tab'!$AN$3:$AN$42,Display!$A18+Control!$B$10)</f>
        <v>0.32899999999999996</v>
      </c>
      <c r="D18" s="18">
        <f>INDEX('Data Tab'!$AK$3:$AK$42,Display!$A18+Control!$B$10)</f>
        <v>0.37357575205809002</v>
      </c>
      <c r="AC18" s="17"/>
      <c r="AD18" s="18"/>
      <c r="AF18" s="17"/>
      <c r="AG18" s="18"/>
    </row>
    <row r="19" spans="1:33" x14ac:dyDescent="0.15">
      <c r="A19">
        <v>4</v>
      </c>
      <c r="B19" t="str">
        <f>VLOOKUP(INDEX('Data Tab'!$AH$3:$AH$42,Display!$A19+Control!$B$10),Validation!$A$2:$B$41,2,FALSE)</f>
        <v xml:space="preserve">High School Sports </v>
      </c>
      <c r="C19" s="18">
        <f>INDEX('Data Tab'!$AN$3:$AN$42,Display!$A19+Control!$B$10)</f>
        <v>0.28300000000000003</v>
      </c>
      <c r="D19" s="18">
        <f>INDEX('Data Tab'!$AK$3:$AK$42,Display!$A19+Control!$B$10)</f>
        <v>0.40132755081771831</v>
      </c>
      <c r="AC19" s="17"/>
      <c r="AD19" s="18"/>
      <c r="AF19" s="17"/>
      <c r="AG19" s="18"/>
    </row>
    <row r="20" spans="1:33" x14ac:dyDescent="0.15">
      <c r="A20">
        <v>3</v>
      </c>
      <c r="B20" t="str">
        <f>VLOOKUP(INDEX('Data Tab'!$AH$3:$AH$42,Display!$A20+Control!$B$10),Validation!$A$2:$B$41,2,FALSE)</f>
        <v xml:space="preserve">MLB </v>
      </c>
      <c r="C20" s="18">
        <f>INDEX('Data Tab'!$AN$3:$AN$42,Display!$A20+Control!$B$10)</f>
        <v>0.48599999999999999</v>
      </c>
      <c r="D20" s="18">
        <f>INDEX('Data Tab'!$AK$3:$AK$42,Display!$A20+Control!$B$10)</f>
        <v>0.40875019311836502</v>
      </c>
      <c r="AC20" s="17"/>
      <c r="AD20" s="18"/>
      <c r="AF20" s="17"/>
      <c r="AG20" s="18"/>
    </row>
    <row r="21" spans="1:33" x14ac:dyDescent="0.15">
      <c r="A21">
        <v>2</v>
      </c>
      <c r="B21" t="str">
        <f>VLOOKUP(INDEX('Data Tab'!$AH$3:$AH$42,Display!$A21+Control!$B$10),Validation!$A$2:$B$41,2,FALSE)</f>
        <v xml:space="preserve">Olympics </v>
      </c>
      <c r="C21" s="18">
        <f>INDEX('Data Tab'!$AN$3:$AN$42,Display!$A21+Control!$B$10)</f>
        <v>0.55700000000000005</v>
      </c>
      <c r="D21" s="18">
        <f>INDEX('Data Tab'!$AK$3:$AK$42,Display!$A21+Control!$B$10)</f>
        <v>0.55309651504116175</v>
      </c>
      <c r="AC21" s="17"/>
      <c r="AD21" s="18"/>
      <c r="AF21" s="17"/>
      <c r="AG21" s="18"/>
    </row>
    <row r="22" spans="1:33" x14ac:dyDescent="0.15">
      <c r="A22">
        <v>1</v>
      </c>
      <c r="B22" t="str">
        <f>VLOOKUP(INDEX('Data Tab'!$AH$3:$AH$42,Display!$A22+Control!$B$10),Validation!$A$2:$B$41,2,FALSE)</f>
        <v xml:space="preserve">NFL </v>
      </c>
      <c r="C22" s="18">
        <f>INDEX('Data Tab'!$AN$3:$AN$42,Display!$A22+Control!$B$10)</f>
        <v>0.61099999999999999</v>
      </c>
      <c r="D22" s="18">
        <f>INDEX('Data Tab'!$AK$3:$AK$42,Display!$A22+Control!$B$10)</f>
        <v>0.56860460945948932</v>
      </c>
      <c r="AC22" s="17"/>
      <c r="AD22" s="18"/>
      <c r="AF22" s="17"/>
      <c r="AG22" s="18"/>
    </row>
    <row r="23" spans="1:33" x14ac:dyDescent="0.15">
      <c r="A23">
        <v>0</v>
      </c>
      <c r="B23" t="str">
        <f>VLOOKUP(INDEX('Data Tab'!$AH$3:$AH$42,Display!$A23+Control!$B$10),Validation!$A$2:$B$41,2,FALSE)</f>
        <v xml:space="preserve">College Football </v>
      </c>
      <c r="C23" s="18">
        <f>INDEX('Data Tab'!$AN$3:$AN$42,Display!$A23+Control!$B$10)</f>
        <v>0.435</v>
      </c>
      <c r="D23" s="18">
        <f>INDEX('Data Tab'!$AK$3:$AK$42,Display!$A23+Control!$B$10)</f>
        <v>0.72446561389569397</v>
      </c>
      <c r="AC23" s="17"/>
      <c r="AD23" s="18"/>
      <c r="AF23" s="17"/>
      <c r="AG23" s="18"/>
    </row>
    <row r="24" spans="1:33" x14ac:dyDescent="0.15">
      <c r="AC24" s="17"/>
      <c r="AD24" s="18"/>
      <c r="AF24" s="17"/>
      <c r="AG24" s="18"/>
    </row>
    <row r="25" spans="1:33" x14ac:dyDescent="0.15">
      <c r="F25" t="s">
        <v>1347</v>
      </c>
      <c r="G25" t="s">
        <v>1348</v>
      </c>
      <c r="AC25" s="17"/>
      <c r="AD25" s="18"/>
      <c r="AF25" s="17"/>
      <c r="AG25" s="18"/>
    </row>
    <row r="26" spans="1:33" x14ac:dyDescent="0.15">
      <c r="A26">
        <v>10</v>
      </c>
      <c r="B26" t="str">
        <f>IF(INDEX('Data Tab'!A:A,$A26+Control!$B$13)&gt;0,INDEX('Data Tab'!A:A,$A26+Control!$B$13),"")</f>
        <v xml:space="preserve">Troy University Football </v>
      </c>
      <c r="C26" s="17">
        <f>IF(INDEX('Data Tab'!B:B,$A26+Control!$B$13)&gt;0,INDEX('Data Tab'!B:B,$A26+Control!$B$13),"")</f>
        <v>111162</v>
      </c>
      <c r="D26" t="str">
        <f>IF(INDEX('Data Tab'!E:E,$A26+Control!$B$13)&gt;0,INDEX('Data Tab'!E:E,$A26+Control!$B$13),"")</f>
        <v>CFB</v>
      </c>
      <c r="E26" t="str">
        <f>IF(LEN(B26)&gt;1,CONCATENATE(B26,", ",D26),"")</f>
        <v>Troy University Football , CFB</v>
      </c>
      <c r="F26" s="17">
        <f>'Data Tab'!B2*1.15</f>
        <v>1087584.8999999999</v>
      </c>
      <c r="G26" s="17">
        <f>MIN('Data Tab'!B2:B98)*0.8</f>
        <v>88929.600000000006</v>
      </c>
      <c r="AC26" s="17"/>
      <c r="AD26" s="18"/>
      <c r="AF26" s="17"/>
      <c r="AG26" s="18"/>
    </row>
    <row r="27" spans="1:33" x14ac:dyDescent="0.15">
      <c r="A27">
        <v>9</v>
      </c>
      <c r="B27" t="str">
        <f>IF(INDEX('Data Tab'!A:A,$A27+Control!$B$13)&gt;0,INDEX('Data Tab'!A:A,$A27+Control!$B$13),"")</f>
        <v xml:space="preserve">Atlanta Hawks </v>
      </c>
      <c r="C27" s="17">
        <f>IF(INDEX('Data Tab'!B:B,$A27+Control!$B$13)&gt;0,INDEX('Data Tab'!B:B,$A27+Control!$B$13),"")</f>
        <v>147586</v>
      </c>
      <c r="D27" t="str">
        <f>IF(INDEX('Data Tab'!E:E,$A27+Control!$B$13)&gt;0,INDEX('Data Tab'!E:E,$A27+Control!$B$13),"")</f>
        <v xml:space="preserve">NBA </v>
      </c>
      <c r="E27" t="str">
        <f t="shared" ref="E27:E35" si="2">IF(LEN(B27)&gt;1,CONCATENATE(B27,", ",D27),"")</f>
        <v xml:space="preserve">Atlanta Hawks , NBA </v>
      </c>
      <c r="AC27" s="17"/>
      <c r="AD27" s="18"/>
      <c r="AF27" s="17"/>
      <c r="AG27" s="18"/>
    </row>
    <row r="28" spans="1:33" x14ac:dyDescent="0.15">
      <c r="A28">
        <v>8</v>
      </c>
      <c r="B28" t="str">
        <f>IF(INDEX('Data Tab'!A:A,$A28+Control!$B$13)&gt;0,INDEX('Data Tab'!A:A,$A28+Control!$B$13),"")</f>
        <v xml:space="preserve">UAB Blazers Basketball </v>
      </c>
      <c r="C28" s="17">
        <f>IF(INDEX('Data Tab'!B:B,$A28+Control!$B$13)&gt;0,INDEX('Data Tab'!B:B,$A28+Control!$B$13),"")</f>
        <v>205747</v>
      </c>
      <c r="D28" t="str">
        <f>IF(INDEX('Data Tab'!E:E,$A28+Control!$B$13)&gt;0,INDEX('Data Tab'!E:E,$A28+Control!$B$13),"")</f>
        <v>MCB</v>
      </c>
      <c r="E28" t="str">
        <f t="shared" si="2"/>
        <v>UAB Blazers Basketball , MCB</v>
      </c>
      <c r="AC28" s="17"/>
      <c r="AD28" s="18"/>
      <c r="AF28" s="17"/>
      <c r="AG28" s="18"/>
    </row>
    <row r="29" spans="1:33" x14ac:dyDescent="0.15">
      <c r="A29">
        <v>7</v>
      </c>
      <c r="B29" t="str">
        <f>IF(INDEX('Data Tab'!A:A,$A29+Control!$B$13)&gt;0,INDEX('Data Tab'!A:A,$A29+Control!$B$13),"")</f>
        <v xml:space="preserve">UAB Blazers Football </v>
      </c>
      <c r="C29" s="17">
        <f>IF(INDEX('Data Tab'!B:B,$A29+Control!$B$13)&gt;0,INDEX('Data Tab'!B:B,$A29+Control!$B$13),"")</f>
        <v>221894</v>
      </c>
      <c r="D29" t="str">
        <f>IF(INDEX('Data Tab'!E:E,$A29+Control!$B$13)&gt;0,INDEX('Data Tab'!E:E,$A29+Control!$B$13),"")</f>
        <v>CFB</v>
      </c>
      <c r="E29" t="str">
        <f t="shared" si="2"/>
        <v>UAB Blazers Football , CFB</v>
      </c>
      <c r="AC29" s="17"/>
      <c r="AD29" s="18"/>
      <c r="AF29" s="17"/>
      <c r="AG29" s="18"/>
    </row>
    <row r="30" spans="1:33" x14ac:dyDescent="0.15">
      <c r="A30">
        <v>6</v>
      </c>
      <c r="B30" t="str">
        <f>IF(INDEX('Data Tab'!A:A,$A30+Control!$B$13)&gt;0,INDEX('Data Tab'!A:A,$A30+Control!$B$13),"")</f>
        <v xml:space="preserve">Auburn University Basketball </v>
      </c>
      <c r="C30" s="17">
        <f>IF(INDEX('Data Tab'!B:B,$A30+Control!$B$13)&gt;0,INDEX('Data Tab'!B:B,$A30+Control!$B$13),"")</f>
        <v>269037</v>
      </c>
      <c r="D30" t="str">
        <f>IF(INDEX('Data Tab'!E:E,$A30+Control!$B$13)&gt;0,INDEX('Data Tab'!E:E,$A30+Control!$B$13),"")</f>
        <v>MCB</v>
      </c>
      <c r="E30" t="str">
        <f t="shared" si="2"/>
        <v>Auburn University Basketball , MCB</v>
      </c>
      <c r="AC30" s="17"/>
      <c r="AD30" s="18"/>
      <c r="AF30" s="17"/>
      <c r="AG30" s="18"/>
    </row>
    <row r="31" spans="1:33" x14ac:dyDescent="0.15">
      <c r="A31">
        <v>5</v>
      </c>
      <c r="B31" t="str">
        <f>IF(INDEX('Data Tab'!A:A,$A31+Control!$B$13)&gt;0,INDEX('Data Tab'!A:A,$A31+Control!$B$13),"")</f>
        <v xml:space="preserve">Atlanta Falcons </v>
      </c>
      <c r="C31" s="17">
        <f>IF(INDEX('Data Tab'!B:B,$A31+Control!$B$13)&gt;0,INDEX('Data Tab'!B:B,$A31+Control!$B$13),"")</f>
        <v>363388</v>
      </c>
      <c r="D31" t="str">
        <f>IF(INDEX('Data Tab'!E:E,$A31+Control!$B$13)&gt;0,INDEX('Data Tab'!E:E,$A31+Control!$B$13),"")</f>
        <v xml:space="preserve">NFL </v>
      </c>
      <c r="E31" t="str">
        <f t="shared" si="2"/>
        <v xml:space="preserve">Atlanta Falcons , NFL </v>
      </c>
      <c r="AC31" s="17"/>
      <c r="AD31" s="18"/>
      <c r="AF31" s="17"/>
      <c r="AG31" s="18"/>
    </row>
    <row r="32" spans="1:33" x14ac:dyDescent="0.15">
      <c r="A32">
        <v>4</v>
      </c>
      <c r="B32" t="str">
        <f>IF(INDEX('Data Tab'!A:A,$A32+Control!$B$13)&gt;0,INDEX('Data Tab'!A:A,$A32+Control!$B$13),"")</f>
        <v xml:space="preserve">Atlanta Braves </v>
      </c>
      <c r="C32" s="17">
        <f>IF(INDEX('Data Tab'!B:B,$A32+Control!$B$13)&gt;0,INDEX('Data Tab'!B:B,$A32+Control!$B$13),"")</f>
        <v>376409</v>
      </c>
      <c r="D32" t="str">
        <f>IF(INDEX('Data Tab'!E:E,$A32+Control!$B$13)&gt;0,INDEX('Data Tab'!E:E,$A32+Control!$B$13),"")</f>
        <v>MLB</v>
      </c>
      <c r="E32" t="str">
        <f t="shared" si="2"/>
        <v>Atlanta Braves , MLB</v>
      </c>
      <c r="AC32" s="17"/>
      <c r="AD32" s="18"/>
      <c r="AF32" s="17"/>
      <c r="AG32" s="18"/>
    </row>
    <row r="33" spans="1:33" x14ac:dyDescent="0.15">
      <c r="A33">
        <v>3</v>
      </c>
      <c r="B33" t="str">
        <f>IF(INDEX('Data Tab'!A:A,$A33+Control!$B$13)&gt;0,INDEX('Data Tab'!A:A,$A33+Control!$B$13),"")</f>
        <v xml:space="preserve">University of Alabama Basketball </v>
      </c>
      <c r="C33" s="17">
        <f>IF(INDEX('Data Tab'!B:B,$A33+Control!$B$13)&gt;0,INDEX('Data Tab'!B:B,$A33+Control!$B$13),"")</f>
        <v>471392</v>
      </c>
      <c r="D33" t="str">
        <f>IF(INDEX('Data Tab'!E:E,$A33+Control!$B$13)&gt;0,INDEX('Data Tab'!E:E,$A33+Control!$B$13),"")</f>
        <v>MCB</v>
      </c>
      <c r="E33" t="str">
        <f t="shared" si="2"/>
        <v>University of Alabama Basketball , MCB</v>
      </c>
      <c r="AC33" s="17"/>
      <c r="AD33" s="18"/>
      <c r="AF33" s="17"/>
      <c r="AG33" s="18"/>
    </row>
    <row r="34" spans="1:33" x14ac:dyDescent="0.15">
      <c r="A34">
        <v>2</v>
      </c>
      <c r="B34" t="str">
        <f>IF(INDEX('Data Tab'!A:A,$A34+Control!$B$13)&gt;0,INDEX('Data Tab'!A:A,$A34+Control!$B$13),"")</f>
        <v xml:space="preserve">Auburn University Football </v>
      </c>
      <c r="C34" s="17">
        <f>IF(INDEX('Data Tab'!B:B,$A34+Control!$B$13)&gt;0,INDEX('Data Tab'!B:B,$A34+Control!$B$13),"")</f>
        <v>631784</v>
      </c>
      <c r="D34" t="str">
        <f>IF(INDEX('Data Tab'!E:E,$A34+Control!$B$13)&gt;0,INDEX('Data Tab'!E:E,$A34+Control!$B$13),"")</f>
        <v>CFB</v>
      </c>
      <c r="E34" t="str">
        <f t="shared" si="2"/>
        <v>Auburn University Football , CFB</v>
      </c>
      <c r="AC34" s="17"/>
      <c r="AD34" s="18"/>
      <c r="AF34" s="17"/>
      <c r="AG34" s="18"/>
    </row>
    <row r="35" spans="1:33" x14ac:dyDescent="0.15">
      <c r="A35">
        <v>1</v>
      </c>
      <c r="B35" t="str">
        <f>IF(INDEX('Data Tab'!A:A,$A35+Control!$B$13)&gt;0,INDEX('Data Tab'!A:A,$A35+Control!$B$13),"")</f>
        <v xml:space="preserve">University of Alabama Football </v>
      </c>
      <c r="C35" s="17">
        <f>IF(INDEX('Data Tab'!B:B,$A35+Control!$B$13)&gt;0,INDEX('Data Tab'!B:B,$A35+Control!$B$13),"")</f>
        <v>945726</v>
      </c>
      <c r="D35" t="str">
        <f>IF(INDEX('Data Tab'!E:E,$A35+Control!$B$13)&gt;0,INDEX('Data Tab'!E:E,$A35+Control!$B$13),"")</f>
        <v>CFB</v>
      </c>
      <c r="E35" t="str">
        <f t="shared" si="2"/>
        <v>University of Alabama Football , CFB</v>
      </c>
      <c r="AC35" s="17"/>
      <c r="AD35" s="18"/>
      <c r="AF35" s="17"/>
      <c r="AG35" s="18"/>
    </row>
    <row r="36" spans="1:33" x14ac:dyDescent="0.15">
      <c r="AC36" s="17"/>
      <c r="AD36" s="18"/>
      <c r="AF36" s="17"/>
      <c r="AG36" s="18"/>
    </row>
    <row r="37" spans="1:33" x14ac:dyDescent="0.15">
      <c r="AC37" s="17"/>
      <c r="AD37" s="18"/>
      <c r="AF37" s="17"/>
      <c r="AG37" s="18"/>
    </row>
    <row r="38" spans="1:33" x14ac:dyDescent="0.15">
      <c r="AC38" s="17"/>
      <c r="AD38" s="18"/>
      <c r="AF38" s="17"/>
      <c r="AG38" s="18"/>
    </row>
    <row r="39" spans="1:33" x14ac:dyDescent="0.15">
      <c r="AC39" s="17"/>
      <c r="AD39" s="18"/>
      <c r="AF39" s="17"/>
      <c r="AG39" s="18"/>
    </row>
    <row r="40" spans="1:33" x14ac:dyDescent="0.15">
      <c r="AC40" s="17"/>
      <c r="AD40" s="18"/>
      <c r="AF40" s="17"/>
      <c r="AG40" s="18"/>
    </row>
    <row r="41" spans="1:33" x14ac:dyDescent="0.15">
      <c r="AC41" s="17"/>
      <c r="AD41" s="18"/>
      <c r="AF41" s="17"/>
      <c r="AG41" s="18"/>
    </row>
    <row r="42" spans="1:33" x14ac:dyDescent="0.15">
      <c r="AC42" s="17"/>
      <c r="AD42" s="18"/>
      <c r="AF42" s="17"/>
      <c r="AG42" s="18"/>
    </row>
    <row r="43" spans="1:33" x14ac:dyDescent="0.15">
      <c r="AC43" s="17"/>
      <c r="AD43" s="18"/>
      <c r="AF43" s="17"/>
      <c r="AG43" s="18"/>
    </row>
    <row r="44" spans="1:33" x14ac:dyDescent="0.15">
      <c r="AC44" s="17"/>
      <c r="AD44" s="18"/>
      <c r="AF44" s="17"/>
      <c r="AG44" s="18"/>
    </row>
    <row r="45" spans="1:33" x14ac:dyDescent="0.15">
      <c r="AC45" s="17"/>
      <c r="AD45" s="18"/>
      <c r="AF45" s="17"/>
      <c r="AG45" s="18"/>
    </row>
    <row r="46" spans="1:33" x14ac:dyDescent="0.15">
      <c r="AC46" s="17"/>
      <c r="AD46" s="18"/>
      <c r="AF46" s="17"/>
      <c r="AG46" s="18"/>
    </row>
    <row r="47" spans="1:33" x14ac:dyDescent="0.15">
      <c r="AC47" s="17"/>
      <c r="AD47" s="18"/>
      <c r="AF47" s="17"/>
      <c r="AG47" s="18"/>
    </row>
    <row r="48" spans="1:33" x14ac:dyDescent="0.15">
      <c r="AC48" s="17"/>
      <c r="AD48" s="18"/>
      <c r="AF48" s="17"/>
      <c r="AG48" s="18"/>
    </row>
    <row r="49" spans="29:33" x14ac:dyDescent="0.15">
      <c r="AC49" s="17"/>
      <c r="AD49" s="18"/>
      <c r="AF49" s="17"/>
      <c r="AG49" s="18"/>
    </row>
    <row r="50" spans="29:33" x14ac:dyDescent="0.15">
      <c r="AC50" s="17"/>
      <c r="AD50" s="18"/>
      <c r="AF50" s="17"/>
      <c r="AG50" s="18"/>
    </row>
    <row r="51" spans="29:33" x14ac:dyDescent="0.15">
      <c r="AC51" s="17"/>
      <c r="AD51" s="18"/>
      <c r="AF51" s="17"/>
      <c r="AG51" s="18"/>
    </row>
    <row r="52" spans="29:33" x14ac:dyDescent="0.15">
      <c r="AC52" s="17"/>
      <c r="AD52" s="18"/>
      <c r="AF52" s="17"/>
      <c r="AG52" s="18"/>
    </row>
    <row r="53" spans="29:33" x14ac:dyDescent="0.15">
      <c r="AC53" s="17"/>
      <c r="AD53" s="18"/>
      <c r="AF53" s="17"/>
      <c r="AG53" s="18"/>
    </row>
    <row r="54" spans="29:33" x14ac:dyDescent="0.15">
      <c r="AC54" s="17"/>
      <c r="AD54" s="18"/>
      <c r="AF54" s="17"/>
      <c r="AG54" s="18"/>
    </row>
    <row r="55" spans="29:33" x14ac:dyDescent="0.15">
      <c r="AC55" s="17"/>
      <c r="AD55" s="18"/>
      <c r="AF55" s="17"/>
      <c r="AG55" s="18"/>
    </row>
    <row r="56" spans="29:33" x14ac:dyDescent="0.15">
      <c r="AC56" s="17"/>
      <c r="AD56" s="18"/>
      <c r="AF56" s="17"/>
      <c r="AG56" s="18"/>
    </row>
    <row r="57" spans="29:33" x14ac:dyDescent="0.15">
      <c r="AC57" s="17"/>
      <c r="AD57" s="18"/>
      <c r="AF57" s="17"/>
      <c r="AG57" s="18"/>
    </row>
    <row r="58" spans="29:33" x14ac:dyDescent="0.15">
      <c r="AC58" s="17"/>
      <c r="AD58" s="18"/>
      <c r="AF58" s="17"/>
      <c r="AG58" s="18"/>
    </row>
    <row r="59" spans="29:33" x14ac:dyDescent="0.15">
      <c r="AC59" s="17"/>
      <c r="AD59" s="18"/>
      <c r="AF59" s="17"/>
      <c r="AG59" s="18"/>
    </row>
    <row r="60" spans="29:33" x14ac:dyDescent="0.15">
      <c r="AC60" s="17"/>
      <c r="AD60" s="18"/>
      <c r="AF60" s="17"/>
      <c r="AG60" s="18"/>
    </row>
    <row r="61" spans="29:33" x14ac:dyDescent="0.15">
      <c r="AC61" s="17"/>
      <c r="AD61" s="18"/>
      <c r="AF61" s="17"/>
      <c r="AG61" s="18"/>
    </row>
    <row r="62" spans="29:33" x14ac:dyDescent="0.15">
      <c r="AC62" s="17"/>
      <c r="AD62" s="18"/>
      <c r="AF62" s="17"/>
      <c r="AG62" s="18"/>
    </row>
    <row r="63" spans="29:33" x14ac:dyDescent="0.15">
      <c r="AC63" s="17"/>
      <c r="AD63" s="18"/>
      <c r="AF63" s="17"/>
      <c r="AG63" s="18"/>
    </row>
    <row r="64" spans="29:33" x14ac:dyDescent="0.15">
      <c r="AC64" s="17"/>
      <c r="AD64" s="18"/>
      <c r="AF64" s="17"/>
      <c r="AG64" s="18"/>
    </row>
    <row r="65" spans="29:33" x14ac:dyDescent="0.15">
      <c r="AC65" s="17"/>
      <c r="AD65" s="18"/>
      <c r="AF65" s="17"/>
      <c r="AG65" s="18"/>
    </row>
    <row r="66" spans="29:33" x14ac:dyDescent="0.15">
      <c r="AC66" s="17"/>
      <c r="AD66" s="18"/>
      <c r="AF66" s="17"/>
      <c r="AG66" s="18"/>
    </row>
    <row r="67" spans="29:33" x14ac:dyDescent="0.15">
      <c r="AC67" s="17"/>
      <c r="AD67" s="18"/>
      <c r="AF67" s="17"/>
      <c r="AG67" s="18"/>
    </row>
    <row r="68" spans="29:33" x14ac:dyDescent="0.15">
      <c r="AC68" s="17"/>
      <c r="AD68" s="18"/>
      <c r="AF68" s="17"/>
      <c r="AG68" s="18"/>
    </row>
    <row r="69" spans="29:33" x14ac:dyDescent="0.15">
      <c r="AC69" s="17"/>
      <c r="AD69" s="18"/>
      <c r="AF69" s="17"/>
      <c r="AG69" s="18"/>
    </row>
    <row r="70" spans="29:33" x14ac:dyDescent="0.15">
      <c r="AC70" s="17"/>
      <c r="AD70" s="18"/>
      <c r="AF70" s="17"/>
      <c r="AG70" s="18"/>
    </row>
    <row r="71" spans="29:33" x14ac:dyDescent="0.15">
      <c r="AC71" s="17"/>
      <c r="AD71" s="18"/>
      <c r="AF71" s="17"/>
      <c r="AG71" s="18"/>
    </row>
    <row r="72" spans="29:33" x14ac:dyDescent="0.15">
      <c r="AC72" s="17"/>
      <c r="AD72" s="18"/>
      <c r="AF72" s="17"/>
      <c r="AG72" s="18"/>
    </row>
    <row r="73" spans="29:33" x14ac:dyDescent="0.15">
      <c r="AC73" s="17"/>
      <c r="AD73" s="18"/>
      <c r="AF73" s="17"/>
      <c r="AG73" s="18"/>
    </row>
    <row r="74" spans="29:33" x14ac:dyDescent="0.15">
      <c r="AC74" s="17"/>
      <c r="AD74" s="18"/>
      <c r="AF74" s="17"/>
      <c r="AG74" s="18"/>
    </row>
    <row r="75" spans="29:33" x14ac:dyDescent="0.15">
      <c r="AC75" s="17"/>
      <c r="AD75" s="18"/>
      <c r="AF75" s="17"/>
      <c r="AG75" s="18"/>
    </row>
    <row r="76" spans="29:33" x14ac:dyDescent="0.15">
      <c r="AC76" s="17"/>
      <c r="AD76" s="18"/>
      <c r="AF76" s="17"/>
      <c r="AG76" s="18"/>
    </row>
    <row r="77" spans="29:33" x14ac:dyDescent="0.15">
      <c r="AC77" s="17"/>
      <c r="AD77" s="18"/>
      <c r="AF77" s="17"/>
      <c r="AG77" s="18"/>
    </row>
    <row r="78" spans="29:33" x14ac:dyDescent="0.15">
      <c r="AC78" s="17"/>
      <c r="AD78" s="18"/>
      <c r="AF78" s="17"/>
      <c r="AG78" s="18"/>
    </row>
    <row r="79" spans="29:33" x14ac:dyDescent="0.15">
      <c r="AC79" s="17"/>
      <c r="AD79" s="18"/>
      <c r="AF79" s="17"/>
      <c r="AG79" s="18"/>
    </row>
    <row r="80" spans="29:33" x14ac:dyDescent="0.15">
      <c r="AC80" s="17"/>
      <c r="AD80" s="18"/>
      <c r="AF80" s="17"/>
      <c r="AG80" s="18"/>
    </row>
    <row r="81" spans="29:33" x14ac:dyDescent="0.15">
      <c r="AC81" s="17"/>
      <c r="AD81" s="18"/>
      <c r="AF81" s="17"/>
      <c r="AG81" s="18"/>
    </row>
    <row r="82" spans="29:33" x14ac:dyDescent="0.15">
      <c r="AC82" s="17"/>
      <c r="AD82" s="18"/>
      <c r="AF82" s="17"/>
      <c r="AG82" s="18"/>
    </row>
    <row r="83" spans="29:33" x14ac:dyDescent="0.15">
      <c r="AC83" s="17"/>
      <c r="AD83" s="18"/>
      <c r="AF83" s="17"/>
      <c r="AG83" s="18"/>
    </row>
  </sheetData>
  <pageMargins left="0.7" right="0.7" top="0.75" bottom="0.75" header="0.3" footer="0.3"/>
  <pageSetup orientation="portrait" verticalDpi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 enableFormatConditionsCalculation="0"/>
  <dimension ref="A1:AN82"/>
  <sheetViews>
    <sheetView tabSelected="1" topLeftCell="S1" zoomScale="110" zoomScaleNormal="85" zoomScalePageLayoutView="85" workbookViewId="0">
      <selection activeCell="AE45" sqref="AE45"/>
    </sheetView>
  </sheetViews>
  <sheetFormatPr baseColWidth="10" defaultColWidth="8.83203125" defaultRowHeight="13" x14ac:dyDescent="0.15"/>
  <cols>
    <col min="1" max="1" width="16.5" customWidth="1"/>
    <col min="2" max="2" width="15.33203125" customWidth="1"/>
    <col min="3" max="3" width="16.1640625" customWidth="1"/>
    <col min="4" max="4" width="10" customWidth="1"/>
    <col min="5" max="5" width="9.83203125" customWidth="1"/>
    <col min="7" max="7" width="20.6640625" customWidth="1"/>
    <col min="8" max="8" width="23.33203125" customWidth="1"/>
    <col min="9" max="9" width="11.83203125" customWidth="1"/>
    <col min="10" max="10" width="4.5" customWidth="1"/>
    <col min="11" max="11" width="16.33203125" customWidth="1"/>
    <col min="12" max="12" width="14.1640625" customWidth="1"/>
    <col min="13" max="13" width="13.1640625" customWidth="1"/>
    <col min="27" max="27" width="27.83203125" bestFit="1" customWidth="1"/>
    <col min="28" max="28" width="10.5" bestFit="1" customWidth="1"/>
    <col min="31" max="31" width="11.1640625" bestFit="1" customWidth="1"/>
    <col min="35" max="35" width="13.1640625" customWidth="1"/>
    <col min="36" max="36" width="14" customWidth="1"/>
    <col min="39" max="39" width="10" bestFit="1" customWidth="1"/>
    <col min="40" max="40" width="12" bestFit="1" customWidth="1"/>
  </cols>
  <sheetData>
    <row r="1" spans="1:40" x14ac:dyDescent="0.15">
      <c r="A1" t="s">
        <v>1311</v>
      </c>
      <c r="B1" t="s">
        <v>1312</v>
      </c>
      <c r="C1" t="s">
        <v>1313</v>
      </c>
      <c r="D1" t="s">
        <v>1314</v>
      </c>
      <c r="E1" t="s">
        <v>860</v>
      </c>
      <c r="F1" t="s">
        <v>1349</v>
      </c>
      <c r="G1" t="s">
        <v>1319</v>
      </c>
      <c r="H1" t="s">
        <v>1323</v>
      </c>
      <c r="I1" t="s">
        <v>1320</v>
      </c>
      <c r="K1" t="s">
        <v>1321</v>
      </c>
      <c r="L1" t="s">
        <v>1322</v>
      </c>
      <c r="M1" t="s">
        <v>1320</v>
      </c>
      <c r="AA1" t="s">
        <v>1315</v>
      </c>
      <c r="AB1" t="s">
        <v>1316</v>
      </c>
      <c r="AC1" t="s">
        <v>811</v>
      </c>
      <c r="AD1" t="s">
        <v>1317</v>
      </c>
      <c r="AE1" t="s">
        <v>1318</v>
      </c>
      <c r="AF1" t="s">
        <v>811</v>
      </c>
    </row>
    <row r="2" spans="1:40" x14ac:dyDescent="0.15">
      <c r="A2" t="s">
        <v>867</v>
      </c>
      <c r="B2" s="17">
        <v>945726</v>
      </c>
      <c r="C2" s="18">
        <v>0.65227521022313451</v>
      </c>
      <c r="D2">
        <v>5</v>
      </c>
      <c r="E2" t="s">
        <v>857</v>
      </c>
      <c r="F2" t="s">
        <v>1350</v>
      </c>
      <c r="G2" s="18">
        <f>INDEX($AF$2:$AF$82,D2+41)</f>
        <v>0.435</v>
      </c>
      <c r="H2" s="18">
        <f t="shared" ref="H2:H11" si="0">INDEX($AC$2:$AC$82,D2+41)</f>
        <v>0.72446561389569397</v>
      </c>
      <c r="I2" s="20">
        <f>(H2/G2)*100</f>
        <v>166.54381928636644</v>
      </c>
      <c r="K2" s="18">
        <f>INDEX($AF$2:$AF$82,D2+1)</f>
        <v>0.18600000000000003</v>
      </c>
      <c r="L2" s="18">
        <f>INDEX($AC$2:$AC$82,D2+1)</f>
        <v>0.52005948045642147</v>
      </c>
      <c r="M2" s="20">
        <f>(L2/K2)*100</f>
        <v>279.60187121312981</v>
      </c>
      <c r="AA2" t="s">
        <v>0</v>
      </c>
      <c r="AB2" s="17">
        <v>1449888</v>
      </c>
      <c r="AC2" s="18">
        <v>1</v>
      </c>
      <c r="AE2" s="17">
        <f>SUMIF('Full List'!$A:$A,'Data Tab'!AA2,'Full List'!$B:$B)</f>
        <v>190225627</v>
      </c>
      <c r="AF2" s="18">
        <f>AE2/$AE$2</f>
        <v>1</v>
      </c>
      <c r="AI2" t="s">
        <v>1315</v>
      </c>
      <c r="AJ2" t="s">
        <v>1316</v>
      </c>
      <c r="AK2" t="s">
        <v>811</v>
      </c>
      <c r="AL2" t="s">
        <v>1317</v>
      </c>
      <c r="AM2" t="s">
        <v>1318</v>
      </c>
      <c r="AN2" t="s">
        <v>811</v>
      </c>
    </row>
    <row r="3" spans="1:40" x14ac:dyDescent="0.15">
      <c r="A3" t="s">
        <v>864</v>
      </c>
      <c r="B3" s="17">
        <v>631784</v>
      </c>
      <c r="C3" s="18">
        <v>0.43574676112913552</v>
      </c>
      <c r="D3">
        <v>5</v>
      </c>
      <c r="E3" t="s">
        <v>857</v>
      </c>
      <c r="F3" t="s">
        <v>1350</v>
      </c>
      <c r="G3" s="18">
        <f t="shared" ref="G3:G11" si="1">INDEX($AF$2:$AF$82,D3+41)</f>
        <v>0.435</v>
      </c>
      <c r="H3" s="18">
        <f t="shared" si="0"/>
        <v>0.72446561389569397</v>
      </c>
      <c r="I3" s="20">
        <f t="shared" ref="I3:I11" si="2">(H3/G3)*100</f>
        <v>166.54381928636644</v>
      </c>
      <c r="K3" s="18">
        <f t="shared" ref="K3:K11" si="3">INDEX($AF$2:$AF$82,D3+1)</f>
        <v>0.18600000000000003</v>
      </c>
      <c r="L3" s="18">
        <f t="shared" ref="L3:L11" si="4">INDEX($AC$2:$AC$82,D3+1)</f>
        <v>0.52005948045642147</v>
      </c>
      <c r="M3" s="20">
        <f t="shared" ref="M3:M11" si="5">(L3/K3)*100</f>
        <v>279.60187121312981</v>
      </c>
      <c r="Z3">
        <v>1</v>
      </c>
      <c r="AA3" t="s">
        <v>3</v>
      </c>
      <c r="AB3" s="17">
        <v>26011</v>
      </c>
      <c r="AC3" s="18">
        <v>1.7940006400494382E-2</v>
      </c>
      <c r="AE3" s="17">
        <f>SUMIF('Full List'!$A:$A,'Data Tab'!AA3,'Full List'!$B:$B)</f>
        <v>2407685</v>
      </c>
      <c r="AF3" s="18">
        <v>1.3999999999999999E-2</v>
      </c>
      <c r="AH3">
        <v>5</v>
      </c>
      <c r="AI3" t="s">
        <v>47</v>
      </c>
      <c r="AJ3">
        <v>1050394</v>
      </c>
      <c r="AK3">
        <v>0.72446561389569397</v>
      </c>
      <c r="AM3">
        <v>79261340</v>
      </c>
      <c r="AN3">
        <v>0.435</v>
      </c>
    </row>
    <row r="4" spans="1:40" x14ac:dyDescent="0.15">
      <c r="A4" t="s">
        <v>870</v>
      </c>
      <c r="B4" s="17">
        <v>471392</v>
      </c>
      <c r="C4" s="18">
        <v>0.32512304398684588</v>
      </c>
      <c r="D4">
        <v>4</v>
      </c>
      <c r="E4" t="s">
        <v>856</v>
      </c>
      <c r="F4" t="s">
        <v>1350</v>
      </c>
      <c r="G4" s="18">
        <f t="shared" si="1"/>
        <v>0.32899999999999996</v>
      </c>
      <c r="H4" s="18">
        <f t="shared" si="0"/>
        <v>0.37357575205809002</v>
      </c>
      <c r="I4" s="20">
        <f t="shared" si="2"/>
        <v>113.54886080793011</v>
      </c>
      <c r="K4" s="18">
        <f t="shared" si="3"/>
        <v>0.10800000000000001</v>
      </c>
      <c r="L4" s="18">
        <f t="shared" si="4"/>
        <v>0.13715955991083451</v>
      </c>
      <c r="M4" s="20">
        <f t="shared" si="5"/>
        <v>126.99959251003195</v>
      </c>
      <c r="Z4">
        <v>2</v>
      </c>
      <c r="AA4" t="s">
        <v>4</v>
      </c>
      <c r="AB4" s="17">
        <v>19175</v>
      </c>
      <c r="AC4" s="18">
        <v>1.3225159460592818E-2</v>
      </c>
      <c r="AE4" s="17">
        <f>SUMIF('Full List'!$A:$A,'Data Tab'!AA4,'Full List'!$B:$B)</f>
        <v>2207725</v>
      </c>
      <c r="AF4" s="18">
        <v>1.2E-2</v>
      </c>
      <c r="AH4">
        <v>27</v>
      </c>
      <c r="AI4" t="s">
        <v>69</v>
      </c>
      <c r="AJ4">
        <v>824413</v>
      </c>
      <c r="AK4">
        <v>0.56860460945948932</v>
      </c>
      <c r="AM4">
        <v>116812734</v>
      </c>
      <c r="AN4">
        <v>0.61099999999999999</v>
      </c>
    </row>
    <row r="5" spans="1:40" x14ac:dyDescent="0.15">
      <c r="A5" t="s">
        <v>861</v>
      </c>
      <c r="B5" s="17">
        <v>376409</v>
      </c>
      <c r="C5" s="18">
        <v>0.25961246661811122</v>
      </c>
      <c r="D5">
        <v>17</v>
      </c>
      <c r="E5" t="s">
        <v>858</v>
      </c>
      <c r="F5" t="s">
        <v>1350</v>
      </c>
      <c r="G5" s="18">
        <f t="shared" si="1"/>
        <v>0.48599999999999999</v>
      </c>
      <c r="H5" s="18">
        <f t="shared" si="0"/>
        <v>0.40875019311836502</v>
      </c>
      <c r="I5" s="20">
        <f t="shared" si="2"/>
        <v>84.104978007894033</v>
      </c>
      <c r="K5" s="18">
        <f t="shared" si="3"/>
        <v>0.152</v>
      </c>
      <c r="L5" s="18">
        <f t="shared" si="4"/>
        <v>9.2437484826414174E-2</v>
      </c>
      <c r="M5" s="20">
        <f t="shared" si="5"/>
        <v>60.81413475421985</v>
      </c>
      <c r="Z5">
        <v>3</v>
      </c>
      <c r="AA5" t="s">
        <v>5</v>
      </c>
      <c r="AB5" s="17">
        <v>81762</v>
      </c>
      <c r="AC5" s="18">
        <v>5.6391941998278489E-2</v>
      </c>
      <c r="AE5" s="17">
        <f>SUMIF('Full List'!$A:$A,'Data Tab'!AA5,'Full List'!$B:$B)</f>
        <v>5245062</v>
      </c>
      <c r="AF5" s="18">
        <v>3.1E-2</v>
      </c>
      <c r="AH5">
        <v>31</v>
      </c>
      <c r="AI5" t="s">
        <v>73</v>
      </c>
      <c r="AJ5">
        <v>801928</v>
      </c>
      <c r="AK5">
        <v>0.55309651504116175</v>
      </c>
      <c r="AM5">
        <v>113147208</v>
      </c>
      <c r="AN5">
        <v>0.55700000000000005</v>
      </c>
    </row>
    <row r="6" spans="1:40" x14ac:dyDescent="0.15">
      <c r="A6" t="s">
        <v>862</v>
      </c>
      <c r="B6" s="17">
        <v>363388</v>
      </c>
      <c r="C6" s="18">
        <v>0.25063177293694411</v>
      </c>
      <c r="D6">
        <v>27</v>
      </c>
      <c r="E6" t="s">
        <v>840</v>
      </c>
      <c r="F6" t="s">
        <v>1350</v>
      </c>
      <c r="G6" s="18">
        <f t="shared" si="1"/>
        <v>0.61099999999999999</v>
      </c>
      <c r="H6" s="18">
        <f t="shared" si="0"/>
        <v>0.56860460945948932</v>
      </c>
      <c r="I6" s="20">
        <f t="shared" si="2"/>
        <v>93.061310877166818</v>
      </c>
      <c r="K6" s="18">
        <f t="shared" si="3"/>
        <v>0.28499999999999998</v>
      </c>
      <c r="L6" s="18">
        <f t="shared" si="4"/>
        <v>0.18639370765190139</v>
      </c>
      <c r="M6" s="20">
        <f t="shared" si="5"/>
        <v>65.401300930491729</v>
      </c>
      <c r="Z6">
        <v>4</v>
      </c>
      <c r="AA6" t="s">
        <v>6</v>
      </c>
      <c r="AB6" s="17">
        <v>198866</v>
      </c>
      <c r="AC6" s="18">
        <v>0.13715955991083451</v>
      </c>
      <c r="AE6" s="17">
        <f>SUMIF('Full List'!$A:$A,'Data Tab'!AA6,'Full List'!$B:$B)</f>
        <v>19421265</v>
      </c>
      <c r="AF6" s="18">
        <v>0.10800000000000001</v>
      </c>
      <c r="AH6">
        <v>17</v>
      </c>
      <c r="AI6" t="s">
        <v>59</v>
      </c>
      <c r="AJ6">
        <v>592642</v>
      </c>
      <c r="AK6">
        <v>0.40875019311836502</v>
      </c>
      <c r="AM6">
        <v>93589648</v>
      </c>
      <c r="AN6">
        <v>0.48599999999999999</v>
      </c>
    </row>
    <row r="7" spans="1:40" x14ac:dyDescent="0.15">
      <c r="A7" t="s">
        <v>868</v>
      </c>
      <c r="B7" s="17">
        <v>269037</v>
      </c>
      <c r="C7" s="18">
        <v>0.18555709130636297</v>
      </c>
      <c r="D7">
        <v>4</v>
      </c>
      <c r="E7" t="s">
        <v>856</v>
      </c>
      <c r="F7" t="s">
        <v>1350</v>
      </c>
      <c r="G7" s="18">
        <f t="shared" si="1"/>
        <v>0.32899999999999996</v>
      </c>
      <c r="H7" s="18">
        <f t="shared" si="0"/>
        <v>0.37357575205809002</v>
      </c>
      <c r="I7" s="20">
        <f t="shared" si="2"/>
        <v>113.54886080793011</v>
      </c>
      <c r="K7" s="18">
        <f t="shared" si="3"/>
        <v>0.10800000000000001</v>
      </c>
      <c r="L7" s="18">
        <f t="shared" si="4"/>
        <v>0.13715955991083451</v>
      </c>
      <c r="M7" s="20">
        <f t="shared" si="5"/>
        <v>126.99959251003195</v>
      </c>
      <c r="Z7">
        <v>5</v>
      </c>
      <c r="AA7" t="s">
        <v>7</v>
      </c>
      <c r="AB7" s="17">
        <v>754028</v>
      </c>
      <c r="AC7" s="18">
        <v>0.52005948045642147</v>
      </c>
      <c r="AE7" s="17">
        <f>SUMIF('Full List'!$A:$A,'Data Tab'!AA7,'Full List'!$B:$B)</f>
        <v>32930483</v>
      </c>
      <c r="AF7" s="18">
        <v>0.18600000000000003</v>
      </c>
      <c r="AH7">
        <v>13</v>
      </c>
      <c r="AI7" t="s">
        <v>55</v>
      </c>
      <c r="AJ7">
        <v>581880</v>
      </c>
      <c r="AK7">
        <v>0.40132755081771831</v>
      </c>
      <c r="AM7">
        <v>49549777</v>
      </c>
      <c r="AN7">
        <v>0.28300000000000003</v>
      </c>
    </row>
    <row r="8" spans="1:40" x14ac:dyDescent="0.15">
      <c r="A8" t="s">
        <v>866</v>
      </c>
      <c r="B8" s="17">
        <v>221894</v>
      </c>
      <c r="C8" s="18">
        <v>0.1530421660155819</v>
      </c>
      <c r="D8">
        <v>5</v>
      </c>
      <c r="E8" t="s">
        <v>857</v>
      </c>
      <c r="G8" s="18">
        <f t="shared" si="1"/>
        <v>0.435</v>
      </c>
      <c r="H8" s="18">
        <f t="shared" si="0"/>
        <v>0.72446561389569397</v>
      </c>
      <c r="I8" s="20">
        <f t="shared" si="2"/>
        <v>166.54381928636644</v>
      </c>
      <c r="K8" s="18">
        <f t="shared" si="3"/>
        <v>0.18600000000000003</v>
      </c>
      <c r="L8" s="18">
        <f t="shared" si="4"/>
        <v>0.52005948045642147</v>
      </c>
      <c r="M8" s="20">
        <f t="shared" si="5"/>
        <v>279.60187121312981</v>
      </c>
      <c r="Z8">
        <v>6</v>
      </c>
      <c r="AA8" t="s">
        <v>8</v>
      </c>
      <c r="AB8" s="17">
        <v>10243</v>
      </c>
      <c r="AC8" s="18">
        <v>7.0646836169414463E-3</v>
      </c>
      <c r="AE8" s="17">
        <f>SUMIF('Full List'!$A:$A,'Data Tab'!AA8,'Full List'!$B:$B)</f>
        <v>2189782</v>
      </c>
      <c r="AF8" s="18">
        <v>1.2E-2</v>
      </c>
      <c r="AH8">
        <v>4</v>
      </c>
      <c r="AI8" t="s">
        <v>46</v>
      </c>
      <c r="AJ8">
        <v>541643</v>
      </c>
      <c r="AK8">
        <v>0.37357575205809002</v>
      </c>
      <c r="AM8">
        <v>60920271</v>
      </c>
      <c r="AN8">
        <v>0.32899999999999996</v>
      </c>
    </row>
    <row r="9" spans="1:40" x14ac:dyDescent="0.15">
      <c r="A9" t="s">
        <v>869</v>
      </c>
      <c r="B9" s="17">
        <v>205747</v>
      </c>
      <c r="C9" s="18">
        <v>0.14190544373082611</v>
      </c>
      <c r="D9">
        <v>4</v>
      </c>
      <c r="E9" t="s">
        <v>856</v>
      </c>
      <c r="G9" s="18">
        <f t="shared" si="1"/>
        <v>0.32899999999999996</v>
      </c>
      <c r="H9" s="18">
        <f t="shared" si="0"/>
        <v>0.37357575205809002</v>
      </c>
      <c r="I9" s="20">
        <f t="shared" si="2"/>
        <v>113.54886080793011</v>
      </c>
      <c r="K9" s="18">
        <f t="shared" si="3"/>
        <v>0.10800000000000001</v>
      </c>
      <c r="L9" s="18">
        <f t="shared" si="4"/>
        <v>0.13715955991083451</v>
      </c>
      <c r="M9" s="20">
        <f t="shared" si="5"/>
        <v>126.99959251003195</v>
      </c>
      <c r="Z9">
        <v>7</v>
      </c>
      <c r="AA9" t="s">
        <v>9</v>
      </c>
      <c r="AB9" s="17">
        <v>26596</v>
      </c>
      <c r="AC9" s="18">
        <v>1.8343485841665012E-2</v>
      </c>
      <c r="AE9" s="17">
        <f>SUMIF('Full List'!$A:$A,'Data Tab'!AA9,'Full List'!$B:$B)</f>
        <v>6370594</v>
      </c>
      <c r="AF9" s="18">
        <v>2.8999999999999998E-2</v>
      </c>
      <c r="AH9">
        <v>12</v>
      </c>
      <c r="AI9" t="s">
        <v>54</v>
      </c>
      <c r="AJ9">
        <v>529094</v>
      </c>
      <c r="AK9">
        <v>0.36492060076364519</v>
      </c>
      <c r="AM9">
        <v>65583467</v>
      </c>
      <c r="AN9">
        <v>0.33</v>
      </c>
    </row>
    <row r="10" spans="1:40" x14ac:dyDescent="0.15">
      <c r="A10" t="s">
        <v>863</v>
      </c>
      <c r="B10" s="17">
        <v>147586</v>
      </c>
      <c r="C10" s="18">
        <v>0.1017913107771083</v>
      </c>
      <c r="D10">
        <v>26</v>
      </c>
      <c r="E10" t="s">
        <v>839</v>
      </c>
      <c r="F10" t="s">
        <v>1350</v>
      </c>
      <c r="G10" s="18">
        <f t="shared" si="1"/>
        <v>0.34799999999999998</v>
      </c>
      <c r="H10" s="18">
        <f t="shared" si="0"/>
        <v>0.31271932728596968</v>
      </c>
      <c r="I10" s="20">
        <f t="shared" si="2"/>
        <v>89.861875656887847</v>
      </c>
      <c r="K10" s="18">
        <f t="shared" si="3"/>
        <v>9.6999999999999989E-2</v>
      </c>
      <c r="L10" s="18">
        <f t="shared" si="4"/>
        <v>9.494940298836875E-2</v>
      </c>
      <c r="M10" s="20">
        <f t="shared" si="5"/>
        <v>97.88598246223583</v>
      </c>
      <c r="Z10">
        <v>8</v>
      </c>
      <c r="AA10" t="s">
        <v>10</v>
      </c>
      <c r="AB10" s="17">
        <v>20968</v>
      </c>
      <c r="AC10" s="18">
        <v>1.4461806705069634E-2</v>
      </c>
      <c r="AE10" s="17">
        <f>SUMIF('Full List'!$A:$A,'Data Tab'!AA10,'Full List'!$B:$B)</f>
        <v>4298406</v>
      </c>
      <c r="AF10" s="18">
        <v>2.4E-2</v>
      </c>
      <c r="AH10">
        <v>25</v>
      </c>
      <c r="AI10" t="s">
        <v>67</v>
      </c>
      <c r="AJ10">
        <v>471697</v>
      </c>
      <c r="AK10">
        <v>0.32533340506301178</v>
      </c>
      <c r="AM10">
        <v>46729944</v>
      </c>
      <c r="AN10">
        <v>0.26</v>
      </c>
    </row>
    <row r="11" spans="1:40" x14ac:dyDescent="0.15">
      <c r="A11" t="s">
        <v>865</v>
      </c>
      <c r="B11" s="17">
        <v>111162</v>
      </c>
      <c r="C11" s="18">
        <v>7.6669370323776728E-2</v>
      </c>
      <c r="D11">
        <v>5</v>
      </c>
      <c r="E11" t="s">
        <v>857</v>
      </c>
      <c r="F11" t="s">
        <v>1350</v>
      </c>
      <c r="G11" s="18">
        <f t="shared" si="1"/>
        <v>0.435</v>
      </c>
      <c r="H11" s="18">
        <f t="shared" si="0"/>
        <v>0.72446561389569397</v>
      </c>
      <c r="I11" s="20">
        <f t="shared" si="2"/>
        <v>166.54381928636644</v>
      </c>
      <c r="K11" s="18">
        <f t="shared" si="3"/>
        <v>0.18600000000000003</v>
      </c>
      <c r="L11" s="18">
        <f t="shared" si="4"/>
        <v>0.52005948045642147</v>
      </c>
      <c r="M11" s="20">
        <f t="shared" si="5"/>
        <v>279.60187121312981</v>
      </c>
      <c r="Z11">
        <v>9</v>
      </c>
      <c r="AA11" t="s">
        <v>11</v>
      </c>
      <c r="AB11" s="17">
        <v>71683</v>
      </c>
      <c r="AC11" s="18">
        <v>4.9440370566554107E-2</v>
      </c>
      <c r="AE11" s="17">
        <f>SUMIF('Full List'!$A:$A,'Data Tab'!AA11,'Full List'!$B:$B)</f>
        <v>10886724</v>
      </c>
      <c r="AF11" s="18">
        <v>5.5999999999999994E-2</v>
      </c>
      <c r="AH11">
        <v>3</v>
      </c>
      <c r="AI11" t="s">
        <v>45</v>
      </c>
      <c r="AJ11">
        <v>456184</v>
      </c>
      <c r="AK11">
        <v>0.31463395793330245</v>
      </c>
      <c r="AM11">
        <v>33987596</v>
      </c>
      <c r="AN11">
        <v>0.193</v>
      </c>
    </row>
    <row r="12" spans="1:40" x14ac:dyDescent="0.15">
      <c r="B12" s="17"/>
      <c r="C12" s="18"/>
      <c r="G12" s="18">
        <f>INDEX($AF$2:$AF$82,D12+41)</f>
        <v>3.7000000000000005E-2</v>
      </c>
      <c r="H12" s="18">
        <f t="shared" ref="H12:H75" si="6">INDEX($AC$2:$AC$82,D12+41)</f>
        <v>4.8080955218609986E-2</v>
      </c>
      <c r="I12" s="20">
        <f t="shared" ref="I12:I75" si="7">(H12/G12)*100</f>
        <v>129.94852761786481</v>
      </c>
      <c r="K12" s="18">
        <f t="shared" ref="K12:K75" si="8">INDEX($AF$2:$AF$82,D12+1)</f>
        <v>1</v>
      </c>
      <c r="L12" s="18">
        <f t="shared" ref="L12:L75" si="9">INDEX($AC$2:$AC$82,D12+1)</f>
        <v>1</v>
      </c>
      <c r="M12" s="20">
        <f t="shared" ref="M12:M75" si="10">(L12/K12)*100</f>
        <v>100</v>
      </c>
      <c r="Z12">
        <v>10</v>
      </c>
      <c r="AA12" t="s">
        <v>12</v>
      </c>
      <c r="AB12" s="17">
        <v>24077</v>
      </c>
      <c r="AC12" s="18">
        <v>1.6606110265068749E-2</v>
      </c>
      <c r="AE12" s="17">
        <f>SUMIF('Full List'!$A:$A,'Data Tab'!AA12,'Full List'!$B:$B)</f>
        <v>3088023</v>
      </c>
      <c r="AF12" s="18">
        <v>1.4999999999999999E-2</v>
      </c>
      <c r="AH12">
        <v>26</v>
      </c>
      <c r="AI12" t="s">
        <v>68</v>
      </c>
      <c r="AJ12">
        <v>453408</v>
      </c>
      <c r="AK12">
        <v>0.31271932728596968</v>
      </c>
      <c r="AM12">
        <v>69289140</v>
      </c>
      <c r="AN12">
        <v>0.34799999999999998</v>
      </c>
    </row>
    <row r="13" spans="1:40" x14ac:dyDescent="0.15">
      <c r="B13" s="17"/>
      <c r="C13" s="18"/>
      <c r="G13" s="18">
        <f t="shared" ref="G13:G75" si="11">INDEX($AF$2:$AF$82,D13+41)</f>
        <v>3.7000000000000005E-2</v>
      </c>
      <c r="H13" s="18">
        <f t="shared" si="6"/>
        <v>4.8080955218609986E-2</v>
      </c>
      <c r="I13" s="20">
        <f t="shared" si="7"/>
        <v>129.94852761786481</v>
      </c>
      <c r="K13" s="18">
        <f t="shared" si="8"/>
        <v>1</v>
      </c>
      <c r="L13" s="18">
        <f t="shared" si="9"/>
        <v>1</v>
      </c>
      <c r="M13" s="20">
        <f t="shared" si="10"/>
        <v>100</v>
      </c>
      <c r="Z13">
        <v>11</v>
      </c>
      <c r="AA13" t="s">
        <v>13</v>
      </c>
      <c r="AB13" s="17">
        <v>14358</v>
      </c>
      <c r="AC13" s="18">
        <v>9.9028338740647561E-3</v>
      </c>
      <c r="AE13" s="17">
        <f>SUMIF('Full List'!$A:$A,'Data Tab'!AA13,'Full List'!$B:$B)</f>
        <v>1730342</v>
      </c>
      <c r="AF13" s="18">
        <v>9.0000000000000011E-3</v>
      </c>
      <c r="AH13">
        <v>9</v>
      </c>
      <c r="AI13" t="s">
        <v>51</v>
      </c>
      <c r="AJ13">
        <v>386263</v>
      </c>
      <c r="AK13">
        <v>0.26640885364938532</v>
      </c>
      <c r="AM13">
        <v>57040138</v>
      </c>
      <c r="AN13">
        <v>0.30599999999999999</v>
      </c>
    </row>
    <row r="14" spans="1:40" x14ac:dyDescent="0.15">
      <c r="B14" s="17"/>
      <c r="C14" s="18"/>
      <c r="G14" s="18">
        <f t="shared" si="11"/>
        <v>3.7000000000000005E-2</v>
      </c>
      <c r="H14" s="18">
        <f t="shared" si="6"/>
        <v>4.8080955218609986E-2</v>
      </c>
      <c r="I14" s="20">
        <f t="shared" si="7"/>
        <v>129.94852761786481</v>
      </c>
      <c r="K14" s="18">
        <f t="shared" si="8"/>
        <v>1</v>
      </c>
      <c r="L14" s="18">
        <f t="shared" si="9"/>
        <v>1</v>
      </c>
      <c r="M14" s="20">
        <f t="shared" si="10"/>
        <v>100</v>
      </c>
      <c r="Z14">
        <v>12</v>
      </c>
      <c r="AA14" t="s">
        <v>14</v>
      </c>
      <c r="AB14" s="17">
        <v>113840</v>
      </c>
      <c r="AC14" s="18">
        <v>7.8516409543357826E-2</v>
      </c>
      <c r="AE14" s="17">
        <f>SUMIF('Full List'!$A:$A,'Data Tab'!AA14,'Full List'!$B:$B)</f>
        <v>13095703</v>
      </c>
      <c r="AF14" s="18">
        <v>5.9000000000000004E-2</v>
      </c>
      <c r="AH14">
        <v>32</v>
      </c>
      <c r="AI14" t="s">
        <v>74</v>
      </c>
      <c r="AJ14">
        <v>367101</v>
      </c>
      <c r="AK14">
        <v>0.25319266039859628</v>
      </c>
      <c r="AM14">
        <v>48339355</v>
      </c>
      <c r="AN14">
        <v>0.255</v>
      </c>
    </row>
    <row r="15" spans="1:40" x14ac:dyDescent="0.15">
      <c r="B15" s="17"/>
      <c r="C15" s="18"/>
      <c r="G15" s="18">
        <f t="shared" si="11"/>
        <v>3.7000000000000005E-2</v>
      </c>
      <c r="H15" s="18">
        <f t="shared" si="6"/>
        <v>4.8080955218609986E-2</v>
      </c>
      <c r="I15" s="20">
        <f t="shared" si="7"/>
        <v>129.94852761786481</v>
      </c>
      <c r="K15" s="18">
        <f t="shared" si="8"/>
        <v>1</v>
      </c>
      <c r="L15" s="18">
        <f t="shared" si="9"/>
        <v>1</v>
      </c>
      <c r="M15" s="20">
        <f t="shared" si="10"/>
        <v>100</v>
      </c>
      <c r="Z15">
        <v>13</v>
      </c>
      <c r="AA15" t="s">
        <v>15</v>
      </c>
      <c r="AB15" s="17">
        <v>170371</v>
      </c>
      <c r="AC15" s="18">
        <v>0.11750631772936944</v>
      </c>
      <c r="AE15" s="17">
        <f>SUMIF('Full List'!$A:$A,'Data Tab'!AA15,'Full List'!$B:$B)</f>
        <v>10227358</v>
      </c>
      <c r="AF15" s="18">
        <v>5.9000000000000004E-2</v>
      </c>
      <c r="AH15">
        <v>14</v>
      </c>
      <c r="AI15" t="s">
        <v>56</v>
      </c>
      <c r="AJ15">
        <v>290590</v>
      </c>
      <c r="AK15">
        <v>0.20042237745260325</v>
      </c>
      <c r="AM15">
        <v>42298575</v>
      </c>
      <c r="AN15">
        <v>0.22899999999999998</v>
      </c>
    </row>
    <row r="16" spans="1:40" x14ac:dyDescent="0.15">
      <c r="B16" s="17"/>
      <c r="C16" s="18"/>
      <c r="G16" s="18">
        <f t="shared" si="11"/>
        <v>3.7000000000000005E-2</v>
      </c>
      <c r="H16" s="18">
        <f t="shared" si="6"/>
        <v>4.8080955218609986E-2</v>
      </c>
      <c r="I16" s="20">
        <f t="shared" si="7"/>
        <v>129.94852761786481</v>
      </c>
      <c r="K16" s="18">
        <f t="shared" si="8"/>
        <v>1</v>
      </c>
      <c r="L16" s="18">
        <f t="shared" si="9"/>
        <v>1</v>
      </c>
      <c r="M16" s="20">
        <f t="shared" si="10"/>
        <v>100</v>
      </c>
      <c r="Z16">
        <v>14</v>
      </c>
      <c r="AA16" t="s">
        <v>16</v>
      </c>
      <c r="AB16" s="17">
        <v>44752</v>
      </c>
      <c r="AC16" s="18">
        <v>3.0865832395329845E-2</v>
      </c>
      <c r="AE16" s="17">
        <f>SUMIF('Full List'!$A:$A,'Data Tab'!AA16,'Full List'!$B:$B)</f>
        <v>6434479</v>
      </c>
      <c r="AF16" s="18">
        <v>3.5000000000000003E-2</v>
      </c>
      <c r="AH16">
        <v>39</v>
      </c>
      <c r="AI16" t="s">
        <v>81</v>
      </c>
      <c r="AJ16">
        <v>279506</v>
      </c>
      <c r="AK16">
        <v>0.1927776490322011</v>
      </c>
      <c r="AM16">
        <v>33889336</v>
      </c>
      <c r="AN16">
        <v>0.17399999999999999</v>
      </c>
    </row>
    <row r="17" spans="2:40" x14ac:dyDescent="0.15">
      <c r="B17" s="17"/>
      <c r="C17" s="18"/>
      <c r="G17" s="18">
        <f t="shared" si="11"/>
        <v>3.7000000000000005E-2</v>
      </c>
      <c r="H17" s="18">
        <f t="shared" si="6"/>
        <v>4.8080955218609986E-2</v>
      </c>
      <c r="I17" s="20">
        <f t="shared" si="7"/>
        <v>129.94852761786481</v>
      </c>
      <c r="K17" s="18">
        <f t="shared" si="8"/>
        <v>1</v>
      </c>
      <c r="L17" s="18">
        <f t="shared" si="9"/>
        <v>1</v>
      </c>
      <c r="M17" s="20">
        <f t="shared" si="10"/>
        <v>100</v>
      </c>
      <c r="Z17">
        <v>15</v>
      </c>
      <c r="AA17" t="s">
        <v>17</v>
      </c>
      <c r="AB17" s="17">
        <v>28815</v>
      </c>
      <c r="AC17" s="18">
        <v>1.9873948884327617E-2</v>
      </c>
      <c r="AE17" s="17">
        <f>SUMIF('Full List'!$A:$A,'Data Tab'!AA17,'Full List'!$B:$B)</f>
        <v>3757775</v>
      </c>
      <c r="AF17" s="18">
        <v>0.02</v>
      </c>
      <c r="AH17">
        <v>33</v>
      </c>
      <c r="AI17" t="s">
        <v>75</v>
      </c>
      <c r="AJ17">
        <v>272721</v>
      </c>
      <c r="AK17">
        <v>0.18809797722306826</v>
      </c>
      <c r="AM17">
        <v>39550329</v>
      </c>
      <c r="AN17">
        <v>0.21</v>
      </c>
    </row>
    <row r="18" spans="2:40" x14ac:dyDescent="0.15">
      <c r="B18" s="17"/>
      <c r="C18" s="18"/>
      <c r="G18" s="18">
        <f t="shared" si="11"/>
        <v>3.7000000000000005E-2</v>
      </c>
      <c r="H18" s="18">
        <f t="shared" si="6"/>
        <v>4.8080955218609986E-2</v>
      </c>
      <c r="I18" s="20">
        <f t="shared" si="7"/>
        <v>129.94852761786481</v>
      </c>
      <c r="K18" s="18">
        <f t="shared" si="8"/>
        <v>1</v>
      </c>
      <c r="L18" s="18">
        <f t="shared" si="9"/>
        <v>1</v>
      </c>
      <c r="M18" s="20">
        <f t="shared" si="10"/>
        <v>100</v>
      </c>
      <c r="Z18">
        <v>16</v>
      </c>
      <c r="AA18" t="s">
        <v>18</v>
      </c>
      <c r="AB18" s="17">
        <v>27295</v>
      </c>
      <c r="AC18" s="18">
        <v>1.8825592045730428E-2</v>
      </c>
      <c r="AE18" s="17">
        <f>SUMIF('Full List'!$A:$A,'Data Tab'!AA18,'Full List'!$B:$B)</f>
        <v>2742211</v>
      </c>
      <c r="AF18" s="18">
        <v>1.3000000000000001E-2</v>
      </c>
      <c r="AH18">
        <v>21</v>
      </c>
      <c r="AI18" t="s">
        <v>63</v>
      </c>
      <c r="AJ18">
        <v>257154</v>
      </c>
      <c r="AK18">
        <v>0.17736128583725089</v>
      </c>
      <c r="AM18">
        <v>27620666</v>
      </c>
      <c r="AN18">
        <v>0.14800000000000002</v>
      </c>
    </row>
    <row r="19" spans="2:40" x14ac:dyDescent="0.15">
      <c r="B19" s="17"/>
      <c r="C19" s="18"/>
      <c r="G19" s="18">
        <f t="shared" si="11"/>
        <v>3.7000000000000005E-2</v>
      </c>
      <c r="H19" s="18">
        <f t="shared" si="6"/>
        <v>4.8080955218609986E-2</v>
      </c>
      <c r="I19" s="20">
        <f t="shared" si="7"/>
        <v>129.94852761786481</v>
      </c>
      <c r="K19" s="18">
        <f t="shared" si="8"/>
        <v>1</v>
      </c>
      <c r="L19" s="18">
        <f t="shared" si="9"/>
        <v>1</v>
      </c>
      <c r="M19" s="20">
        <f t="shared" si="10"/>
        <v>100</v>
      </c>
      <c r="Z19">
        <v>17</v>
      </c>
      <c r="AA19" t="s">
        <v>19</v>
      </c>
      <c r="AB19" s="17">
        <v>134024</v>
      </c>
      <c r="AC19" s="18">
        <v>9.2437484826414174E-2</v>
      </c>
      <c r="AE19" s="17">
        <f>SUMIF('Full List'!$A:$A,'Data Tab'!AA19,'Full List'!$B:$B)</f>
        <v>29705400</v>
      </c>
      <c r="AF19" s="18">
        <v>0.152</v>
      </c>
      <c r="AH19">
        <v>37</v>
      </c>
      <c r="AI19" t="s">
        <v>79</v>
      </c>
      <c r="AJ19">
        <v>249562</v>
      </c>
      <c r="AK19">
        <v>0.17212501931183649</v>
      </c>
      <c r="AM19">
        <v>31744330</v>
      </c>
      <c r="AN19">
        <v>0.17199999999999999</v>
      </c>
    </row>
    <row r="20" spans="2:40" x14ac:dyDescent="0.15">
      <c r="B20" s="17"/>
      <c r="C20" s="18"/>
      <c r="G20" s="18">
        <f t="shared" si="11"/>
        <v>3.7000000000000005E-2</v>
      </c>
      <c r="H20" s="18">
        <f t="shared" si="6"/>
        <v>4.8080955218609986E-2</v>
      </c>
      <c r="I20" s="20">
        <f t="shared" si="7"/>
        <v>129.94852761786481</v>
      </c>
      <c r="K20" s="18">
        <f t="shared" si="8"/>
        <v>1</v>
      </c>
      <c r="L20" s="18">
        <f t="shared" si="9"/>
        <v>1</v>
      </c>
      <c r="M20" s="20">
        <f t="shared" si="10"/>
        <v>100</v>
      </c>
      <c r="Z20">
        <v>18</v>
      </c>
      <c r="AA20" t="s">
        <v>20</v>
      </c>
      <c r="AB20" s="17">
        <v>15824</v>
      </c>
      <c r="AC20" s="18">
        <v>1.0913946456553886E-2</v>
      </c>
      <c r="AE20" s="17">
        <f>SUMIF('Full List'!$A:$A,'Data Tab'!AA20,'Full List'!$B:$B)</f>
        <v>5125131</v>
      </c>
      <c r="AF20" s="18">
        <v>2.4E-2</v>
      </c>
      <c r="AH20">
        <v>15</v>
      </c>
      <c r="AI20" t="s">
        <v>57</v>
      </c>
      <c r="AJ20">
        <v>249303</v>
      </c>
      <c r="AK20">
        <v>0.1719463848242071</v>
      </c>
      <c r="AM20">
        <v>26325347</v>
      </c>
      <c r="AN20">
        <v>0.14400000000000002</v>
      </c>
    </row>
    <row r="21" spans="2:40" x14ac:dyDescent="0.15">
      <c r="B21" s="17"/>
      <c r="C21" s="18"/>
      <c r="G21" s="18">
        <f t="shared" si="11"/>
        <v>3.7000000000000005E-2</v>
      </c>
      <c r="H21" s="18">
        <f t="shared" si="6"/>
        <v>4.8080955218609986E-2</v>
      </c>
      <c r="I21" s="20">
        <f t="shared" si="7"/>
        <v>129.94852761786481</v>
      </c>
      <c r="K21" s="18">
        <f t="shared" si="8"/>
        <v>1</v>
      </c>
      <c r="L21" s="18">
        <f t="shared" si="9"/>
        <v>1</v>
      </c>
      <c r="M21" s="20">
        <f t="shared" si="10"/>
        <v>100</v>
      </c>
      <c r="Z21">
        <v>19</v>
      </c>
      <c r="AA21" t="s">
        <v>21</v>
      </c>
      <c r="AB21" s="17">
        <v>36864</v>
      </c>
      <c r="AC21" s="18">
        <v>2.5425412169767597E-2</v>
      </c>
      <c r="AE21" s="17">
        <f>SUMIF('Full List'!$A:$A,'Data Tab'!AA21,'Full List'!$B:$B)</f>
        <v>5666649</v>
      </c>
      <c r="AF21" s="18">
        <v>2.7999999999999997E-2</v>
      </c>
      <c r="AH21">
        <v>40</v>
      </c>
      <c r="AI21" t="s">
        <v>82</v>
      </c>
      <c r="AJ21">
        <v>247342</v>
      </c>
      <c r="AK21">
        <v>0.17059386656072745</v>
      </c>
      <c r="AM21">
        <v>22862991</v>
      </c>
      <c r="AN21">
        <v>0.126</v>
      </c>
    </row>
    <row r="22" spans="2:40" x14ac:dyDescent="0.15">
      <c r="B22" s="17"/>
      <c r="C22" s="18"/>
      <c r="G22" s="18">
        <f t="shared" si="11"/>
        <v>3.7000000000000005E-2</v>
      </c>
      <c r="H22" s="18">
        <f t="shared" si="6"/>
        <v>4.8080955218609986E-2</v>
      </c>
      <c r="I22" s="20">
        <f t="shared" si="7"/>
        <v>129.94852761786481</v>
      </c>
      <c r="K22" s="18">
        <f t="shared" si="8"/>
        <v>1</v>
      </c>
      <c r="L22" s="18">
        <f t="shared" si="9"/>
        <v>1</v>
      </c>
      <c r="M22" s="20">
        <f t="shared" si="10"/>
        <v>100</v>
      </c>
      <c r="Z22">
        <v>20</v>
      </c>
      <c r="AA22" t="s">
        <v>22</v>
      </c>
      <c r="AB22" s="17">
        <v>3584</v>
      </c>
      <c r="AC22" s="18">
        <v>2.4719150720607383E-3</v>
      </c>
      <c r="AE22" s="17">
        <f>SUMIF('Full List'!$A:$A,'Data Tab'!AA22,'Full List'!$B:$B)</f>
        <v>4804004</v>
      </c>
      <c r="AF22" s="18">
        <v>2.2000000000000002E-2</v>
      </c>
      <c r="AH22">
        <v>30</v>
      </c>
      <c r="AI22" t="s">
        <v>72</v>
      </c>
      <c r="AJ22">
        <v>237475</v>
      </c>
      <c r="AK22">
        <v>0.16378851331964953</v>
      </c>
      <c r="AM22">
        <v>23003830</v>
      </c>
      <c r="AN22">
        <v>0.13100000000000001</v>
      </c>
    </row>
    <row r="23" spans="2:40" x14ac:dyDescent="0.15">
      <c r="B23" s="17"/>
      <c r="C23" s="18"/>
      <c r="G23" s="18">
        <f t="shared" si="11"/>
        <v>3.7000000000000005E-2</v>
      </c>
      <c r="H23" s="18">
        <f t="shared" si="6"/>
        <v>4.8080955218609986E-2</v>
      </c>
      <c r="I23" s="20">
        <f t="shared" si="7"/>
        <v>129.94852761786481</v>
      </c>
      <c r="K23" s="18">
        <f t="shared" si="8"/>
        <v>1</v>
      </c>
      <c r="L23" s="18">
        <f t="shared" si="9"/>
        <v>1</v>
      </c>
      <c r="M23" s="20">
        <f t="shared" si="10"/>
        <v>100</v>
      </c>
      <c r="Z23">
        <v>21</v>
      </c>
      <c r="AA23" t="s">
        <v>23</v>
      </c>
      <c r="AB23" s="17">
        <v>15441</v>
      </c>
      <c r="AC23" s="18">
        <v>1.0649788121565251E-2</v>
      </c>
      <c r="AE23" s="17">
        <f>SUMIF('Full List'!$A:$A,'Data Tab'!AA23,'Full List'!$B:$B)</f>
        <v>3142638</v>
      </c>
      <c r="AF23" s="18">
        <v>1.7000000000000001E-2</v>
      </c>
      <c r="AH23">
        <v>19</v>
      </c>
      <c r="AI23" t="s">
        <v>61</v>
      </c>
      <c r="AJ23">
        <v>233163</v>
      </c>
      <c r="AK23">
        <v>0.16081449049857643</v>
      </c>
      <c r="AM23">
        <v>33351037</v>
      </c>
      <c r="AN23">
        <v>0.17399999999999999</v>
      </c>
    </row>
    <row r="24" spans="2:40" x14ac:dyDescent="0.15">
      <c r="B24" s="17"/>
      <c r="C24" s="18"/>
      <c r="G24" s="18">
        <f t="shared" si="11"/>
        <v>3.7000000000000005E-2</v>
      </c>
      <c r="H24" s="18">
        <f t="shared" si="6"/>
        <v>4.8080955218609986E-2</v>
      </c>
      <c r="I24" s="20">
        <f t="shared" si="7"/>
        <v>129.94852761786481</v>
      </c>
      <c r="K24" s="18">
        <f t="shared" si="8"/>
        <v>1</v>
      </c>
      <c r="L24" s="18">
        <f t="shared" si="9"/>
        <v>1</v>
      </c>
      <c r="M24" s="20">
        <f t="shared" si="10"/>
        <v>100</v>
      </c>
      <c r="Z24">
        <v>22</v>
      </c>
      <c r="AA24" t="s">
        <v>24</v>
      </c>
      <c r="AB24" s="17">
        <v>3373</v>
      </c>
      <c r="AC24" s="18">
        <v>2.3263865898607342E-3</v>
      </c>
      <c r="AE24" s="17">
        <f>SUMIF('Full List'!$A:$A,'Data Tab'!AA24,'Full List'!$B:$B)</f>
        <v>1259562</v>
      </c>
      <c r="AF24" s="18">
        <v>6.9999999999999993E-3</v>
      </c>
      <c r="AH24">
        <v>8</v>
      </c>
      <c r="AI24" t="s">
        <v>50</v>
      </c>
      <c r="AJ24">
        <v>218148</v>
      </c>
      <c r="AK24">
        <v>0.15045851817519698</v>
      </c>
      <c r="AM24">
        <v>30175755</v>
      </c>
      <c r="AN24">
        <v>0.16500000000000001</v>
      </c>
    </row>
    <row r="25" spans="2:40" x14ac:dyDescent="0.15">
      <c r="B25" s="17"/>
      <c r="C25" s="18"/>
      <c r="G25" s="18">
        <f t="shared" si="11"/>
        <v>3.7000000000000005E-2</v>
      </c>
      <c r="H25" s="18">
        <f t="shared" si="6"/>
        <v>4.8080955218609986E-2</v>
      </c>
      <c r="I25" s="20">
        <f t="shared" si="7"/>
        <v>129.94852761786481</v>
      </c>
      <c r="K25" s="18">
        <f t="shared" si="8"/>
        <v>1</v>
      </c>
      <c r="L25" s="18">
        <f t="shared" si="9"/>
        <v>1</v>
      </c>
      <c r="M25" s="20">
        <f t="shared" si="10"/>
        <v>100</v>
      </c>
      <c r="Z25">
        <v>23</v>
      </c>
      <c r="AA25" t="s">
        <v>25</v>
      </c>
      <c r="AB25" s="17">
        <v>45906</v>
      </c>
      <c r="AC25" s="18">
        <v>3.1661755942527972E-2</v>
      </c>
      <c r="AE25" s="17">
        <f>SUMIF('Full List'!$A:$A,'Data Tab'!AA25,'Full List'!$B:$B)</f>
        <v>4192471</v>
      </c>
      <c r="AF25" s="18">
        <v>2.5000000000000001E-2</v>
      </c>
      <c r="AH25">
        <v>34</v>
      </c>
      <c r="AI25" t="s">
        <v>76</v>
      </c>
      <c r="AJ25">
        <v>214866</v>
      </c>
      <c r="AK25">
        <v>0.1481948950539628</v>
      </c>
      <c r="AM25">
        <v>24613325</v>
      </c>
      <c r="AN25">
        <v>0.14800000000000002</v>
      </c>
    </row>
    <row r="26" spans="2:40" x14ac:dyDescent="0.15">
      <c r="B26" s="17"/>
      <c r="C26" s="18"/>
      <c r="G26" s="18">
        <f t="shared" si="11"/>
        <v>3.7000000000000005E-2</v>
      </c>
      <c r="H26" s="18">
        <f t="shared" si="6"/>
        <v>4.8080955218609986E-2</v>
      </c>
      <c r="I26" s="20">
        <f t="shared" si="7"/>
        <v>129.94852761786481</v>
      </c>
      <c r="K26" s="18">
        <f t="shared" si="8"/>
        <v>1</v>
      </c>
      <c r="L26" s="18">
        <f t="shared" si="9"/>
        <v>1</v>
      </c>
      <c r="M26" s="20">
        <f t="shared" si="10"/>
        <v>100</v>
      </c>
      <c r="Z26">
        <v>24</v>
      </c>
      <c r="AA26" t="s">
        <v>26</v>
      </c>
      <c r="AB26" s="17">
        <v>10003</v>
      </c>
      <c r="AC26" s="18">
        <v>6.8991535897945221E-3</v>
      </c>
      <c r="AE26" s="17">
        <f>SUMIF('Full List'!$A:$A,'Data Tab'!AA26,'Full List'!$B:$B)</f>
        <v>2016838</v>
      </c>
      <c r="AF26" s="18">
        <v>1.2E-2</v>
      </c>
      <c r="AH26">
        <v>10</v>
      </c>
      <c r="AI26" t="s">
        <v>52</v>
      </c>
      <c r="AJ26">
        <v>207898</v>
      </c>
      <c r="AK26">
        <v>0.14338900659913043</v>
      </c>
      <c r="AM26">
        <v>22993021</v>
      </c>
      <c r="AN26">
        <v>0.12</v>
      </c>
    </row>
    <row r="27" spans="2:40" x14ac:dyDescent="0.15">
      <c r="B27" s="17"/>
      <c r="C27" s="18"/>
      <c r="G27" s="18">
        <f t="shared" si="11"/>
        <v>3.7000000000000005E-2</v>
      </c>
      <c r="H27" s="18">
        <f t="shared" si="6"/>
        <v>4.8080955218609986E-2</v>
      </c>
      <c r="I27" s="20">
        <f t="shared" si="7"/>
        <v>129.94852761786481</v>
      </c>
      <c r="K27" s="18">
        <f t="shared" si="8"/>
        <v>1</v>
      </c>
      <c r="L27" s="18">
        <f t="shared" si="9"/>
        <v>1</v>
      </c>
      <c r="M27" s="20">
        <f t="shared" si="10"/>
        <v>100</v>
      </c>
      <c r="Z27">
        <v>25</v>
      </c>
      <c r="AA27" t="s">
        <v>27</v>
      </c>
      <c r="AB27" s="17">
        <v>151215</v>
      </c>
      <c r="AC27" s="18">
        <v>0.10429426272925908</v>
      </c>
      <c r="AE27" s="17">
        <f>SUMIF('Full List'!$A:$A,'Data Tab'!AA27,'Full List'!$B:$B)</f>
        <v>13301320</v>
      </c>
      <c r="AF27" s="18">
        <v>7.5999999999999998E-2</v>
      </c>
      <c r="AH27">
        <v>23</v>
      </c>
      <c r="AI27" t="s">
        <v>65</v>
      </c>
      <c r="AJ27">
        <v>204347</v>
      </c>
      <c r="AK27">
        <v>0.14093985190580238</v>
      </c>
      <c r="AM27">
        <v>26040862</v>
      </c>
      <c r="AN27">
        <v>0.14899999999999999</v>
      </c>
    </row>
    <row r="28" spans="2:40" x14ac:dyDescent="0.15">
      <c r="B28" s="17"/>
      <c r="C28" s="18"/>
      <c r="G28" s="18">
        <f t="shared" si="11"/>
        <v>3.7000000000000005E-2</v>
      </c>
      <c r="H28" s="18">
        <f t="shared" si="6"/>
        <v>4.8080955218609986E-2</v>
      </c>
      <c r="I28" s="20">
        <f t="shared" si="7"/>
        <v>129.94852761786481</v>
      </c>
      <c r="K28" s="18">
        <f t="shared" si="8"/>
        <v>1</v>
      </c>
      <c r="L28" s="18">
        <f t="shared" si="9"/>
        <v>1</v>
      </c>
      <c r="M28" s="20">
        <f t="shared" si="10"/>
        <v>100</v>
      </c>
      <c r="Z28">
        <v>26</v>
      </c>
      <c r="AA28" t="s">
        <v>28</v>
      </c>
      <c r="AB28" s="17">
        <v>137666</v>
      </c>
      <c r="AC28" s="18">
        <v>9.494940298836875E-2</v>
      </c>
      <c r="AE28" s="17">
        <f>SUMIF('Full List'!$A:$A,'Data Tab'!AA28,'Full List'!$B:$B)</f>
        <v>20018089</v>
      </c>
      <c r="AF28" s="18">
        <v>9.6999999999999989E-2</v>
      </c>
      <c r="AH28">
        <v>2</v>
      </c>
      <c r="AI28" t="s">
        <v>44</v>
      </c>
      <c r="AJ28">
        <v>199035</v>
      </c>
      <c r="AK28">
        <v>0.13727612063828379</v>
      </c>
      <c r="AM28">
        <v>19815775</v>
      </c>
      <c r="AN28">
        <v>0.10800000000000001</v>
      </c>
    </row>
    <row r="29" spans="2:40" x14ac:dyDescent="0.15">
      <c r="B29" s="17"/>
      <c r="C29" s="18"/>
      <c r="G29" s="18">
        <f t="shared" si="11"/>
        <v>3.7000000000000005E-2</v>
      </c>
      <c r="H29" s="18">
        <f t="shared" si="6"/>
        <v>4.8080955218609986E-2</v>
      </c>
      <c r="I29" s="20">
        <f t="shared" si="7"/>
        <v>129.94852761786481</v>
      </c>
      <c r="K29" s="18">
        <f t="shared" si="8"/>
        <v>1</v>
      </c>
      <c r="L29" s="18">
        <f t="shared" si="9"/>
        <v>1</v>
      </c>
      <c r="M29" s="20">
        <f t="shared" si="10"/>
        <v>100</v>
      </c>
      <c r="Z29">
        <v>27</v>
      </c>
      <c r="AA29" t="s">
        <v>29</v>
      </c>
      <c r="AB29" s="17">
        <v>270250</v>
      </c>
      <c r="AC29" s="18">
        <v>0.18639370765190139</v>
      </c>
      <c r="AE29" s="17">
        <f>SUMIF('Full List'!$A:$A,'Data Tab'!AA29,'Full List'!$B:$B)</f>
        <v>54735163</v>
      </c>
      <c r="AF29" s="18">
        <v>0.28499999999999998</v>
      </c>
      <c r="AH29">
        <v>16</v>
      </c>
      <c r="AI29" t="s">
        <v>58</v>
      </c>
      <c r="AJ29">
        <v>196632</v>
      </c>
      <c r="AK29">
        <v>0.13561875124147521</v>
      </c>
      <c r="AM29">
        <v>21969249</v>
      </c>
      <c r="AN29">
        <v>0.11800000000000001</v>
      </c>
    </row>
    <row r="30" spans="2:40" x14ac:dyDescent="0.15">
      <c r="B30" s="17"/>
      <c r="C30" s="18"/>
      <c r="G30" s="18">
        <f t="shared" si="11"/>
        <v>3.7000000000000005E-2</v>
      </c>
      <c r="H30" s="18">
        <f t="shared" si="6"/>
        <v>4.8080955218609986E-2</v>
      </c>
      <c r="I30" s="20">
        <f t="shared" si="7"/>
        <v>129.94852761786481</v>
      </c>
      <c r="K30" s="18">
        <f t="shared" si="8"/>
        <v>1</v>
      </c>
      <c r="L30" s="18">
        <f t="shared" si="9"/>
        <v>1</v>
      </c>
      <c r="M30" s="20">
        <f t="shared" si="10"/>
        <v>100</v>
      </c>
      <c r="Z30">
        <v>28</v>
      </c>
      <c r="AA30" t="s">
        <v>30</v>
      </c>
      <c r="AB30" s="17">
        <v>13902</v>
      </c>
      <c r="AC30" s="18">
        <v>9.5883268224855982E-3</v>
      </c>
      <c r="AE30" s="17">
        <f>SUMIF('Full List'!$A:$A,'Data Tab'!AA30,'Full List'!$B:$B)</f>
        <v>10634421</v>
      </c>
      <c r="AF30" s="18">
        <v>5.2000000000000005E-2</v>
      </c>
      <c r="AH30">
        <v>35</v>
      </c>
      <c r="AI30" t="s">
        <v>77</v>
      </c>
      <c r="AJ30">
        <v>193774</v>
      </c>
      <c r="AK30">
        <v>0.13364756450153392</v>
      </c>
      <c r="AM30">
        <v>21755578</v>
      </c>
      <c r="AN30">
        <v>0.129</v>
      </c>
    </row>
    <row r="31" spans="2:40" x14ac:dyDescent="0.15">
      <c r="B31" s="17"/>
      <c r="C31" s="18"/>
      <c r="G31" s="18">
        <f t="shared" si="11"/>
        <v>3.7000000000000005E-2</v>
      </c>
      <c r="H31" s="18">
        <f t="shared" si="6"/>
        <v>4.8080955218609986E-2</v>
      </c>
      <c r="I31" s="20">
        <f t="shared" si="7"/>
        <v>129.94852761786481</v>
      </c>
      <c r="K31" s="18">
        <f t="shared" si="8"/>
        <v>1</v>
      </c>
      <c r="L31" s="18">
        <f t="shared" si="9"/>
        <v>1</v>
      </c>
      <c r="M31" s="20">
        <f t="shared" si="10"/>
        <v>100</v>
      </c>
      <c r="Z31">
        <v>29</v>
      </c>
      <c r="AA31" t="s">
        <v>31</v>
      </c>
      <c r="AB31" s="17">
        <v>15117</v>
      </c>
      <c r="AC31" s="18">
        <v>1.0426322584916903E-2</v>
      </c>
      <c r="AE31" s="17">
        <f>SUMIF('Full List'!$A:$A,'Data Tab'!AA31,'Full List'!$B:$B)</f>
        <v>1971646</v>
      </c>
      <c r="AF31" s="18">
        <v>9.0000000000000011E-3</v>
      </c>
      <c r="AH31">
        <v>38</v>
      </c>
      <c r="AI31" t="s">
        <v>80</v>
      </c>
      <c r="AJ31">
        <v>187287</v>
      </c>
      <c r="AK31">
        <v>0.12917342580944183</v>
      </c>
      <c r="AM31">
        <v>23574622</v>
      </c>
      <c r="AN31">
        <v>0.122</v>
      </c>
    </row>
    <row r="32" spans="2:40" x14ac:dyDescent="0.15">
      <c r="B32" s="17"/>
      <c r="C32" s="18"/>
      <c r="G32" s="18">
        <f t="shared" si="11"/>
        <v>3.7000000000000005E-2</v>
      </c>
      <c r="H32" s="18">
        <f t="shared" si="6"/>
        <v>4.8080955218609986E-2</v>
      </c>
      <c r="I32" s="20">
        <f t="shared" si="7"/>
        <v>129.94852761786481</v>
      </c>
      <c r="K32" s="18">
        <f t="shared" si="8"/>
        <v>1</v>
      </c>
      <c r="L32" s="18">
        <f t="shared" si="9"/>
        <v>1</v>
      </c>
      <c r="M32" s="20">
        <f t="shared" si="10"/>
        <v>100</v>
      </c>
      <c r="Z32">
        <v>30</v>
      </c>
      <c r="AA32" t="s">
        <v>32</v>
      </c>
      <c r="AB32" s="17">
        <v>52347</v>
      </c>
      <c r="AC32" s="18">
        <v>3.610416804608356E-2</v>
      </c>
      <c r="AE32" s="17">
        <f>SUMIF('Full List'!$A:$A,'Data Tab'!AA32,'Full List'!$B:$B)</f>
        <v>4969413</v>
      </c>
      <c r="AF32" s="18">
        <v>2.7000000000000003E-2</v>
      </c>
      <c r="AH32">
        <v>28</v>
      </c>
      <c r="AI32" t="s">
        <v>70</v>
      </c>
      <c r="AJ32">
        <v>164836</v>
      </c>
      <c r="AK32">
        <v>0.11368878147829349</v>
      </c>
      <c r="AM32">
        <v>47809866</v>
      </c>
      <c r="AN32">
        <v>0.247</v>
      </c>
    </row>
    <row r="33" spans="2:40" x14ac:dyDescent="0.15">
      <c r="B33" s="17"/>
      <c r="C33" s="18"/>
      <c r="G33" s="18">
        <f t="shared" si="11"/>
        <v>3.7000000000000005E-2</v>
      </c>
      <c r="H33" s="18">
        <f t="shared" si="6"/>
        <v>4.8080955218609986E-2</v>
      </c>
      <c r="I33" s="20">
        <f t="shared" si="7"/>
        <v>129.94852761786481</v>
      </c>
      <c r="K33" s="18">
        <f t="shared" si="8"/>
        <v>1</v>
      </c>
      <c r="L33" s="18">
        <f t="shared" si="9"/>
        <v>1</v>
      </c>
      <c r="M33" s="20">
        <f t="shared" si="10"/>
        <v>100</v>
      </c>
      <c r="Z33">
        <v>31</v>
      </c>
      <c r="AA33" t="s">
        <v>33</v>
      </c>
      <c r="AB33" s="17">
        <v>346099</v>
      </c>
      <c r="AC33" s="18">
        <v>0.23870740360634751</v>
      </c>
      <c r="AE33" s="17">
        <f>SUMIF('Full List'!$A:$A,'Data Tab'!AA33,'Full List'!$B:$B)</f>
        <v>49511637</v>
      </c>
      <c r="AF33" s="18">
        <v>0.22399999999999998</v>
      </c>
      <c r="AH33">
        <v>18</v>
      </c>
      <c r="AI33" t="s">
        <v>60</v>
      </c>
      <c r="AJ33">
        <v>144972</v>
      </c>
      <c r="AK33">
        <v>9.9988412898099718E-2</v>
      </c>
      <c r="AM33">
        <v>32562989</v>
      </c>
      <c r="AN33">
        <v>0.16</v>
      </c>
    </row>
    <row r="34" spans="2:40" x14ac:dyDescent="0.15">
      <c r="B34" s="17"/>
      <c r="C34" s="18"/>
      <c r="G34" s="18">
        <f t="shared" si="11"/>
        <v>3.7000000000000005E-2</v>
      </c>
      <c r="H34" s="18">
        <f t="shared" si="6"/>
        <v>4.8080955218609986E-2</v>
      </c>
      <c r="I34" s="20">
        <f t="shared" si="7"/>
        <v>129.94852761786481</v>
      </c>
      <c r="K34" s="18">
        <f t="shared" si="8"/>
        <v>1</v>
      </c>
      <c r="L34" s="18">
        <f t="shared" si="9"/>
        <v>1</v>
      </c>
      <c r="M34" s="20">
        <f t="shared" si="10"/>
        <v>100</v>
      </c>
      <c r="Z34">
        <v>32</v>
      </c>
      <c r="AA34" t="s">
        <v>34</v>
      </c>
      <c r="AB34" s="17">
        <v>98954</v>
      </c>
      <c r="AC34" s="18">
        <v>6.8249409609569836E-2</v>
      </c>
      <c r="AE34" s="17">
        <f>SUMIF('Full List'!$A:$A,'Data Tab'!AA34,'Full List'!$B:$B)</f>
        <v>12950598</v>
      </c>
      <c r="AF34" s="18">
        <v>6.6000000000000003E-2</v>
      </c>
      <c r="AH34">
        <v>36</v>
      </c>
      <c r="AI34" t="s">
        <v>78</v>
      </c>
      <c r="AJ34">
        <v>138819</v>
      </c>
      <c r="AK34">
        <v>9.5744636827120436E-2</v>
      </c>
      <c r="AM34">
        <v>19867606</v>
      </c>
      <c r="AN34">
        <v>0.11199999999999999</v>
      </c>
    </row>
    <row r="35" spans="2:40" x14ac:dyDescent="0.15">
      <c r="B35" s="17"/>
      <c r="C35" s="18"/>
      <c r="G35" s="18">
        <f t="shared" si="11"/>
        <v>3.7000000000000005E-2</v>
      </c>
      <c r="H35" s="18">
        <f t="shared" si="6"/>
        <v>4.8080955218609986E-2</v>
      </c>
      <c r="I35" s="20">
        <f t="shared" si="7"/>
        <v>129.94852761786481</v>
      </c>
      <c r="K35" s="18">
        <f t="shared" si="8"/>
        <v>1</v>
      </c>
      <c r="L35" s="18">
        <f t="shared" si="9"/>
        <v>1</v>
      </c>
      <c r="M35" s="20">
        <f t="shared" si="10"/>
        <v>100</v>
      </c>
      <c r="Z35">
        <v>33</v>
      </c>
      <c r="AA35" t="s">
        <v>35</v>
      </c>
      <c r="AB35" s="17">
        <v>73044</v>
      </c>
      <c r="AC35" s="18">
        <v>5.0379063762166457E-2</v>
      </c>
      <c r="AE35" s="17">
        <f>SUMIF('Full List'!$A:$A,'Data Tab'!AA35,'Full List'!$B:$B)</f>
        <v>10330714</v>
      </c>
      <c r="AF35" s="18">
        <v>5.2999999999999999E-2</v>
      </c>
      <c r="AH35">
        <v>1</v>
      </c>
      <c r="AI35" t="s">
        <v>43</v>
      </c>
      <c r="AJ35">
        <v>137242</v>
      </c>
      <c r="AK35">
        <v>9.4656966607075857E-2</v>
      </c>
      <c r="AM35">
        <v>15628488</v>
      </c>
      <c r="AN35">
        <v>8.8000000000000009E-2</v>
      </c>
    </row>
    <row r="36" spans="2:40" x14ac:dyDescent="0.15">
      <c r="B36" s="17"/>
      <c r="C36" s="18"/>
      <c r="G36" s="18">
        <f t="shared" si="11"/>
        <v>3.7000000000000005E-2</v>
      </c>
      <c r="H36" s="18">
        <f t="shared" si="6"/>
        <v>4.8080955218609986E-2</v>
      </c>
      <c r="I36" s="20">
        <f t="shared" si="7"/>
        <v>129.94852761786481</v>
      </c>
      <c r="K36" s="18">
        <f t="shared" si="8"/>
        <v>1</v>
      </c>
      <c r="L36" s="18">
        <f t="shared" si="9"/>
        <v>1</v>
      </c>
      <c r="M36" s="20">
        <f t="shared" si="10"/>
        <v>100</v>
      </c>
      <c r="Z36">
        <v>34</v>
      </c>
      <c r="AA36" t="s">
        <v>36</v>
      </c>
      <c r="AB36" s="17">
        <v>29445</v>
      </c>
      <c r="AC36" s="18">
        <v>2.0308465205588294E-2</v>
      </c>
      <c r="AE36" s="17">
        <f>SUMIF('Full List'!$A:$A,'Data Tab'!AA36,'Full List'!$B:$B)</f>
        <v>3792989</v>
      </c>
      <c r="AF36" s="18">
        <v>2.6000000000000002E-2</v>
      </c>
      <c r="AH36">
        <v>11</v>
      </c>
      <c r="AI36" t="s">
        <v>53</v>
      </c>
      <c r="AJ36">
        <v>129694</v>
      </c>
      <c r="AK36">
        <v>8.9451047253305077E-2</v>
      </c>
      <c r="AM36">
        <v>15215777</v>
      </c>
      <c r="AN36">
        <v>0.08</v>
      </c>
    </row>
    <row r="37" spans="2:40" x14ac:dyDescent="0.15">
      <c r="B37" s="17"/>
      <c r="C37" s="18"/>
      <c r="G37" s="18">
        <f t="shared" si="11"/>
        <v>3.7000000000000005E-2</v>
      </c>
      <c r="H37" s="18">
        <f t="shared" si="6"/>
        <v>4.8080955218609986E-2</v>
      </c>
      <c r="I37" s="20">
        <f t="shared" si="7"/>
        <v>129.94852761786481</v>
      </c>
      <c r="K37" s="18">
        <f t="shared" si="8"/>
        <v>1</v>
      </c>
      <c r="L37" s="18">
        <f t="shared" si="9"/>
        <v>1</v>
      </c>
      <c r="M37" s="20">
        <f t="shared" si="10"/>
        <v>100</v>
      </c>
      <c r="Z37">
        <v>35</v>
      </c>
      <c r="AA37" t="s">
        <v>37</v>
      </c>
      <c r="AB37" s="17">
        <v>19497</v>
      </c>
      <c r="AC37" s="18">
        <v>1.3447245580348275E-2</v>
      </c>
      <c r="AE37" s="17">
        <f>SUMIF('Full List'!$A:$A,'Data Tab'!AA37,'Full List'!$B:$B)</f>
        <v>3061458</v>
      </c>
      <c r="AF37" s="18">
        <v>0.02</v>
      </c>
      <c r="AH37">
        <v>24</v>
      </c>
      <c r="AI37" t="s">
        <v>66</v>
      </c>
      <c r="AJ37">
        <v>118500</v>
      </c>
      <c r="AK37">
        <v>8.1730450903793952E-2</v>
      </c>
      <c r="AM37">
        <v>14499964</v>
      </c>
      <c r="AN37">
        <v>0.08</v>
      </c>
    </row>
    <row r="38" spans="2:40" x14ac:dyDescent="0.15">
      <c r="B38" s="17"/>
      <c r="C38" s="18"/>
      <c r="G38" s="18">
        <f t="shared" si="11"/>
        <v>3.7000000000000005E-2</v>
      </c>
      <c r="H38" s="18">
        <f t="shared" si="6"/>
        <v>4.8080955218609986E-2</v>
      </c>
      <c r="I38" s="20">
        <f t="shared" si="7"/>
        <v>129.94852761786481</v>
      </c>
      <c r="K38" s="18">
        <f t="shared" si="8"/>
        <v>1</v>
      </c>
      <c r="L38" s="18">
        <f t="shared" si="9"/>
        <v>1</v>
      </c>
      <c r="M38" s="20">
        <f t="shared" si="10"/>
        <v>100</v>
      </c>
      <c r="Z38">
        <v>36</v>
      </c>
      <c r="AA38" t="s">
        <v>38</v>
      </c>
      <c r="AB38" s="17">
        <v>21626</v>
      </c>
      <c r="AC38" s="18">
        <v>1.4915634862830785E-2</v>
      </c>
      <c r="AE38" s="17">
        <f>SUMIF('Full List'!$A:$A,'Data Tab'!AA38,'Full List'!$B:$B)</f>
        <v>3239618</v>
      </c>
      <c r="AF38" s="18">
        <v>1.8000000000000002E-2</v>
      </c>
      <c r="AH38">
        <v>7</v>
      </c>
      <c r="AI38" t="s">
        <v>49</v>
      </c>
      <c r="AJ38">
        <v>112332</v>
      </c>
      <c r="AK38">
        <v>7.7476329206117994E-2</v>
      </c>
      <c r="AM38">
        <v>25955756</v>
      </c>
      <c r="AN38">
        <v>0.12</v>
      </c>
    </row>
    <row r="39" spans="2:40" x14ac:dyDescent="0.15">
      <c r="B39" s="17"/>
      <c r="C39" s="18"/>
      <c r="G39" s="18">
        <f t="shared" si="11"/>
        <v>3.7000000000000005E-2</v>
      </c>
      <c r="H39" s="18">
        <f t="shared" si="6"/>
        <v>4.8080955218609986E-2</v>
      </c>
      <c r="I39" s="20">
        <f t="shared" si="7"/>
        <v>129.94852761786481</v>
      </c>
      <c r="K39" s="18">
        <f t="shared" si="8"/>
        <v>1</v>
      </c>
      <c r="L39" s="18">
        <f t="shared" si="9"/>
        <v>1</v>
      </c>
      <c r="M39" s="20">
        <f t="shared" si="10"/>
        <v>100</v>
      </c>
      <c r="Z39">
        <v>37</v>
      </c>
      <c r="AA39" t="s">
        <v>39</v>
      </c>
      <c r="AB39" s="17">
        <v>64778</v>
      </c>
      <c r="AC39" s="18">
        <v>4.4677933743847799E-2</v>
      </c>
      <c r="AE39" s="17">
        <f>SUMIF('Full List'!$A:$A,'Data Tab'!AA39,'Full List'!$B:$B)</f>
        <v>8838047</v>
      </c>
      <c r="AF39" s="18">
        <v>5.0999999999999997E-2</v>
      </c>
      <c r="AH39">
        <v>6</v>
      </c>
      <c r="AI39" t="s">
        <v>48</v>
      </c>
      <c r="AJ39">
        <v>90619</v>
      </c>
      <c r="AK39">
        <v>6.2500689708446452E-2</v>
      </c>
      <c r="AM39">
        <v>17774072</v>
      </c>
      <c r="AN39">
        <v>9.6999999999999989E-2</v>
      </c>
    </row>
    <row r="40" spans="2:40" x14ac:dyDescent="0.15">
      <c r="B40" s="17"/>
      <c r="C40" s="18"/>
      <c r="G40" s="18">
        <f t="shared" si="11"/>
        <v>3.7000000000000005E-2</v>
      </c>
      <c r="H40" s="18">
        <f t="shared" si="6"/>
        <v>4.8080955218609986E-2</v>
      </c>
      <c r="I40" s="20">
        <f t="shared" si="7"/>
        <v>129.94852761786481</v>
      </c>
      <c r="K40" s="18">
        <f t="shared" si="8"/>
        <v>1</v>
      </c>
      <c r="L40" s="18">
        <f t="shared" si="9"/>
        <v>1</v>
      </c>
      <c r="M40" s="20">
        <f t="shared" si="10"/>
        <v>100</v>
      </c>
      <c r="Z40">
        <v>38</v>
      </c>
      <c r="AA40" t="s">
        <v>40</v>
      </c>
      <c r="AB40" s="17">
        <v>33579</v>
      </c>
      <c r="AC40" s="18">
        <v>2.3159719923194069E-2</v>
      </c>
      <c r="AE40" s="17">
        <f>SUMIF('Full List'!$A:$A,'Data Tab'!AA40,'Full List'!$B:$B)</f>
        <v>2716818</v>
      </c>
      <c r="AF40" s="18">
        <v>1.3999999999999999E-2</v>
      </c>
      <c r="AH40">
        <v>29</v>
      </c>
      <c r="AI40" t="s">
        <v>71</v>
      </c>
      <c r="AJ40">
        <v>89695</v>
      </c>
      <c r="AK40">
        <v>6.1863399103930787E-2</v>
      </c>
      <c r="AM40">
        <v>11884401</v>
      </c>
      <c r="AN40">
        <v>0.06</v>
      </c>
    </row>
    <row r="41" spans="2:40" x14ac:dyDescent="0.15">
      <c r="G41" s="18">
        <f t="shared" si="11"/>
        <v>3.7000000000000005E-2</v>
      </c>
      <c r="H41" s="18">
        <f t="shared" si="6"/>
        <v>4.8080955218609986E-2</v>
      </c>
      <c r="I41" s="20">
        <f t="shared" si="7"/>
        <v>129.94852761786481</v>
      </c>
      <c r="K41" s="18">
        <f t="shared" si="8"/>
        <v>1</v>
      </c>
      <c r="L41" s="18">
        <f t="shared" si="9"/>
        <v>1</v>
      </c>
      <c r="M41" s="20">
        <f t="shared" si="10"/>
        <v>100</v>
      </c>
      <c r="Z41">
        <v>39</v>
      </c>
      <c r="AA41" t="s">
        <v>41</v>
      </c>
      <c r="AB41" s="17">
        <v>43564</v>
      </c>
      <c r="AC41" s="18">
        <v>3.004645876095257E-2</v>
      </c>
      <c r="AE41" s="17">
        <f>SUMIF('Full List'!$A:$A,'Data Tab'!AA41,'Full List'!$B:$B)</f>
        <v>5712271</v>
      </c>
      <c r="AF41" s="18">
        <v>2.7000000000000003E-2</v>
      </c>
      <c r="AH41">
        <v>22</v>
      </c>
      <c r="AI41" t="s">
        <v>64</v>
      </c>
      <c r="AJ41">
        <v>66916</v>
      </c>
      <c r="AK41">
        <v>4.6152530402348318E-2</v>
      </c>
      <c r="AM41">
        <v>12080426</v>
      </c>
      <c r="AN41">
        <v>6.3E-2</v>
      </c>
    </row>
    <row r="42" spans="2:40" x14ac:dyDescent="0.15">
      <c r="G42" s="18">
        <f t="shared" si="11"/>
        <v>3.7000000000000005E-2</v>
      </c>
      <c r="H42" s="18">
        <f t="shared" si="6"/>
        <v>4.8080955218609986E-2</v>
      </c>
      <c r="I42" s="20">
        <f t="shared" si="7"/>
        <v>129.94852761786481</v>
      </c>
      <c r="K42" s="18">
        <f t="shared" si="8"/>
        <v>1</v>
      </c>
      <c r="L42" s="18">
        <f t="shared" si="9"/>
        <v>1</v>
      </c>
      <c r="M42" s="20">
        <f t="shared" si="10"/>
        <v>100</v>
      </c>
      <c r="Z42">
        <v>40</v>
      </c>
      <c r="AA42" t="s">
        <v>42</v>
      </c>
      <c r="AB42" s="17">
        <v>69712</v>
      </c>
      <c r="AC42" s="18">
        <v>4.8080955218609986E-2</v>
      </c>
      <c r="AE42" s="17">
        <f>SUMIF('Full List'!$A:$A,'Data Tab'!AA42,'Full List'!$B:$B)</f>
        <v>6374284</v>
      </c>
      <c r="AF42" s="18">
        <v>3.7000000000000005E-2</v>
      </c>
      <c r="AH42">
        <v>20</v>
      </c>
      <c r="AI42" t="s">
        <v>62</v>
      </c>
      <c r="AJ42">
        <v>63417</v>
      </c>
      <c r="AK42">
        <v>4.3739240548235449E-2</v>
      </c>
      <c r="AM42">
        <v>18694907</v>
      </c>
      <c r="AN42">
        <v>8.900000000000001E-2</v>
      </c>
    </row>
    <row r="43" spans="2:40" x14ac:dyDescent="0.15">
      <c r="G43" s="18">
        <f t="shared" si="11"/>
        <v>3.7000000000000005E-2</v>
      </c>
      <c r="H43" s="18">
        <f t="shared" si="6"/>
        <v>4.8080955218609986E-2</v>
      </c>
      <c r="I43" s="20">
        <f t="shared" si="7"/>
        <v>129.94852761786481</v>
      </c>
      <c r="K43" s="18">
        <f t="shared" si="8"/>
        <v>1</v>
      </c>
      <c r="L43" s="18">
        <f t="shared" si="9"/>
        <v>1</v>
      </c>
      <c r="M43" s="20">
        <f t="shared" si="10"/>
        <v>100</v>
      </c>
      <c r="Z43">
        <v>1</v>
      </c>
      <c r="AA43" t="s">
        <v>43</v>
      </c>
      <c r="AB43" s="17">
        <v>137242</v>
      </c>
      <c r="AC43" s="18">
        <v>9.4656966607075857E-2</v>
      </c>
      <c r="AE43" s="17">
        <f>SUMIF('Full List'!$A:$A,'Data Tab'!AA43,'Full List'!$B:$B)</f>
        <v>15628488</v>
      </c>
      <c r="AF43" s="18">
        <v>8.8000000000000009E-2</v>
      </c>
    </row>
    <row r="44" spans="2:40" x14ac:dyDescent="0.15">
      <c r="G44" s="18">
        <f t="shared" si="11"/>
        <v>3.7000000000000005E-2</v>
      </c>
      <c r="H44" s="18">
        <f t="shared" si="6"/>
        <v>4.8080955218609986E-2</v>
      </c>
      <c r="I44" s="20">
        <f t="shared" si="7"/>
        <v>129.94852761786481</v>
      </c>
      <c r="K44" s="18">
        <f t="shared" si="8"/>
        <v>1</v>
      </c>
      <c r="L44" s="18">
        <f t="shared" si="9"/>
        <v>1</v>
      </c>
      <c r="M44" s="20">
        <f t="shared" si="10"/>
        <v>100</v>
      </c>
      <c r="Z44">
        <v>2</v>
      </c>
      <c r="AA44" t="s">
        <v>44</v>
      </c>
      <c r="AB44" s="17">
        <v>199035</v>
      </c>
      <c r="AC44" s="18">
        <v>0.13727612063828379</v>
      </c>
      <c r="AE44" s="17">
        <f>SUMIF('Full List'!$A:$A,'Data Tab'!AA44,'Full List'!$B:$B)</f>
        <v>19815775</v>
      </c>
      <c r="AF44" s="18">
        <v>0.10800000000000001</v>
      </c>
    </row>
    <row r="45" spans="2:40" x14ac:dyDescent="0.15">
      <c r="G45" s="18">
        <f t="shared" si="11"/>
        <v>3.7000000000000005E-2</v>
      </c>
      <c r="H45" s="18">
        <f t="shared" si="6"/>
        <v>4.8080955218609986E-2</v>
      </c>
      <c r="I45" s="20">
        <f t="shared" si="7"/>
        <v>129.94852761786481</v>
      </c>
      <c r="K45" s="18">
        <f t="shared" si="8"/>
        <v>1</v>
      </c>
      <c r="L45" s="18">
        <f t="shared" si="9"/>
        <v>1</v>
      </c>
      <c r="M45" s="20">
        <f t="shared" si="10"/>
        <v>100</v>
      </c>
      <c r="Z45">
        <v>3</v>
      </c>
      <c r="AA45" t="s">
        <v>45</v>
      </c>
      <c r="AB45" s="17">
        <v>456184</v>
      </c>
      <c r="AC45" s="18">
        <v>0.31463395793330245</v>
      </c>
      <c r="AE45" s="17">
        <f>SUMIF('Full List'!$A:$A,'Data Tab'!AA45,'Full List'!$B:$B)</f>
        <v>33987596</v>
      </c>
      <c r="AF45" s="18">
        <v>0.193</v>
      </c>
    </row>
    <row r="46" spans="2:40" x14ac:dyDescent="0.15">
      <c r="G46" s="18">
        <f t="shared" si="11"/>
        <v>3.7000000000000005E-2</v>
      </c>
      <c r="H46" s="18">
        <f t="shared" si="6"/>
        <v>4.8080955218609986E-2</v>
      </c>
      <c r="I46" s="20">
        <f t="shared" si="7"/>
        <v>129.94852761786481</v>
      </c>
      <c r="K46" s="18">
        <f t="shared" si="8"/>
        <v>1</v>
      </c>
      <c r="L46" s="18">
        <f t="shared" si="9"/>
        <v>1</v>
      </c>
      <c r="M46" s="20">
        <f t="shared" si="10"/>
        <v>100</v>
      </c>
      <c r="Z46">
        <v>4</v>
      </c>
      <c r="AA46" t="s">
        <v>46</v>
      </c>
      <c r="AB46" s="17">
        <v>541643</v>
      </c>
      <c r="AC46" s="18">
        <v>0.37357575205809002</v>
      </c>
      <c r="AE46" s="17">
        <f>SUMIF('Full List'!$A:$A,'Data Tab'!AA46,'Full List'!$B:$B)</f>
        <v>60920271</v>
      </c>
      <c r="AF46" s="18">
        <v>0.32899999999999996</v>
      </c>
    </row>
    <row r="47" spans="2:40" x14ac:dyDescent="0.15">
      <c r="G47" s="18">
        <f t="shared" si="11"/>
        <v>3.7000000000000005E-2</v>
      </c>
      <c r="H47" s="18">
        <f t="shared" si="6"/>
        <v>4.8080955218609986E-2</v>
      </c>
      <c r="I47" s="20">
        <f t="shared" si="7"/>
        <v>129.94852761786481</v>
      </c>
      <c r="K47" s="18">
        <f t="shared" si="8"/>
        <v>1</v>
      </c>
      <c r="L47" s="18">
        <f t="shared" si="9"/>
        <v>1</v>
      </c>
      <c r="M47" s="20">
        <f t="shared" si="10"/>
        <v>100</v>
      </c>
      <c r="Z47">
        <v>5</v>
      </c>
      <c r="AA47" t="s">
        <v>47</v>
      </c>
      <c r="AB47" s="17">
        <v>1050394</v>
      </c>
      <c r="AC47" s="18">
        <v>0.72446561389569397</v>
      </c>
      <c r="AE47" s="17">
        <f>SUMIF('Full List'!$A:$A,'Data Tab'!AA47,'Full List'!$B:$B)</f>
        <v>79261340</v>
      </c>
      <c r="AF47" s="18">
        <v>0.435</v>
      </c>
    </row>
    <row r="48" spans="2:40" x14ac:dyDescent="0.15">
      <c r="G48" s="18">
        <f t="shared" si="11"/>
        <v>3.7000000000000005E-2</v>
      </c>
      <c r="H48" s="18">
        <f t="shared" si="6"/>
        <v>4.8080955218609986E-2</v>
      </c>
      <c r="I48" s="20">
        <f t="shared" si="7"/>
        <v>129.94852761786481</v>
      </c>
      <c r="K48" s="18">
        <f t="shared" si="8"/>
        <v>1</v>
      </c>
      <c r="L48" s="18">
        <f t="shared" si="9"/>
        <v>1</v>
      </c>
      <c r="M48" s="20">
        <f t="shared" si="10"/>
        <v>100</v>
      </c>
      <c r="Z48">
        <v>6</v>
      </c>
      <c r="AA48" t="s">
        <v>48</v>
      </c>
      <c r="AB48" s="17">
        <v>90619</v>
      </c>
      <c r="AC48" s="18">
        <v>6.2500689708446452E-2</v>
      </c>
      <c r="AE48" s="17">
        <f>SUMIF('Full List'!$A:$A,'Data Tab'!AA48,'Full List'!$B:$B)</f>
        <v>17774072</v>
      </c>
      <c r="AF48" s="18">
        <v>9.6999999999999989E-2</v>
      </c>
    </row>
    <row r="49" spans="7:32" x14ac:dyDescent="0.15">
      <c r="G49" s="18">
        <f t="shared" si="11"/>
        <v>3.7000000000000005E-2</v>
      </c>
      <c r="H49" s="18">
        <f t="shared" si="6"/>
        <v>4.8080955218609986E-2</v>
      </c>
      <c r="I49" s="20">
        <f t="shared" si="7"/>
        <v>129.94852761786481</v>
      </c>
      <c r="K49" s="18">
        <f t="shared" si="8"/>
        <v>1</v>
      </c>
      <c r="L49" s="18">
        <f t="shared" si="9"/>
        <v>1</v>
      </c>
      <c r="M49" s="20">
        <f t="shared" si="10"/>
        <v>100</v>
      </c>
      <c r="Z49">
        <v>7</v>
      </c>
      <c r="AA49" t="s">
        <v>49</v>
      </c>
      <c r="AB49" s="17">
        <v>112332</v>
      </c>
      <c r="AC49" s="18">
        <v>7.7476329206117994E-2</v>
      </c>
      <c r="AE49" s="17">
        <f>SUMIF('Full List'!$A:$A,'Data Tab'!AA49,'Full List'!$B:$B)</f>
        <v>25955756</v>
      </c>
      <c r="AF49" s="18">
        <v>0.12</v>
      </c>
    </row>
    <row r="50" spans="7:32" x14ac:dyDescent="0.15">
      <c r="G50" s="18">
        <f t="shared" si="11"/>
        <v>3.7000000000000005E-2</v>
      </c>
      <c r="H50" s="18">
        <f t="shared" si="6"/>
        <v>4.8080955218609986E-2</v>
      </c>
      <c r="I50" s="20">
        <f t="shared" si="7"/>
        <v>129.94852761786481</v>
      </c>
      <c r="K50" s="18">
        <f t="shared" si="8"/>
        <v>1</v>
      </c>
      <c r="L50" s="18">
        <f t="shared" si="9"/>
        <v>1</v>
      </c>
      <c r="M50" s="20">
        <f t="shared" si="10"/>
        <v>100</v>
      </c>
      <c r="Z50">
        <v>8</v>
      </c>
      <c r="AA50" t="s">
        <v>50</v>
      </c>
      <c r="AB50" s="17">
        <v>218148</v>
      </c>
      <c r="AC50" s="18">
        <v>0.15045851817519698</v>
      </c>
      <c r="AE50" s="17">
        <f>SUMIF('Full List'!$A:$A,'Data Tab'!AA50,'Full List'!$B:$B)</f>
        <v>30175755</v>
      </c>
      <c r="AF50" s="18">
        <v>0.16500000000000001</v>
      </c>
    </row>
    <row r="51" spans="7:32" x14ac:dyDescent="0.15">
      <c r="G51" s="18">
        <f t="shared" si="11"/>
        <v>3.7000000000000005E-2</v>
      </c>
      <c r="H51" s="18">
        <f t="shared" si="6"/>
        <v>4.8080955218609986E-2</v>
      </c>
      <c r="I51" s="20">
        <f t="shared" si="7"/>
        <v>129.94852761786481</v>
      </c>
      <c r="K51" s="18">
        <f t="shared" si="8"/>
        <v>1</v>
      </c>
      <c r="L51" s="18">
        <f t="shared" si="9"/>
        <v>1</v>
      </c>
      <c r="M51" s="20">
        <f t="shared" si="10"/>
        <v>100</v>
      </c>
      <c r="Z51">
        <v>9</v>
      </c>
      <c r="AA51" t="s">
        <v>51</v>
      </c>
      <c r="AB51" s="17">
        <v>386263</v>
      </c>
      <c r="AC51" s="18">
        <v>0.26640885364938532</v>
      </c>
      <c r="AE51" s="17">
        <f>SUMIF('Full List'!$A:$A,'Data Tab'!AA51,'Full List'!$B:$B)</f>
        <v>57040138</v>
      </c>
      <c r="AF51" s="18">
        <v>0.30599999999999999</v>
      </c>
    </row>
    <row r="52" spans="7:32" x14ac:dyDescent="0.15">
      <c r="G52" s="18">
        <f t="shared" si="11"/>
        <v>3.7000000000000005E-2</v>
      </c>
      <c r="H52" s="18">
        <f t="shared" si="6"/>
        <v>4.8080955218609986E-2</v>
      </c>
      <c r="I52" s="20">
        <f t="shared" si="7"/>
        <v>129.94852761786481</v>
      </c>
      <c r="K52" s="18">
        <f t="shared" si="8"/>
        <v>1</v>
      </c>
      <c r="L52" s="18">
        <f t="shared" si="9"/>
        <v>1</v>
      </c>
      <c r="M52" s="20">
        <f t="shared" si="10"/>
        <v>100</v>
      </c>
      <c r="Z52">
        <v>10</v>
      </c>
      <c r="AA52" t="s">
        <v>52</v>
      </c>
      <c r="AB52" s="17">
        <v>207898</v>
      </c>
      <c r="AC52" s="18">
        <v>0.14338900659913043</v>
      </c>
      <c r="AE52" s="17">
        <f>SUMIF('Full List'!$A:$A,'Data Tab'!AA52,'Full List'!$B:$B)</f>
        <v>22993021</v>
      </c>
      <c r="AF52" s="18">
        <v>0.12</v>
      </c>
    </row>
    <row r="53" spans="7:32" x14ac:dyDescent="0.15">
      <c r="G53" s="18">
        <f t="shared" si="11"/>
        <v>3.7000000000000005E-2</v>
      </c>
      <c r="H53" s="18">
        <f t="shared" si="6"/>
        <v>4.8080955218609986E-2</v>
      </c>
      <c r="I53" s="20">
        <f t="shared" si="7"/>
        <v>129.94852761786481</v>
      </c>
      <c r="K53" s="18">
        <f t="shared" si="8"/>
        <v>1</v>
      </c>
      <c r="L53" s="18">
        <f t="shared" si="9"/>
        <v>1</v>
      </c>
      <c r="M53" s="20">
        <f t="shared" si="10"/>
        <v>100</v>
      </c>
      <c r="Z53">
        <v>11</v>
      </c>
      <c r="AA53" t="s">
        <v>53</v>
      </c>
      <c r="AB53" s="17">
        <v>129694</v>
      </c>
      <c r="AC53" s="18">
        <v>8.9451047253305077E-2</v>
      </c>
      <c r="AE53" s="17">
        <f>SUMIF('Full List'!$A:$A,'Data Tab'!AA53,'Full List'!$B:$B)</f>
        <v>15215777</v>
      </c>
      <c r="AF53" s="18">
        <v>0.08</v>
      </c>
    </row>
    <row r="54" spans="7:32" x14ac:dyDescent="0.15">
      <c r="G54" s="18">
        <f t="shared" si="11"/>
        <v>3.7000000000000005E-2</v>
      </c>
      <c r="H54" s="18">
        <f t="shared" si="6"/>
        <v>4.8080955218609986E-2</v>
      </c>
      <c r="I54" s="20">
        <f t="shared" si="7"/>
        <v>129.94852761786481</v>
      </c>
      <c r="K54" s="18">
        <f t="shared" si="8"/>
        <v>1</v>
      </c>
      <c r="L54" s="18">
        <f t="shared" si="9"/>
        <v>1</v>
      </c>
      <c r="M54" s="20">
        <f t="shared" si="10"/>
        <v>100</v>
      </c>
      <c r="Z54">
        <v>12</v>
      </c>
      <c r="AA54" t="s">
        <v>54</v>
      </c>
      <c r="AB54" s="17">
        <v>529094</v>
      </c>
      <c r="AC54" s="18">
        <v>0.36492060076364519</v>
      </c>
      <c r="AE54" s="17">
        <f>SUMIF('Full List'!$A:$A,'Data Tab'!AA54,'Full List'!$B:$B)</f>
        <v>65583467</v>
      </c>
      <c r="AF54" s="18">
        <v>0.33</v>
      </c>
    </row>
    <row r="55" spans="7:32" x14ac:dyDescent="0.15">
      <c r="G55" s="18">
        <f t="shared" si="11"/>
        <v>3.7000000000000005E-2</v>
      </c>
      <c r="H55" s="18">
        <f t="shared" si="6"/>
        <v>4.8080955218609986E-2</v>
      </c>
      <c r="I55" s="20">
        <f t="shared" si="7"/>
        <v>129.94852761786481</v>
      </c>
      <c r="K55" s="18">
        <f t="shared" si="8"/>
        <v>1</v>
      </c>
      <c r="L55" s="18">
        <f t="shared" si="9"/>
        <v>1</v>
      </c>
      <c r="M55" s="20">
        <f t="shared" si="10"/>
        <v>100</v>
      </c>
      <c r="Z55">
        <v>13</v>
      </c>
      <c r="AA55" t="s">
        <v>55</v>
      </c>
      <c r="AB55" s="17">
        <v>581880</v>
      </c>
      <c r="AC55" s="18">
        <v>0.40132755081771831</v>
      </c>
      <c r="AE55" s="17">
        <f>SUMIF('Full List'!$A:$A,'Data Tab'!AA55,'Full List'!$B:$B)</f>
        <v>49549777</v>
      </c>
      <c r="AF55" s="18">
        <v>0.28300000000000003</v>
      </c>
    </row>
    <row r="56" spans="7:32" x14ac:dyDescent="0.15">
      <c r="G56" s="18">
        <f t="shared" si="11"/>
        <v>3.7000000000000005E-2</v>
      </c>
      <c r="H56" s="18">
        <f t="shared" si="6"/>
        <v>4.8080955218609986E-2</v>
      </c>
      <c r="I56" s="20">
        <f t="shared" si="7"/>
        <v>129.94852761786481</v>
      </c>
      <c r="K56" s="18">
        <f t="shared" si="8"/>
        <v>1</v>
      </c>
      <c r="L56" s="18">
        <f t="shared" si="9"/>
        <v>1</v>
      </c>
      <c r="M56" s="20">
        <f t="shared" si="10"/>
        <v>100</v>
      </c>
      <c r="Z56">
        <v>14</v>
      </c>
      <c r="AA56" t="s">
        <v>56</v>
      </c>
      <c r="AB56" s="17">
        <v>290590</v>
      </c>
      <c r="AC56" s="18">
        <v>0.20042237745260325</v>
      </c>
      <c r="AE56" s="17">
        <f>SUMIF('Full List'!$A:$A,'Data Tab'!AA56,'Full List'!$B:$B)</f>
        <v>42298575</v>
      </c>
      <c r="AF56" s="18">
        <v>0.22899999999999998</v>
      </c>
    </row>
    <row r="57" spans="7:32" x14ac:dyDescent="0.15">
      <c r="G57" s="18">
        <f t="shared" si="11"/>
        <v>3.7000000000000005E-2</v>
      </c>
      <c r="H57" s="18">
        <f t="shared" si="6"/>
        <v>4.8080955218609986E-2</v>
      </c>
      <c r="I57" s="20">
        <f t="shared" si="7"/>
        <v>129.94852761786481</v>
      </c>
      <c r="K57" s="18">
        <f t="shared" si="8"/>
        <v>1</v>
      </c>
      <c r="L57" s="18">
        <f t="shared" si="9"/>
        <v>1</v>
      </c>
      <c r="M57" s="20">
        <f t="shared" si="10"/>
        <v>100</v>
      </c>
      <c r="Z57">
        <v>15</v>
      </c>
      <c r="AA57" t="s">
        <v>57</v>
      </c>
      <c r="AB57" s="17">
        <v>249303</v>
      </c>
      <c r="AC57" s="18">
        <v>0.1719463848242071</v>
      </c>
      <c r="AE57" s="17">
        <f>SUMIF('Full List'!$A:$A,'Data Tab'!AA57,'Full List'!$B:$B)</f>
        <v>26325347</v>
      </c>
      <c r="AF57" s="18">
        <v>0.14400000000000002</v>
      </c>
    </row>
    <row r="58" spans="7:32" x14ac:dyDescent="0.15">
      <c r="G58" s="18">
        <f t="shared" si="11"/>
        <v>3.7000000000000005E-2</v>
      </c>
      <c r="H58" s="18">
        <f t="shared" si="6"/>
        <v>4.8080955218609986E-2</v>
      </c>
      <c r="I58" s="20">
        <f t="shared" si="7"/>
        <v>129.94852761786481</v>
      </c>
      <c r="K58" s="18">
        <f t="shared" si="8"/>
        <v>1</v>
      </c>
      <c r="L58" s="18">
        <f t="shared" si="9"/>
        <v>1</v>
      </c>
      <c r="M58" s="20">
        <f t="shared" si="10"/>
        <v>100</v>
      </c>
      <c r="Z58">
        <v>16</v>
      </c>
      <c r="AA58" t="s">
        <v>58</v>
      </c>
      <c r="AB58" s="17">
        <v>196632</v>
      </c>
      <c r="AC58" s="18">
        <v>0.13561875124147521</v>
      </c>
      <c r="AE58" s="17">
        <f>SUMIF('Full List'!$A:$A,'Data Tab'!AA58,'Full List'!$B:$B)</f>
        <v>21969249</v>
      </c>
      <c r="AF58" s="18">
        <v>0.11800000000000001</v>
      </c>
    </row>
    <row r="59" spans="7:32" x14ac:dyDescent="0.15">
      <c r="G59" s="18">
        <f t="shared" si="11"/>
        <v>3.7000000000000005E-2</v>
      </c>
      <c r="H59" s="18">
        <f t="shared" si="6"/>
        <v>4.8080955218609986E-2</v>
      </c>
      <c r="I59" s="20">
        <f t="shared" si="7"/>
        <v>129.94852761786481</v>
      </c>
      <c r="K59" s="18">
        <f t="shared" si="8"/>
        <v>1</v>
      </c>
      <c r="L59" s="18">
        <f t="shared" si="9"/>
        <v>1</v>
      </c>
      <c r="M59" s="20">
        <f t="shared" si="10"/>
        <v>100</v>
      </c>
      <c r="Z59">
        <v>17</v>
      </c>
      <c r="AA59" t="s">
        <v>59</v>
      </c>
      <c r="AB59" s="17">
        <v>592642</v>
      </c>
      <c r="AC59" s="18">
        <v>0.40875019311836502</v>
      </c>
      <c r="AE59" s="17">
        <f>SUMIF('Full List'!$A:$A,'Data Tab'!AA59,'Full List'!$B:$B)</f>
        <v>93589648</v>
      </c>
      <c r="AF59" s="18">
        <v>0.48599999999999999</v>
      </c>
    </row>
    <row r="60" spans="7:32" x14ac:dyDescent="0.15">
      <c r="G60" s="18">
        <f t="shared" si="11"/>
        <v>3.7000000000000005E-2</v>
      </c>
      <c r="H60" s="18">
        <f t="shared" si="6"/>
        <v>4.8080955218609986E-2</v>
      </c>
      <c r="I60" s="20">
        <f t="shared" si="7"/>
        <v>129.94852761786481</v>
      </c>
      <c r="K60" s="18">
        <f t="shared" si="8"/>
        <v>1</v>
      </c>
      <c r="L60" s="18">
        <f t="shared" si="9"/>
        <v>1</v>
      </c>
      <c r="M60" s="20">
        <f t="shared" si="10"/>
        <v>100</v>
      </c>
      <c r="Z60">
        <v>18</v>
      </c>
      <c r="AA60" t="s">
        <v>60</v>
      </c>
      <c r="AB60" s="17">
        <v>144972</v>
      </c>
      <c r="AC60" s="18">
        <v>9.9988412898099718E-2</v>
      </c>
      <c r="AE60" s="17">
        <f>SUMIF('Full List'!$A:$A,'Data Tab'!AA60,'Full List'!$B:$B)</f>
        <v>32562989</v>
      </c>
      <c r="AF60" s="18">
        <v>0.16</v>
      </c>
    </row>
    <row r="61" spans="7:32" x14ac:dyDescent="0.15">
      <c r="G61" s="18">
        <f t="shared" si="11"/>
        <v>3.7000000000000005E-2</v>
      </c>
      <c r="H61" s="18">
        <f t="shared" si="6"/>
        <v>4.8080955218609986E-2</v>
      </c>
      <c r="I61" s="20">
        <f t="shared" si="7"/>
        <v>129.94852761786481</v>
      </c>
      <c r="K61" s="18">
        <f t="shared" si="8"/>
        <v>1</v>
      </c>
      <c r="L61" s="18">
        <f t="shared" si="9"/>
        <v>1</v>
      </c>
      <c r="M61" s="20">
        <f t="shared" si="10"/>
        <v>100</v>
      </c>
      <c r="Z61">
        <v>19</v>
      </c>
      <c r="AA61" t="s">
        <v>61</v>
      </c>
      <c r="AB61" s="17">
        <v>233163</v>
      </c>
      <c r="AC61" s="18">
        <v>0.16081449049857643</v>
      </c>
      <c r="AE61" s="17">
        <f>SUMIF('Full List'!$A:$A,'Data Tab'!AA61,'Full List'!$B:$B)</f>
        <v>33351037</v>
      </c>
      <c r="AF61" s="18">
        <v>0.17399999999999999</v>
      </c>
    </row>
    <row r="62" spans="7:32" x14ac:dyDescent="0.15">
      <c r="G62" s="18">
        <f t="shared" si="11"/>
        <v>3.7000000000000005E-2</v>
      </c>
      <c r="H62" s="18">
        <f t="shared" si="6"/>
        <v>4.8080955218609986E-2</v>
      </c>
      <c r="I62" s="20">
        <f t="shared" si="7"/>
        <v>129.94852761786481</v>
      </c>
      <c r="K62" s="18">
        <f t="shared" si="8"/>
        <v>1</v>
      </c>
      <c r="L62" s="18">
        <f t="shared" si="9"/>
        <v>1</v>
      </c>
      <c r="M62" s="20">
        <f t="shared" si="10"/>
        <v>100</v>
      </c>
      <c r="Z62">
        <v>20</v>
      </c>
      <c r="AA62" t="s">
        <v>62</v>
      </c>
      <c r="AB62" s="17">
        <v>63417</v>
      </c>
      <c r="AC62" s="18">
        <v>4.3739240548235449E-2</v>
      </c>
      <c r="AE62" s="17">
        <f>SUMIF('Full List'!$A:$A,'Data Tab'!AA62,'Full List'!$B:$B)</f>
        <v>18694907</v>
      </c>
      <c r="AF62" s="18">
        <v>8.900000000000001E-2</v>
      </c>
    </row>
    <row r="63" spans="7:32" x14ac:dyDescent="0.15">
      <c r="G63" s="18">
        <f t="shared" si="11"/>
        <v>3.7000000000000005E-2</v>
      </c>
      <c r="H63" s="18">
        <f t="shared" si="6"/>
        <v>4.8080955218609986E-2</v>
      </c>
      <c r="I63" s="20">
        <f t="shared" si="7"/>
        <v>129.94852761786481</v>
      </c>
      <c r="K63" s="18">
        <f t="shared" si="8"/>
        <v>1</v>
      </c>
      <c r="L63" s="18">
        <f t="shared" si="9"/>
        <v>1</v>
      </c>
      <c r="M63" s="20">
        <f t="shared" si="10"/>
        <v>100</v>
      </c>
      <c r="Z63">
        <v>21</v>
      </c>
      <c r="AA63" t="s">
        <v>63</v>
      </c>
      <c r="AB63" s="17">
        <v>257154</v>
      </c>
      <c r="AC63" s="18">
        <v>0.17736128583725089</v>
      </c>
      <c r="AE63" s="17">
        <f>SUMIF('Full List'!$A:$A,'Data Tab'!AA63,'Full List'!$B:$B)</f>
        <v>27620666</v>
      </c>
      <c r="AF63" s="18">
        <v>0.14800000000000002</v>
      </c>
    </row>
    <row r="64" spans="7:32" x14ac:dyDescent="0.15">
      <c r="G64" s="18">
        <f t="shared" si="11"/>
        <v>3.7000000000000005E-2</v>
      </c>
      <c r="H64" s="18">
        <f t="shared" si="6"/>
        <v>4.8080955218609986E-2</v>
      </c>
      <c r="I64" s="20">
        <f t="shared" si="7"/>
        <v>129.94852761786481</v>
      </c>
      <c r="K64" s="18">
        <f t="shared" si="8"/>
        <v>1</v>
      </c>
      <c r="L64" s="18">
        <f t="shared" si="9"/>
        <v>1</v>
      </c>
      <c r="M64" s="20">
        <f t="shared" si="10"/>
        <v>100</v>
      </c>
      <c r="Z64">
        <v>22</v>
      </c>
      <c r="AA64" t="s">
        <v>64</v>
      </c>
      <c r="AB64" s="17">
        <v>66916</v>
      </c>
      <c r="AC64" s="18">
        <v>4.6152530402348318E-2</v>
      </c>
      <c r="AE64" s="17">
        <f>SUMIF('Full List'!$A:$A,'Data Tab'!AA64,'Full List'!$B:$B)</f>
        <v>12080426</v>
      </c>
      <c r="AF64" s="18">
        <v>6.3E-2</v>
      </c>
    </row>
    <row r="65" spans="7:32" x14ac:dyDescent="0.15">
      <c r="G65" s="18">
        <f t="shared" si="11"/>
        <v>3.7000000000000005E-2</v>
      </c>
      <c r="H65" s="18">
        <f t="shared" si="6"/>
        <v>4.8080955218609986E-2</v>
      </c>
      <c r="I65" s="20">
        <f t="shared" si="7"/>
        <v>129.94852761786481</v>
      </c>
      <c r="K65" s="18">
        <f t="shared" si="8"/>
        <v>1</v>
      </c>
      <c r="L65" s="18">
        <f t="shared" si="9"/>
        <v>1</v>
      </c>
      <c r="M65" s="20">
        <f t="shared" si="10"/>
        <v>100</v>
      </c>
      <c r="Z65">
        <v>23</v>
      </c>
      <c r="AA65" t="s">
        <v>65</v>
      </c>
      <c r="AB65" s="17">
        <v>204347</v>
      </c>
      <c r="AC65" s="18">
        <v>0.14093985190580238</v>
      </c>
      <c r="AE65" s="17">
        <f>SUMIF('Full List'!$A:$A,'Data Tab'!AA65,'Full List'!$B:$B)</f>
        <v>26040862</v>
      </c>
      <c r="AF65" s="18">
        <v>0.14899999999999999</v>
      </c>
    </row>
    <row r="66" spans="7:32" x14ac:dyDescent="0.15">
      <c r="G66" s="18">
        <f t="shared" si="11"/>
        <v>3.7000000000000005E-2</v>
      </c>
      <c r="H66" s="18">
        <f t="shared" si="6"/>
        <v>4.8080955218609986E-2</v>
      </c>
      <c r="I66" s="20">
        <f t="shared" si="7"/>
        <v>129.94852761786481</v>
      </c>
      <c r="K66" s="18">
        <f t="shared" si="8"/>
        <v>1</v>
      </c>
      <c r="L66" s="18">
        <f t="shared" si="9"/>
        <v>1</v>
      </c>
      <c r="M66" s="20">
        <f t="shared" si="10"/>
        <v>100</v>
      </c>
      <c r="Z66">
        <v>24</v>
      </c>
      <c r="AA66" t="s">
        <v>66</v>
      </c>
      <c r="AB66" s="17">
        <v>118500</v>
      </c>
      <c r="AC66" s="18">
        <v>8.1730450903793952E-2</v>
      </c>
      <c r="AE66" s="17">
        <f>SUMIF('Full List'!$A:$A,'Data Tab'!AA66,'Full List'!$B:$B)</f>
        <v>14499964</v>
      </c>
      <c r="AF66" s="18">
        <v>0.08</v>
      </c>
    </row>
    <row r="67" spans="7:32" x14ac:dyDescent="0.15">
      <c r="G67" s="18">
        <f t="shared" si="11"/>
        <v>3.7000000000000005E-2</v>
      </c>
      <c r="H67" s="18">
        <f t="shared" si="6"/>
        <v>4.8080955218609986E-2</v>
      </c>
      <c r="I67" s="20">
        <f t="shared" si="7"/>
        <v>129.94852761786481</v>
      </c>
      <c r="K67" s="18">
        <f t="shared" si="8"/>
        <v>1</v>
      </c>
      <c r="L67" s="18">
        <f t="shared" si="9"/>
        <v>1</v>
      </c>
      <c r="M67" s="20">
        <f t="shared" si="10"/>
        <v>100</v>
      </c>
      <c r="Z67">
        <v>25</v>
      </c>
      <c r="AA67" t="s">
        <v>67</v>
      </c>
      <c r="AB67" s="17">
        <v>471697</v>
      </c>
      <c r="AC67" s="18">
        <v>0.32533340506301178</v>
      </c>
      <c r="AE67" s="17">
        <f>SUMIF('Full List'!$A:$A,'Data Tab'!AA67,'Full List'!$B:$B)</f>
        <v>46729944</v>
      </c>
      <c r="AF67" s="18">
        <v>0.26</v>
      </c>
    </row>
    <row r="68" spans="7:32" x14ac:dyDescent="0.15">
      <c r="G68" s="18">
        <f t="shared" si="11"/>
        <v>3.7000000000000005E-2</v>
      </c>
      <c r="H68" s="18">
        <f t="shared" si="6"/>
        <v>4.8080955218609986E-2</v>
      </c>
      <c r="I68" s="20">
        <f t="shared" si="7"/>
        <v>129.94852761786481</v>
      </c>
      <c r="K68" s="18">
        <f t="shared" si="8"/>
        <v>1</v>
      </c>
      <c r="L68" s="18">
        <f t="shared" si="9"/>
        <v>1</v>
      </c>
      <c r="M68" s="20">
        <f t="shared" si="10"/>
        <v>100</v>
      </c>
      <c r="Z68">
        <v>26</v>
      </c>
      <c r="AA68" t="s">
        <v>68</v>
      </c>
      <c r="AB68" s="17">
        <v>453408</v>
      </c>
      <c r="AC68" s="18">
        <v>0.31271932728596968</v>
      </c>
      <c r="AE68" s="17">
        <f>SUMIF('Full List'!$A:$A,'Data Tab'!AA68,'Full List'!$B:$B)</f>
        <v>69289140</v>
      </c>
      <c r="AF68" s="18">
        <v>0.34799999999999998</v>
      </c>
    </row>
    <row r="69" spans="7:32" x14ac:dyDescent="0.15">
      <c r="G69" s="18">
        <f t="shared" si="11"/>
        <v>3.7000000000000005E-2</v>
      </c>
      <c r="H69" s="18">
        <f t="shared" si="6"/>
        <v>4.8080955218609986E-2</v>
      </c>
      <c r="I69" s="20">
        <f t="shared" si="7"/>
        <v>129.94852761786481</v>
      </c>
      <c r="K69" s="18">
        <f t="shared" si="8"/>
        <v>1</v>
      </c>
      <c r="L69" s="18">
        <f t="shared" si="9"/>
        <v>1</v>
      </c>
      <c r="M69" s="20">
        <f t="shared" si="10"/>
        <v>100</v>
      </c>
      <c r="Z69">
        <v>27</v>
      </c>
      <c r="AA69" t="s">
        <v>69</v>
      </c>
      <c r="AB69" s="17">
        <v>824413</v>
      </c>
      <c r="AC69" s="18">
        <v>0.56860460945948932</v>
      </c>
      <c r="AE69" s="17">
        <f>SUMIF('Full List'!$A:$A,'Data Tab'!AA69,'Full List'!$B:$B)</f>
        <v>116812734</v>
      </c>
      <c r="AF69" s="18">
        <v>0.61099999999999999</v>
      </c>
    </row>
    <row r="70" spans="7:32" x14ac:dyDescent="0.15">
      <c r="G70" s="18">
        <f t="shared" si="11"/>
        <v>3.7000000000000005E-2</v>
      </c>
      <c r="H70" s="18">
        <f t="shared" si="6"/>
        <v>4.8080955218609986E-2</v>
      </c>
      <c r="I70" s="20">
        <f t="shared" si="7"/>
        <v>129.94852761786481</v>
      </c>
      <c r="K70" s="18">
        <f t="shared" si="8"/>
        <v>1</v>
      </c>
      <c r="L70" s="18">
        <f t="shared" si="9"/>
        <v>1</v>
      </c>
      <c r="M70" s="20">
        <f t="shared" si="10"/>
        <v>100</v>
      </c>
      <c r="Z70">
        <v>28</v>
      </c>
      <c r="AA70" t="s">
        <v>70</v>
      </c>
      <c r="AB70" s="17">
        <v>164836</v>
      </c>
      <c r="AC70" s="18">
        <v>0.11368878147829349</v>
      </c>
      <c r="AE70" s="17">
        <f>SUMIF('Full List'!$A:$A,'Data Tab'!AA70,'Full List'!$B:$B)</f>
        <v>47809866</v>
      </c>
      <c r="AF70" s="18">
        <v>0.247</v>
      </c>
    </row>
    <row r="71" spans="7:32" x14ac:dyDescent="0.15">
      <c r="G71" s="18">
        <f t="shared" si="11"/>
        <v>3.7000000000000005E-2</v>
      </c>
      <c r="H71" s="18">
        <f t="shared" si="6"/>
        <v>4.8080955218609986E-2</v>
      </c>
      <c r="I71" s="20">
        <f t="shared" si="7"/>
        <v>129.94852761786481</v>
      </c>
      <c r="K71" s="18">
        <f t="shared" si="8"/>
        <v>1</v>
      </c>
      <c r="L71" s="18">
        <f t="shared" si="9"/>
        <v>1</v>
      </c>
      <c r="M71" s="20">
        <f t="shared" si="10"/>
        <v>100</v>
      </c>
      <c r="Z71">
        <v>29</v>
      </c>
      <c r="AA71" t="s">
        <v>71</v>
      </c>
      <c r="AB71" s="17">
        <v>89695</v>
      </c>
      <c r="AC71" s="18">
        <v>6.1863399103930787E-2</v>
      </c>
      <c r="AE71" s="17">
        <f>SUMIF('Full List'!$A:$A,'Data Tab'!AA71,'Full List'!$B:$B)</f>
        <v>11884401</v>
      </c>
      <c r="AF71" s="18">
        <v>0.06</v>
      </c>
    </row>
    <row r="72" spans="7:32" x14ac:dyDescent="0.15">
      <c r="G72" s="18">
        <f t="shared" si="11"/>
        <v>3.7000000000000005E-2</v>
      </c>
      <c r="H72" s="18">
        <f t="shared" si="6"/>
        <v>4.8080955218609986E-2</v>
      </c>
      <c r="I72" s="20">
        <f t="shared" si="7"/>
        <v>129.94852761786481</v>
      </c>
      <c r="K72" s="18">
        <f t="shared" si="8"/>
        <v>1</v>
      </c>
      <c r="L72" s="18">
        <f t="shared" si="9"/>
        <v>1</v>
      </c>
      <c r="M72" s="20">
        <f t="shared" si="10"/>
        <v>100</v>
      </c>
      <c r="Z72">
        <v>30</v>
      </c>
      <c r="AA72" t="s">
        <v>72</v>
      </c>
      <c r="AB72" s="17">
        <v>237475</v>
      </c>
      <c r="AC72" s="18">
        <v>0.16378851331964953</v>
      </c>
      <c r="AE72" s="17">
        <f>SUMIF('Full List'!$A:$A,'Data Tab'!AA72,'Full List'!$B:$B)</f>
        <v>23003830</v>
      </c>
      <c r="AF72" s="18">
        <v>0.13100000000000001</v>
      </c>
    </row>
    <row r="73" spans="7:32" x14ac:dyDescent="0.15">
      <c r="G73" s="18">
        <f t="shared" si="11"/>
        <v>3.7000000000000005E-2</v>
      </c>
      <c r="H73" s="18">
        <f t="shared" si="6"/>
        <v>4.8080955218609986E-2</v>
      </c>
      <c r="I73" s="20">
        <f t="shared" si="7"/>
        <v>129.94852761786481</v>
      </c>
      <c r="K73" s="18">
        <f t="shared" si="8"/>
        <v>1</v>
      </c>
      <c r="L73" s="18">
        <f t="shared" si="9"/>
        <v>1</v>
      </c>
      <c r="M73" s="20">
        <f t="shared" si="10"/>
        <v>100</v>
      </c>
      <c r="Z73">
        <v>31</v>
      </c>
      <c r="AA73" t="s">
        <v>73</v>
      </c>
      <c r="AB73" s="17">
        <v>801928</v>
      </c>
      <c r="AC73" s="18">
        <v>0.55309651504116175</v>
      </c>
      <c r="AE73" s="17">
        <f>SUMIF('Full List'!$A:$A,'Data Tab'!AA73,'Full List'!$B:$B)</f>
        <v>113147208</v>
      </c>
      <c r="AF73" s="18">
        <v>0.55700000000000005</v>
      </c>
    </row>
    <row r="74" spans="7:32" x14ac:dyDescent="0.15">
      <c r="G74" s="18">
        <f t="shared" si="11"/>
        <v>3.7000000000000005E-2</v>
      </c>
      <c r="H74" s="18">
        <f t="shared" si="6"/>
        <v>4.8080955218609986E-2</v>
      </c>
      <c r="I74" s="20">
        <f t="shared" si="7"/>
        <v>129.94852761786481</v>
      </c>
      <c r="K74" s="18">
        <f t="shared" si="8"/>
        <v>1</v>
      </c>
      <c r="L74" s="18">
        <f t="shared" si="9"/>
        <v>1</v>
      </c>
      <c r="M74" s="20">
        <f t="shared" si="10"/>
        <v>100</v>
      </c>
      <c r="Z74">
        <v>32</v>
      </c>
      <c r="AA74" t="s">
        <v>74</v>
      </c>
      <c r="AB74" s="17">
        <v>367101</v>
      </c>
      <c r="AC74" s="18">
        <v>0.25319266039859628</v>
      </c>
      <c r="AE74" s="17">
        <f>SUMIF('Full List'!$A:$A,'Data Tab'!AA74,'Full List'!$B:$B)</f>
        <v>48339355</v>
      </c>
      <c r="AF74" s="18">
        <v>0.255</v>
      </c>
    </row>
    <row r="75" spans="7:32" x14ac:dyDescent="0.15">
      <c r="G75" s="18">
        <f t="shared" si="11"/>
        <v>3.7000000000000005E-2</v>
      </c>
      <c r="H75" s="18">
        <f t="shared" si="6"/>
        <v>4.8080955218609986E-2</v>
      </c>
      <c r="I75" s="20">
        <f t="shared" si="7"/>
        <v>129.94852761786481</v>
      </c>
      <c r="K75" s="18">
        <f t="shared" si="8"/>
        <v>1</v>
      </c>
      <c r="L75" s="18">
        <f t="shared" si="9"/>
        <v>1</v>
      </c>
      <c r="M75" s="20">
        <f t="shared" si="10"/>
        <v>100</v>
      </c>
      <c r="Z75">
        <v>33</v>
      </c>
      <c r="AA75" t="s">
        <v>75</v>
      </c>
      <c r="AB75" s="17">
        <v>272721</v>
      </c>
      <c r="AC75" s="18">
        <v>0.18809797722306826</v>
      </c>
      <c r="AE75" s="17">
        <f>SUMIF('Full List'!$A:$A,'Data Tab'!AA75,'Full List'!$B:$B)</f>
        <v>39550329</v>
      </c>
      <c r="AF75" s="18">
        <v>0.21</v>
      </c>
    </row>
    <row r="76" spans="7:32" x14ac:dyDescent="0.15">
      <c r="G76" s="18">
        <f t="shared" ref="G76:G81" si="12">INDEX($AF$2:$AF$82,D76+41)</f>
        <v>3.7000000000000005E-2</v>
      </c>
      <c r="H76" s="18">
        <f t="shared" ref="H76:H81" si="13">INDEX($AC$2:$AC$82,D76+41)</f>
        <v>4.8080955218609986E-2</v>
      </c>
      <c r="I76" s="20">
        <f t="shared" ref="I76:I81" si="14">(H76/G76)*100</f>
        <v>129.94852761786481</v>
      </c>
      <c r="K76" s="18">
        <f t="shared" ref="K76:K81" si="15">INDEX($AF$2:$AF$82,D76+1)</f>
        <v>1</v>
      </c>
      <c r="L76" s="18">
        <f t="shared" ref="L76:L81" si="16">INDEX($AC$2:$AC$82,D76+1)</f>
        <v>1</v>
      </c>
      <c r="M76" s="20">
        <f t="shared" ref="M76:M81" si="17">(L76/K76)*100</f>
        <v>100</v>
      </c>
      <c r="Z76">
        <v>34</v>
      </c>
      <c r="AA76" t="s">
        <v>76</v>
      </c>
      <c r="AB76" s="17">
        <v>214866</v>
      </c>
      <c r="AC76" s="18">
        <v>0.1481948950539628</v>
      </c>
      <c r="AE76" s="17">
        <f>SUMIF('Full List'!$A:$A,'Data Tab'!AA76,'Full List'!$B:$B)</f>
        <v>24613325</v>
      </c>
      <c r="AF76" s="18">
        <v>0.14800000000000002</v>
      </c>
    </row>
    <row r="77" spans="7:32" x14ac:dyDescent="0.15">
      <c r="G77" s="18">
        <f t="shared" si="12"/>
        <v>3.7000000000000005E-2</v>
      </c>
      <c r="H77" s="18">
        <f t="shared" si="13"/>
        <v>4.8080955218609986E-2</v>
      </c>
      <c r="I77" s="20">
        <f t="shared" si="14"/>
        <v>129.94852761786481</v>
      </c>
      <c r="K77" s="18">
        <f t="shared" si="15"/>
        <v>1</v>
      </c>
      <c r="L77" s="18">
        <f t="shared" si="16"/>
        <v>1</v>
      </c>
      <c r="M77" s="20">
        <f t="shared" si="17"/>
        <v>100</v>
      </c>
      <c r="Z77">
        <v>35</v>
      </c>
      <c r="AA77" t="s">
        <v>77</v>
      </c>
      <c r="AB77" s="17">
        <v>193774</v>
      </c>
      <c r="AC77" s="18">
        <v>0.13364756450153392</v>
      </c>
      <c r="AE77" s="17">
        <f>SUMIF('Full List'!$A:$A,'Data Tab'!AA77,'Full List'!$B:$B)</f>
        <v>21755578</v>
      </c>
      <c r="AF77" s="18">
        <v>0.129</v>
      </c>
    </row>
    <row r="78" spans="7:32" x14ac:dyDescent="0.15">
      <c r="G78" s="18">
        <f t="shared" si="12"/>
        <v>3.7000000000000005E-2</v>
      </c>
      <c r="H78" s="18">
        <f t="shared" si="13"/>
        <v>4.8080955218609986E-2</v>
      </c>
      <c r="I78" s="20">
        <f t="shared" si="14"/>
        <v>129.94852761786481</v>
      </c>
      <c r="K78" s="18">
        <f t="shared" si="15"/>
        <v>1</v>
      </c>
      <c r="L78" s="18">
        <f t="shared" si="16"/>
        <v>1</v>
      </c>
      <c r="M78" s="20">
        <f t="shared" si="17"/>
        <v>100</v>
      </c>
      <c r="Z78">
        <v>36</v>
      </c>
      <c r="AA78" t="s">
        <v>78</v>
      </c>
      <c r="AB78" s="17">
        <v>138819</v>
      </c>
      <c r="AC78" s="18">
        <v>9.5744636827120436E-2</v>
      </c>
      <c r="AE78" s="17">
        <f>SUMIF('Full List'!$A:$A,'Data Tab'!AA78,'Full List'!$B:$B)</f>
        <v>19867606</v>
      </c>
      <c r="AF78" s="18">
        <v>0.11199999999999999</v>
      </c>
    </row>
    <row r="79" spans="7:32" x14ac:dyDescent="0.15">
      <c r="G79" s="18">
        <f t="shared" si="12"/>
        <v>3.7000000000000005E-2</v>
      </c>
      <c r="H79" s="18">
        <f t="shared" si="13"/>
        <v>4.8080955218609986E-2</v>
      </c>
      <c r="I79" s="20">
        <f t="shared" si="14"/>
        <v>129.94852761786481</v>
      </c>
      <c r="K79" s="18">
        <f t="shared" si="15"/>
        <v>1</v>
      </c>
      <c r="L79" s="18">
        <f t="shared" si="16"/>
        <v>1</v>
      </c>
      <c r="M79" s="20">
        <f t="shared" si="17"/>
        <v>100</v>
      </c>
      <c r="Z79">
        <v>37</v>
      </c>
      <c r="AA79" t="s">
        <v>79</v>
      </c>
      <c r="AB79" s="17">
        <v>249562</v>
      </c>
      <c r="AC79" s="18">
        <v>0.17212501931183649</v>
      </c>
      <c r="AE79" s="17">
        <f>SUMIF('Full List'!$A:$A,'Data Tab'!AA79,'Full List'!$B:$B)</f>
        <v>31744330</v>
      </c>
      <c r="AF79" s="18">
        <v>0.17199999999999999</v>
      </c>
    </row>
    <row r="80" spans="7:32" x14ac:dyDescent="0.15">
      <c r="G80" s="18">
        <f t="shared" si="12"/>
        <v>3.7000000000000005E-2</v>
      </c>
      <c r="H80" s="18">
        <f t="shared" si="13"/>
        <v>4.8080955218609986E-2</v>
      </c>
      <c r="I80" s="20">
        <f t="shared" si="14"/>
        <v>129.94852761786481</v>
      </c>
      <c r="K80" s="18">
        <f t="shared" si="15"/>
        <v>1</v>
      </c>
      <c r="L80" s="18">
        <f t="shared" si="16"/>
        <v>1</v>
      </c>
      <c r="M80" s="20">
        <f t="shared" si="17"/>
        <v>100</v>
      </c>
      <c r="Z80">
        <v>38</v>
      </c>
      <c r="AA80" t="s">
        <v>80</v>
      </c>
      <c r="AB80" s="17">
        <v>187287</v>
      </c>
      <c r="AC80" s="18">
        <v>0.12917342580944183</v>
      </c>
      <c r="AE80" s="17">
        <f>SUMIF('Full List'!$A:$A,'Data Tab'!AA80,'Full List'!$B:$B)</f>
        <v>23574622</v>
      </c>
      <c r="AF80" s="18">
        <v>0.122</v>
      </c>
    </row>
    <row r="81" spans="7:32" x14ac:dyDescent="0.15">
      <c r="G81" s="18">
        <f t="shared" si="12"/>
        <v>3.7000000000000005E-2</v>
      </c>
      <c r="H81" s="18">
        <f t="shared" si="13"/>
        <v>4.8080955218609986E-2</v>
      </c>
      <c r="I81" s="20">
        <f t="shared" si="14"/>
        <v>129.94852761786481</v>
      </c>
      <c r="K81" s="18">
        <f t="shared" si="15"/>
        <v>1</v>
      </c>
      <c r="L81" s="18">
        <f t="shared" si="16"/>
        <v>1</v>
      </c>
      <c r="M81" s="20">
        <f t="shared" si="17"/>
        <v>100</v>
      </c>
      <c r="Z81">
        <v>39</v>
      </c>
      <c r="AA81" t="s">
        <v>81</v>
      </c>
      <c r="AB81" s="17">
        <v>279506</v>
      </c>
      <c r="AC81" s="18">
        <v>0.1927776490322011</v>
      </c>
      <c r="AE81" s="17">
        <f>SUMIF('Full List'!$A:$A,'Data Tab'!AA81,'Full List'!$B:$B)</f>
        <v>33889336</v>
      </c>
      <c r="AF81" s="18">
        <v>0.17399999999999999</v>
      </c>
    </row>
    <row r="82" spans="7:32" x14ac:dyDescent="0.15">
      <c r="Z82">
        <v>40</v>
      </c>
      <c r="AA82" t="s">
        <v>82</v>
      </c>
      <c r="AB82" s="17">
        <v>247342</v>
      </c>
      <c r="AC82" s="18">
        <v>0.17059386656072745</v>
      </c>
      <c r="AE82" s="17">
        <f>SUMIF('Full List'!$A:$A,'Data Tab'!AA82,'Full List'!$B:$B)</f>
        <v>22862991</v>
      </c>
      <c r="AF82" s="18">
        <v>0.126</v>
      </c>
    </row>
  </sheetData>
  <pageMargins left="0.7" right="0.7" top="0.75" bottom="0.75" header="0.3" footer="0.3"/>
  <pageSetup orientation="portrait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 enableFormatConditionsCalculation="0"/>
  <dimension ref="A1:I41"/>
  <sheetViews>
    <sheetView zoomScale="85" zoomScaleNormal="85" zoomScalePageLayoutView="85" workbookViewId="0">
      <selection activeCell="J29" sqref="J29"/>
    </sheetView>
  </sheetViews>
  <sheetFormatPr baseColWidth="10" defaultColWidth="8.83203125" defaultRowHeight="13" x14ac:dyDescent="0.15"/>
  <cols>
    <col min="2" max="2" width="33.33203125" bestFit="1" customWidth="1"/>
    <col min="4" max="5" width="3" customWidth="1"/>
    <col min="7" max="7" width="17.1640625" customWidth="1"/>
    <col min="8" max="8" width="3.1640625" customWidth="1"/>
  </cols>
  <sheetData>
    <row r="1" spans="1:9" x14ac:dyDescent="0.15">
      <c r="A1" t="s">
        <v>812</v>
      </c>
      <c r="B1" t="s">
        <v>813</v>
      </c>
      <c r="C1" t="s">
        <v>854</v>
      </c>
      <c r="E1">
        <v>1</v>
      </c>
      <c r="F1" t="s">
        <v>755</v>
      </c>
      <c r="G1" t="s">
        <v>1273</v>
      </c>
      <c r="I1" t="s">
        <v>1344</v>
      </c>
    </row>
    <row r="2" spans="1:9" x14ac:dyDescent="0.15">
      <c r="A2">
        <v>1</v>
      </c>
      <c r="B2" t="s">
        <v>814</v>
      </c>
      <c r="E2">
        <v>2</v>
      </c>
      <c r="F2" t="s">
        <v>156</v>
      </c>
      <c r="G2" t="s">
        <v>1274</v>
      </c>
      <c r="I2" t="s">
        <v>1345</v>
      </c>
    </row>
    <row r="3" spans="1:9" x14ac:dyDescent="0.15">
      <c r="A3">
        <v>2</v>
      </c>
      <c r="B3" t="s">
        <v>815</v>
      </c>
      <c r="E3">
        <v>3</v>
      </c>
      <c r="F3" t="s">
        <v>492</v>
      </c>
      <c r="G3" t="s">
        <v>1275</v>
      </c>
    </row>
    <row r="4" spans="1:9" x14ac:dyDescent="0.15">
      <c r="A4">
        <v>3</v>
      </c>
      <c r="B4" t="s">
        <v>816</v>
      </c>
      <c r="C4" t="s">
        <v>855</v>
      </c>
      <c r="E4">
        <v>4</v>
      </c>
      <c r="F4" t="s">
        <v>241</v>
      </c>
      <c r="G4" t="s">
        <v>1276</v>
      </c>
    </row>
    <row r="5" spans="1:9" x14ac:dyDescent="0.15">
      <c r="A5">
        <v>4</v>
      </c>
      <c r="B5" t="s">
        <v>817</v>
      </c>
      <c r="C5" t="s">
        <v>856</v>
      </c>
      <c r="E5">
        <v>5</v>
      </c>
      <c r="F5" t="s">
        <v>644</v>
      </c>
      <c r="G5" t="s">
        <v>1277</v>
      </c>
    </row>
    <row r="6" spans="1:9" x14ac:dyDescent="0.15">
      <c r="A6">
        <v>5</v>
      </c>
      <c r="B6" t="s">
        <v>818</v>
      </c>
      <c r="C6" t="s">
        <v>857</v>
      </c>
      <c r="E6">
        <v>6</v>
      </c>
      <c r="F6" t="s">
        <v>402</v>
      </c>
      <c r="G6" t="s">
        <v>1278</v>
      </c>
    </row>
    <row r="7" spans="1:9" x14ac:dyDescent="0.15">
      <c r="A7">
        <v>6</v>
      </c>
      <c r="B7" t="s">
        <v>819</v>
      </c>
      <c r="C7" t="s">
        <v>1002</v>
      </c>
      <c r="E7">
        <v>7</v>
      </c>
      <c r="F7" t="s">
        <v>1379</v>
      </c>
      <c r="G7" t="s">
        <v>1378</v>
      </c>
    </row>
    <row r="8" spans="1:9" x14ac:dyDescent="0.15">
      <c r="A8">
        <v>7</v>
      </c>
      <c r="B8" t="s">
        <v>820</v>
      </c>
      <c r="E8">
        <v>8</v>
      </c>
      <c r="F8" t="s">
        <v>106</v>
      </c>
      <c r="G8" t="s">
        <v>1279</v>
      </c>
    </row>
    <row r="9" spans="1:9" x14ac:dyDescent="0.15">
      <c r="A9">
        <v>8</v>
      </c>
      <c r="B9" t="s">
        <v>821</v>
      </c>
      <c r="E9">
        <v>9</v>
      </c>
      <c r="F9" t="s">
        <v>784</v>
      </c>
      <c r="G9" t="s">
        <v>1280</v>
      </c>
    </row>
    <row r="10" spans="1:9" x14ac:dyDescent="0.15">
      <c r="A10">
        <v>9</v>
      </c>
      <c r="B10" t="s">
        <v>822</v>
      </c>
      <c r="E10">
        <v>10</v>
      </c>
      <c r="F10" t="s">
        <v>559</v>
      </c>
      <c r="G10" t="s">
        <v>1281</v>
      </c>
    </row>
    <row r="11" spans="1:9" x14ac:dyDescent="0.15">
      <c r="A11">
        <v>10</v>
      </c>
      <c r="B11" t="s">
        <v>823</v>
      </c>
      <c r="E11">
        <v>11</v>
      </c>
      <c r="F11" t="s">
        <v>220</v>
      </c>
      <c r="G11" t="s">
        <v>1283</v>
      </c>
    </row>
    <row r="12" spans="1:9" x14ac:dyDescent="0.15">
      <c r="A12">
        <v>11</v>
      </c>
      <c r="B12" t="s">
        <v>824</v>
      </c>
      <c r="E12">
        <v>12</v>
      </c>
      <c r="F12" t="s">
        <v>533</v>
      </c>
      <c r="G12" t="s">
        <v>1284</v>
      </c>
    </row>
    <row r="13" spans="1:9" x14ac:dyDescent="0.15">
      <c r="A13">
        <v>12</v>
      </c>
      <c r="B13" t="s">
        <v>825</v>
      </c>
      <c r="E13">
        <v>13</v>
      </c>
      <c r="F13" t="s">
        <v>633</v>
      </c>
      <c r="G13" t="s">
        <v>1282</v>
      </c>
    </row>
    <row r="14" spans="1:9" x14ac:dyDescent="0.15">
      <c r="A14">
        <v>13</v>
      </c>
      <c r="B14" t="s">
        <v>826</v>
      </c>
      <c r="E14">
        <v>14</v>
      </c>
      <c r="F14" t="s">
        <v>95</v>
      </c>
      <c r="G14" t="s">
        <v>1285</v>
      </c>
    </row>
    <row r="15" spans="1:9" x14ac:dyDescent="0.15">
      <c r="A15">
        <v>14</v>
      </c>
      <c r="B15" t="s">
        <v>827</v>
      </c>
      <c r="E15">
        <v>15</v>
      </c>
      <c r="F15" t="s">
        <v>477</v>
      </c>
      <c r="G15" t="s">
        <v>1286</v>
      </c>
    </row>
    <row r="16" spans="1:9" x14ac:dyDescent="0.15">
      <c r="A16">
        <v>15</v>
      </c>
      <c r="B16" t="s">
        <v>828</v>
      </c>
      <c r="E16">
        <v>16</v>
      </c>
      <c r="F16" t="s">
        <v>405</v>
      </c>
      <c r="G16" t="s">
        <v>1287</v>
      </c>
    </row>
    <row r="17" spans="1:7" x14ac:dyDescent="0.15">
      <c r="A17">
        <v>16</v>
      </c>
      <c r="B17" t="s">
        <v>829</v>
      </c>
      <c r="E17">
        <v>17</v>
      </c>
      <c r="F17" t="s">
        <v>763</v>
      </c>
      <c r="G17" t="s">
        <v>1288</v>
      </c>
    </row>
    <row r="18" spans="1:7" x14ac:dyDescent="0.15">
      <c r="A18">
        <v>17</v>
      </c>
      <c r="B18" t="s">
        <v>830</v>
      </c>
      <c r="C18" t="s">
        <v>858</v>
      </c>
      <c r="E18">
        <v>18</v>
      </c>
      <c r="F18" t="s">
        <v>738</v>
      </c>
      <c r="G18" t="s">
        <v>1289</v>
      </c>
    </row>
    <row r="19" spans="1:7" x14ac:dyDescent="0.15">
      <c r="A19">
        <v>18</v>
      </c>
      <c r="B19" t="s">
        <v>831</v>
      </c>
      <c r="C19" t="s">
        <v>859</v>
      </c>
      <c r="E19">
        <v>19</v>
      </c>
      <c r="F19" t="s">
        <v>603</v>
      </c>
      <c r="G19" t="s">
        <v>1290</v>
      </c>
    </row>
    <row r="20" spans="1:7" x14ac:dyDescent="0.15">
      <c r="A20">
        <v>19</v>
      </c>
      <c r="B20" t="s">
        <v>832</v>
      </c>
      <c r="E20">
        <v>20</v>
      </c>
      <c r="F20" t="s">
        <v>440</v>
      </c>
      <c r="G20" t="s">
        <v>1291</v>
      </c>
    </row>
    <row r="21" spans="1:7" x14ac:dyDescent="0.15">
      <c r="A21">
        <v>20</v>
      </c>
      <c r="B21" t="s">
        <v>833</v>
      </c>
      <c r="E21">
        <v>21</v>
      </c>
      <c r="F21" t="s">
        <v>206</v>
      </c>
      <c r="G21" t="s">
        <v>1292</v>
      </c>
    </row>
    <row r="22" spans="1:7" x14ac:dyDescent="0.15">
      <c r="A22">
        <v>21</v>
      </c>
      <c r="B22" t="s">
        <v>834</v>
      </c>
      <c r="E22">
        <v>22</v>
      </c>
      <c r="F22" t="s">
        <v>512</v>
      </c>
      <c r="G22" t="s">
        <v>1297</v>
      </c>
    </row>
    <row r="23" spans="1:7" x14ac:dyDescent="0.15">
      <c r="A23">
        <v>22</v>
      </c>
      <c r="B23" t="s">
        <v>835</v>
      </c>
      <c r="E23">
        <v>23</v>
      </c>
      <c r="F23" t="s">
        <v>403</v>
      </c>
      <c r="G23" t="s">
        <v>1294</v>
      </c>
    </row>
    <row r="24" spans="1:7" x14ac:dyDescent="0.15">
      <c r="A24">
        <v>23</v>
      </c>
      <c r="B24" t="s">
        <v>836</v>
      </c>
      <c r="E24">
        <v>24</v>
      </c>
      <c r="F24" t="s">
        <v>797</v>
      </c>
      <c r="G24" t="s">
        <v>1295</v>
      </c>
    </row>
    <row r="25" spans="1:7" x14ac:dyDescent="0.15">
      <c r="A25">
        <v>24</v>
      </c>
      <c r="B25" t="s">
        <v>837</v>
      </c>
      <c r="E25">
        <v>25</v>
      </c>
      <c r="F25" t="s">
        <v>191</v>
      </c>
      <c r="G25" t="s">
        <v>389</v>
      </c>
    </row>
    <row r="26" spans="1:7" x14ac:dyDescent="0.15">
      <c r="A26">
        <v>25</v>
      </c>
      <c r="B26" t="s">
        <v>838</v>
      </c>
      <c r="E26">
        <v>26</v>
      </c>
      <c r="F26" t="s">
        <v>317</v>
      </c>
      <c r="G26" t="s">
        <v>1293</v>
      </c>
    </row>
    <row r="27" spans="1:7" x14ac:dyDescent="0.15">
      <c r="A27">
        <v>26</v>
      </c>
      <c r="B27" t="s">
        <v>839</v>
      </c>
      <c r="C27" t="s">
        <v>839</v>
      </c>
      <c r="E27">
        <v>27</v>
      </c>
      <c r="F27" t="s">
        <v>168</v>
      </c>
      <c r="G27" t="s">
        <v>1298</v>
      </c>
    </row>
    <row r="28" spans="1:7" x14ac:dyDescent="0.15">
      <c r="A28">
        <v>27</v>
      </c>
      <c r="B28" t="s">
        <v>840</v>
      </c>
      <c r="C28" t="s">
        <v>840</v>
      </c>
      <c r="E28">
        <v>28</v>
      </c>
      <c r="F28" t="s">
        <v>149</v>
      </c>
      <c r="G28" t="s">
        <v>1299</v>
      </c>
    </row>
    <row r="29" spans="1:7" x14ac:dyDescent="0.15">
      <c r="A29">
        <v>28</v>
      </c>
      <c r="B29" t="s">
        <v>841</v>
      </c>
      <c r="C29" t="s">
        <v>841</v>
      </c>
      <c r="E29">
        <v>29</v>
      </c>
      <c r="F29" t="s">
        <v>332</v>
      </c>
      <c r="G29" t="s">
        <v>1296</v>
      </c>
    </row>
    <row r="30" spans="1:7" x14ac:dyDescent="0.15">
      <c r="A30">
        <v>29</v>
      </c>
      <c r="B30" t="s">
        <v>842</v>
      </c>
      <c r="E30">
        <v>30</v>
      </c>
      <c r="F30" t="s">
        <v>2</v>
      </c>
      <c r="G30" t="s">
        <v>1300</v>
      </c>
    </row>
    <row r="31" spans="1:7" x14ac:dyDescent="0.15">
      <c r="A31">
        <v>30</v>
      </c>
      <c r="B31" t="s">
        <v>843</v>
      </c>
      <c r="E31">
        <v>31</v>
      </c>
      <c r="F31" t="s">
        <v>370</v>
      </c>
      <c r="G31" t="s">
        <v>1301</v>
      </c>
    </row>
    <row r="32" spans="1:7" x14ac:dyDescent="0.15">
      <c r="A32">
        <v>31</v>
      </c>
      <c r="B32" t="s">
        <v>844</v>
      </c>
      <c r="E32">
        <v>32</v>
      </c>
      <c r="F32" t="s">
        <v>583</v>
      </c>
      <c r="G32" t="s">
        <v>1302</v>
      </c>
    </row>
    <row r="33" spans="1:7" x14ac:dyDescent="0.15">
      <c r="A33">
        <v>32</v>
      </c>
      <c r="B33" t="s">
        <v>845</v>
      </c>
      <c r="E33">
        <v>33</v>
      </c>
      <c r="F33" t="s">
        <v>418</v>
      </c>
      <c r="G33" t="s">
        <v>1303</v>
      </c>
    </row>
    <row r="34" spans="1:7" x14ac:dyDescent="0.15">
      <c r="A34">
        <v>33</v>
      </c>
      <c r="B34" t="s">
        <v>846</v>
      </c>
      <c r="E34">
        <v>34</v>
      </c>
      <c r="F34" t="s">
        <v>272</v>
      </c>
      <c r="G34" t="s">
        <v>1304</v>
      </c>
    </row>
    <row r="35" spans="1:7" x14ac:dyDescent="0.15">
      <c r="A35">
        <v>34</v>
      </c>
      <c r="B35" t="s">
        <v>847</v>
      </c>
      <c r="E35">
        <v>35</v>
      </c>
      <c r="F35" t="s">
        <v>284</v>
      </c>
      <c r="G35" t="s">
        <v>1305</v>
      </c>
    </row>
    <row r="36" spans="1:7" x14ac:dyDescent="0.15">
      <c r="A36">
        <v>35</v>
      </c>
      <c r="B36" t="s">
        <v>848</v>
      </c>
      <c r="E36">
        <v>36</v>
      </c>
      <c r="F36" t="s">
        <v>135</v>
      </c>
      <c r="G36" t="s">
        <v>1306</v>
      </c>
    </row>
    <row r="37" spans="1:7" x14ac:dyDescent="0.15">
      <c r="A37">
        <v>36</v>
      </c>
      <c r="B37" t="s">
        <v>849</v>
      </c>
      <c r="E37">
        <v>37</v>
      </c>
      <c r="F37" t="s">
        <v>222</v>
      </c>
      <c r="G37" t="s">
        <v>1307</v>
      </c>
    </row>
    <row r="38" spans="1:7" x14ac:dyDescent="0.15">
      <c r="A38">
        <v>37</v>
      </c>
      <c r="B38" t="s">
        <v>850</v>
      </c>
      <c r="F38" t="s">
        <v>450</v>
      </c>
      <c r="G38" t="s">
        <v>1308</v>
      </c>
    </row>
    <row r="39" spans="1:7" x14ac:dyDescent="0.15">
      <c r="A39">
        <v>38</v>
      </c>
      <c r="B39" t="s">
        <v>851</v>
      </c>
    </row>
    <row r="40" spans="1:7" x14ac:dyDescent="0.15">
      <c r="A40">
        <v>39</v>
      </c>
      <c r="B40" t="s">
        <v>852</v>
      </c>
    </row>
    <row r="41" spans="1:7" x14ac:dyDescent="0.15">
      <c r="A41">
        <v>40</v>
      </c>
      <c r="B41" t="s">
        <v>853</v>
      </c>
    </row>
  </sheetData>
  <pageMargins left="0.7" right="0.7" top="0.75" bottom="0.75" header="0.3" footer="0.3"/>
  <pageSetup orientation="portrait" verticalDpi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E8489"/>
  <sheetViews>
    <sheetView workbookViewId="0">
      <selection activeCell="G3068" sqref="G3068"/>
    </sheetView>
  </sheetViews>
  <sheetFormatPr baseColWidth="10" defaultColWidth="8.83203125" defaultRowHeight="13" x14ac:dyDescent="0.15"/>
  <cols>
    <col min="1" max="1" width="17.5" customWidth="1"/>
    <col min="2" max="2" width="10.1640625" bestFit="1" customWidth="1"/>
    <col min="3" max="3" width="10.1640625" customWidth="1"/>
    <col min="4" max="4" width="19.33203125" customWidth="1"/>
  </cols>
  <sheetData>
    <row r="1" spans="1:5" x14ac:dyDescent="0.15">
      <c r="A1" t="s">
        <v>806</v>
      </c>
      <c r="B1" t="s">
        <v>807</v>
      </c>
      <c r="C1" t="s">
        <v>808</v>
      </c>
      <c r="D1" t="s">
        <v>809</v>
      </c>
      <c r="E1" t="s">
        <v>810</v>
      </c>
    </row>
    <row r="2" spans="1:5" hidden="1" x14ac:dyDescent="0.15">
      <c r="A2" s="1" t="s">
        <v>0</v>
      </c>
      <c r="B2" s="2">
        <v>1224292</v>
      </c>
      <c r="C2" s="3">
        <v>1</v>
      </c>
      <c r="D2" s="4" t="s">
        <v>1</v>
      </c>
      <c r="E2" s="4" t="s">
        <v>2</v>
      </c>
    </row>
    <row r="3" spans="1:5" ht="26" hidden="1" x14ac:dyDescent="0.15">
      <c r="A3" s="1" t="s">
        <v>3</v>
      </c>
      <c r="B3" s="2">
        <v>16427</v>
      </c>
      <c r="C3" s="3">
        <v>1.3000000000000001E-2</v>
      </c>
      <c r="D3" s="4" t="s">
        <v>1</v>
      </c>
      <c r="E3" s="4" t="s">
        <v>2</v>
      </c>
    </row>
    <row r="4" spans="1:5" hidden="1" x14ac:dyDescent="0.15">
      <c r="A4" s="1" t="s">
        <v>4</v>
      </c>
      <c r="B4" s="2">
        <v>17480</v>
      </c>
      <c r="C4" s="3">
        <v>1.3999999999999999E-2</v>
      </c>
      <c r="D4" s="4" t="s">
        <v>1</v>
      </c>
      <c r="E4" s="4" t="s">
        <v>2</v>
      </c>
    </row>
    <row r="5" spans="1:5" ht="26" hidden="1" x14ac:dyDescent="0.15">
      <c r="A5" s="1" t="s">
        <v>5</v>
      </c>
      <c r="B5" s="2">
        <v>21442</v>
      </c>
      <c r="C5" s="3">
        <v>1.8000000000000002E-2</v>
      </c>
      <c r="D5" s="4" t="s">
        <v>1</v>
      </c>
      <c r="E5" s="4" t="s">
        <v>2</v>
      </c>
    </row>
    <row r="6" spans="1:5" ht="26" hidden="1" x14ac:dyDescent="0.15">
      <c r="A6" s="1" t="s">
        <v>6</v>
      </c>
      <c r="B6" s="2">
        <v>74790</v>
      </c>
      <c r="C6" s="3">
        <v>6.0999999999999999E-2</v>
      </c>
      <c r="D6" s="4" t="s">
        <v>1</v>
      </c>
      <c r="E6" s="4" t="s">
        <v>2</v>
      </c>
    </row>
    <row r="7" spans="1:5" ht="26" hidden="1" x14ac:dyDescent="0.15">
      <c r="A7" s="1" t="s">
        <v>7</v>
      </c>
      <c r="B7" s="2">
        <v>261596</v>
      </c>
      <c r="C7" s="3">
        <v>0.214</v>
      </c>
      <c r="D7" s="4" t="s">
        <v>1</v>
      </c>
      <c r="E7" s="4" t="s">
        <v>2</v>
      </c>
    </row>
    <row r="8" spans="1:5" ht="26" hidden="1" x14ac:dyDescent="0.15">
      <c r="A8" s="1" t="s">
        <v>8</v>
      </c>
      <c r="B8" s="2">
        <v>8156</v>
      </c>
      <c r="C8" s="3">
        <v>6.9999999999999993E-3</v>
      </c>
      <c r="D8" s="4" t="s">
        <v>1</v>
      </c>
      <c r="E8" s="4" t="s">
        <v>2</v>
      </c>
    </row>
    <row r="9" spans="1:5" ht="26" hidden="1" x14ac:dyDescent="0.15">
      <c r="A9" s="1" t="s">
        <v>9</v>
      </c>
      <c r="B9" s="2">
        <v>8491</v>
      </c>
      <c r="C9" s="3">
        <v>6.9999999999999993E-3</v>
      </c>
      <c r="D9" s="4" t="s">
        <v>1</v>
      </c>
      <c r="E9" s="4" t="s">
        <v>2</v>
      </c>
    </row>
    <row r="10" spans="1:5" ht="26" hidden="1" x14ac:dyDescent="0.15">
      <c r="A10" s="1" t="s">
        <v>10</v>
      </c>
      <c r="B10" s="2">
        <v>13950</v>
      </c>
      <c r="C10" s="3">
        <v>1.1000000000000001E-2</v>
      </c>
      <c r="D10" s="4" t="s">
        <v>1</v>
      </c>
      <c r="E10" s="4" t="s">
        <v>2</v>
      </c>
    </row>
    <row r="11" spans="1:5" ht="26" hidden="1" x14ac:dyDescent="0.15">
      <c r="A11" s="1" t="s">
        <v>11</v>
      </c>
      <c r="B11" s="2">
        <v>78474</v>
      </c>
      <c r="C11" s="3">
        <v>6.4000000000000001E-2</v>
      </c>
      <c r="D11" s="4" t="s">
        <v>1</v>
      </c>
      <c r="E11" s="4" t="s">
        <v>2</v>
      </c>
    </row>
    <row r="12" spans="1:5" ht="26" hidden="1" x14ac:dyDescent="0.15">
      <c r="A12" s="1" t="s">
        <v>12</v>
      </c>
      <c r="B12" s="2">
        <v>7370</v>
      </c>
      <c r="C12" s="3">
        <v>6.0000000000000001E-3</v>
      </c>
      <c r="D12" s="4" t="s">
        <v>1</v>
      </c>
      <c r="E12" s="4" t="s">
        <v>2</v>
      </c>
    </row>
    <row r="13" spans="1:5" ht="26" hidden="1" x14ac:dyDescent="0.15">
      <c r="A13" s="1" t="s">
        <v>13</v>
      </c>
      <c r="B13" s="2">
        <v>920</v>
      </c>
      <c r="C13" s="3">
        <v>1E-3</v>
      </c>
      <c r="D13" s="4" t="s">
        <v>1</v>
      </c>
      <c r="E13" s="4" t="s">
        <v>2</v>
      </c>
    </row>
    <row r="14" spans="1:5" hidden="1" x14ac:dyDescent="0.15">
      <c r="A14" s="1" t="s">
        <v>14</v>
      </c>
      <c r="B14" s="2">
        <v>54611</v>
      </c>
      <c r="C14" s="3">
        <v>4.4999999999999998E-2</v>
      </c>
      <c r="D14" s="4" t="s">
        <v>1</v>
      </c>
      <c r="E14" s="4" t="s">
        <v>2</v>
      </c>
    </row>
    <row r="15" spans="1:5" ht="26" hidden="1" x14ac:dyDescent="0.15">
      <c r="A15" s="1" t="s">
        <v>15</v>
      </c>
      <c r="B15" s="2">
        <v>99951</v>
      </c>
      <c r="C15" s="3">
        <v>8.199999999999999E-2</v>
      </c>
      <c r="D15" s="4" t="s">
        <v>1</v>
      </c>
      <c r="E15" s="4" t="s">
        <v>2</v>
      </c>
    </row>
    <row r="16" spans="1:5" ht="26" hidden="1" x14ac:dyDescent="0.15">
      <c r="A16" s="1" t="s">
        <v>16</v>
      </c>
      <c r="B16" s="2">
        <v>36713</v>
      </c>
      <c r="C16" s="3">
        <v>0.03</v>
      </c>
      <c r="D16" s="4" t="s">
        <v>1</v>
      </c>
      <c r="E16" s="4" t="s">
        <v>2</v>
      </c>
    </row>
    <row r="17" spans="1:5" ht="26" hidden="1" x14ac:dyDescent="0.15">
      <c r="A17" s="1" t="s">
        <v>17</v>
      </c>
      <c r="B17" s="2">
        <v>16662</v>
      </c>
      <c r="C17" s="3">
        <v>1.3999999999999999E-2</v>
      </c>
      <c r="D17" s="4" t="s">
        <v>1</v>
      </c>
      <c r="E17" s="4" t="s">
        <v>2</v>
      </c>
    </row>
    <row r="18" spans="1:5" hidden="1" x14ac:dyDescent="0.15">
      <c r="A18" s="1" t="s">
        <v>18</v>
      </c>
      <c r="B18" s="2">
        <v>22288</v>
      </c>
      <c r="C18" s="3">
        <v>1.8000000000000002E-2</v>
      </c>
      <c r="D18" s="4" t="s">
        <v>1</v>
      </c>
      <c r="E18" s="4" t="s">
        <v>2</v>
      </c>
    </row>
    <row r="19" spans="1:5" hidden="1" x14ac:dyDescent="0.15">
      <c r="A19" s="1" t="s">
        <v>19</v>
      </c>
      <c r="B19" s="2">
        <v>230482</v>
      </c>
      <c r="C19" s="3">
        <v>0.188</v>
      </c>
      <c r="D19" s="4" t="s">
        <v>1</v>
      </c>
      <c r="E19" s="4" t="s">
        <v>2</v>
      </c>
    </row>
    <row r="20" spans="1:5" hidden="1" x14ac:dyDescent="0.15">
      <c r="A20" s="1" t="s">
        <v>20</v>
      </c>
      <c r="B20" s="2">
        <v>10850</v>
      </c>
      <c r="C20" s="3">
        <v>9.0000000000000011E-3</v>
      </c>
      <c r="D20" s="4" t="s">
        <v>1</v>
      </c>
      <c r="E20" s="4" t="s">
        <v>2</v>
      </c>
    </row>
    <row r="21" spans="1:5" ht="26" hidden="1" x14ac:dyDescent="0.15">
      <c r="A21" s="1" t="s">
        <v>21</v>
      </c>
      <c r="B21" s="2">
        <v>21463</v>
      </c>
      <c r="C21" s="3">
        <v>1.8000000000000002E-2</v>
      </c>
      <c r="D21" s="4" t="s">
        <v>1</v>
      </c>
      <c r="E21" s="4" t="s">
        <v>2</v>
      </c>
    </row>
    <row r="22" spans="1:5" ht="26" hidden="1" x14ac:dyDescent="0.15">
      <c r="A22" s="1" t="s">
        <v>22</v>
      </c>
      <c r="B22" s="2">
        <v>2412</v>
      </c>
      <c r="C22" s="3">
        <v>2E-3</v>
      </c>
      <c r="D22" s="4" t="s">
        <v>1</v>
      </c>
      <c r="E22" s="4" t="s">
        <v>2</v>
      </c>
    </row>
    <row r="23" spans="1:5" ht="26" hidden="1" x14ac:dyDescent="0.15">
      <c r="A23" s="1" t="s">
        <v>23</v>
      </c>
      <c r="B23" s="2">
        <v>26719</v>
      </c>
      <c r="C23" s="3">
        <v>2.2000000000000002E-2</v>
      </c>
      <c r="D23" s="4" t="s">
        <v>1</v>
      </c>
      <c r="E23" s="4" t="s">
        <v>2</v>
      </c>
    </row>
    <row r="24" spans="1:5" ht="26" hidden="1" x14ac:dyDescent="0.15">
      <c r="A24" s="1" t="s">
        <v>24</v>
      </c>
      <c r="B24" s="2">
        <v>9687</v>
      </c>
      <c r="C24" s="3">
        <v>8.0000000000000002E-3</v>
      </c>
      <c r="D24" s="4" t="s">
        <v>1</v>
      </c>
      <c r="E24" s="4" t="s">
        <v>2</v>
      </c>
    </row>
    <row r="25" spans="1:5" ht="26" hidden="1" x14ac:dyDescent="0.15">
      <c r="A25" s="1" t="s">
        <v>25</v>
      </c>
      <c r="B25" s="2">
        <v>27231</v>
      </c>
      <c r="C25" s="3">
        <v>2.2000000000000002E-2</v>
      </c>
      <c r="D25" s="4" t="s">
        <v>1</v>
      </c>
      <c r="E25" s="4" t="s">
        <v>2</v>
      </c>
    </row>
    <row r="26" spans="1:5" hidden="1" x14ac:dyDescent="0.15">
      <c r="A26" s="1" t="s">
        <v>26</v>
      </c>
      <c r="B26" s="2">
        <v>6253</v>
      </c>
      <c r="C26" s="3">
        <v>5.0000000000000001E-3</v>
      </c>
      <c r="D26" s="4" t="s">
        <v>1</v>
      </c>
      <c r="E26" s="4" t="s">
        <v>2</v>
      </c>
    </row>
    <row r="27" spans="1:5" hidden="1" x14ac:dyDescent="0.15">
      <c r="A27" s="1" t="s">
        <v>27</v>
      </c>
      <c r="B27" s="2">
        <v>131234</v>
      </c>
      <c r="C27" s="3">
        <v>0.107</v>
      </c>
      <c r="D27" s="4" t="s">
        <v>1</v>
      </c>
      <c r="E27" s="4" t="s">
        <v>2</v>
      </c>
    </row>
    <row r="28" spans="1:5" hidden="1" x14ac:dyDescent="0.15">
      <c r="A28" s="1" t="s">
        <v>28</v>
      </c>
      <c r="B28" s="2">
        <v>46063</v>
      </c>
      <c r="C28" s="3">
        <v>3.7999999999999999E-2</v>
      </c>
      <c r="D28" s="4" t="s">
        <v>1</v>
      </c>
      <c r="E28" s="4" t="s">
        <v>2</v>
      </c>
    </row>
    <row r="29" spans="1:5" hidden="1" x14ac:dyDescent="0.15">
      <c r="A29" s="1" t="s">
        <v>29</v>
      </c>
      <c r="B29" s="2">
        <v>375547</v>
      </c>
      <c r="C29" s="3">
        <v>0.307</v>
      </c>
      <c r="D29" s="4" t="s">
        <v>1</v>
      </c>
      <c r="E29" s="4" t="s">
        <v>2</v>
      </c>
    </row>
    <row r="30" spans="1:5" hidden="1" x14ac:dyDescent="0.15">
      <c r="A30" s="1" t="s">
        <v>30</v>
      </c>
      <c r="B30" s="2">
        <v>90618</v>
      </c>
      <c r="C30" s="3">
        <v>7.400000000000001E-2</v>
      </c>
      <c r="D30" s="4" t="s">
        <v>1</v>
      </c>
      <c r="E30" s="4" t="s">
        <v>2</v>
      </c>
    </row>
    <row r="31" spans="1:5" ht="39" hidden="1" x14ac:dyDescent="0.15">
      <c r="A31" s="1" t="s">
        <v>31</v>
      </c>
      <c r="B31" s="2">
        <v>225</v>
      </c>
      <c r="C31" s="3">
        <v>0</v>
      </c>
      <c r="D31" s="4" t="s">
        <v>1</v>
      </c>
      <c r="E31" s="4" t="s">
        <v>2</v>
      </c>
    </row>
    <row r="32" spans="1:5" hidden="1" x14ac:dyDescent="0.15">
      <c r="A32" s="1" t="s">
        <v>32</v>
      </c>
      <c r="B32" s="2">
        <v>27003</v>
      </c>
      <c r="C32" s="3">
        <v>2.2000000000000002E-2</v>
      </c>
      <c r="D32" s="4" t="s">
        <v>1</v>
      </c>
      <c r="E32" s="4" t="s">
        <v>2</v>
      </c>
    </row>
    <row r="33" spans="1:5" hidden="1" x14ac:dyDescent="0.15">
      <c r="A33" s="1" t="s">
        <v>33</v>
      </c>
      <c r="B33" s="2">
        <v>235259</v>
      </c>
      <c r="C33" s="3">
        <v>0.192</v>
      </c>
      <c r="D33" s="4" t="s">
        <v>1</v>
      </c>
      <c r="E33" s="4" t="s">
        <v>2</v>
      </c>
    </row>
    <row r="34" spans="1:5" hidden="1" x14ac:dyDescent="0.15">
      <c r="A34" s="1" t="s">
        <v>34</v>
      </c>
      <c r="B34" s="2">
        <v>85710</v>
      </c>
      <c r="C34" s="3">
        <v>7.0000000000000007E-2</v>
      </c>
      <c r="D34" s="4" t="s">
        <v>1</v>
      </c>
      <c r="E34" s="4" t="s">
        <v>2</v>
      </c>
    </row>
    <row r="35" spans="1:5" hidden="1" x14ac:dyDescent="0.15">
      <c r="A35" s="1" t="s">
        <v>35</v>
      </c>
      <c r="B35" s="2">
        <v>34827</v>
      </c>
      <c r="C35" s="3">
        <v>2.7999999999999997E-2</v>
      </c>
      <c r="D35" s="4" t="s">
        <v>1</v>
      </c>
      <c r="E35" s="4" t="s">
        <v>2</v>
      </c>
    </row>
    <row r="36" spans="1:5" ht="26" hidden="1" x14ac:dyDescent="0.15">
      <c r="A36" s="1" t="s">
        <v>36</v>
      </c>
      <c r="B36" s="2">
        <v>9296</v>
      </c>
      <c r="C36" s="3">
        <v>8.0000000000000002E-3</v>
      </c>
      <c r="D36" s="4" t="s">
        <v>1</v>
      </c>
      <c r="E36" s="4" t="s">
        <v>2</v>
      </c>
    </row>
    <row r="37" spans="1:5" hidden="1" x14ac:dyDescent="0.15">
      <c r="A37" s="1" t="s">
        <v>37</v>
      </c>
      <c r="B37" s="2">
        <v>5563</v>
      </c>
      <c r="C37" s="3">
        <v>5.0000000000000001E-3</v>
      </c>
      <c r="D37" s="4" t="s">
        <v>1</v>
      </c>
      <c r="E37" s="4" t="s">
        <v>2</v>
      </c>
    </row>
    <row r="38" spans="1:5" ht="39" hidden="1" x14ac:dyDescent="0.15">
      <c r="A38" s="1" t="s">
        <v>38</v>
      </c>
      <c r="B38" s="2">
        <v>24886</v>
      </c>
      <c r="C38" s="3">
        <v>0.02</v>
      </c>
      <c r="D38" s="4" t="s">
        <v>1</v>
      </c>
      <c r="E38" s="4" t="s">
        <v>2</v>
      </c>
    </row>
    <row r="39" spans="1:5" hidden="1" x14ac:dyDescent="0.15">
      <c r="A39" s="1" t="s">
        <v>39</v>
      </c>
      <c r="B39" s="2">
        <v>35910</v>
      </c>
      <c r="C39" s="3">
        <v>2.8999999999999998E-2</v>
      </c>
      <c r="D39" s="4" t="s">
        <v>1</v>
      </c>
      <c r="E39" s="4" t="s">
        <v>2</v>
      </c>
    </row>
    <row r="40" spans="1:5" hidden="1" x14ac:dyDescent="0.15">
      <c r="A40" s="1" t="s">
        <v>40</v>
      </c>
      <c r="B40" s="2">
        <v>12760</v>
      </c>
      <c r="C40" s="3">
        <v>0.01</v>
      </c>
      <c r="D40" s="4" t="s">
        <v>1</v>
      </c>
      <c r="E40" s="4" t="s">
        <v>2</v>
      </c>
    </row>
    <row r="41" spans="1:5" hidden="1" x14ac:dyDescent="0.15">
      <c r="A41" s="1" t="s">
        <v>41</v>
      </c>
      <c r="B41" s="2">
        <v>20802</v>
      </c>
      <c r="C41" s="3">
        <v>1.7000000000000001E-2</v>
      </c>
      <c r="D41" s="4" t="s">
        <v>1</v>
      </c>
      <c r="E41" s="4" t="s">
        <v>2</v>
      </c>
    </row>
    <row r="42" spans="1:5" hidden="1" x14ac:dyDescent="0.15">
      <c r="A42" s="1" t="s">
        <v>42</v>
      </c>
      <c r="B42" s="2">
        <v>33813</v>
      </c>
      <c r="C42" s="3">
        <v>2.7999999999999997E-2</v>
      </c>
      <c r="D42" s="4" t="s">
        <v>1</v>
      </c>
      <c r="E42" s="4" t="s">
        <v>2</v>
      </c>
    </row>
    <row r="43" spans="1:5" hidden="1" x14ac:dyDescent="0.15">
      <c r="A43" s="1" t="s">
        <v>43</v>
      </c>
      <c r="B43" s="2">
        <v>91309</v>
      </c>
      <c r="C43" s="3">
        <v>7.4999999999999997E-2</v>
      </c>
      <c r="D43" s="4" t="s">
        <v>1</v>
      </c>
      <c r="E43" s="4" t="s">
        <v>2</v>
      </c>
    </row>
    <row r="44" spans="1:5" ht="26" hidden="1" x14ac:dyDescent="0.15">
      <c r="A44" s="1" t="s">
        <v>44</v>
      </c>
      <c r="B44" s="2">
        <v>186689</v>
      </c>
      <c r="C44" s="3">
        <v>0.152</v>
      </c>
      <c r="D44" s="4" t="s">
        <v>1</v>
      </c>
      <c r="E44" s="4" t="s">
        <v>2</v>
      </c>
    </row>
    <row r="45" spans="1:5" hidden="1" x14ac:dyDescent="0.15">
      <c r="A45" s="1" t="s">
        <v>45</v>
      </c>
      <c r="B45" s="2">
        <v>196105</v>
      </c>
      <c r="C45" s="3">
        <v>0.16</v>
      </c>
      <c r="D45" s="4" t="s">
        <v>1</v>
      </c>
      <c r="E45" s="4" t="s">
        <v>2</v>
      </c>
    </row>
    <row r="46" spans="1:5" ht="26" hidden="1" x14ac:dyDescent="0.15">
      <c r="A46" s="1" t="s">
        <v>46</v>
      </c>
      <c r="B46" s="2">
        <v>281941</v>
      </c>
      <c r="C46" s="3">
        <v>0.23</v>
      </c>
      <c r="D46" s="4" t="s">
        <v>1</v>
      </c>
      <c r="E46" s="4" t="s">
        <v>2</v>
      </c>
    </row>
    <row r="47" spans="1:5" hidden="1" x14ac:dyDescent="0.15">
      <c r="A47" s="1" t="s">
        <v>47</v>
      </c>
      <c r="B47" s="2">
        <v>525518</v>
      </c>
      <c r="C47" s="3">
        <v>0.42899999999999999</v>
      </c>
      <c r="D47" s="4" t="s">
        <v>1</v>
      </c>
      <c r="E47" s="4" t="s">
        <v>2</v>
      </c>
    </row>
    <row r="48" spans="1:5" hidden="1" x14ac:dyDescent="0.15">
      <c r="A48" s="1" t="s">
        <v>48</v>
      </c>
      <c r="B48" s="2">
        <v>80594</v>
      </c>
      <c r="C48" s="3">
        <v>6.6000000000000003E-2</v>
      </c>
      <c r="D48" s="4" t="s">
        <v>1</v>
      </c>
      <c r="E48" s="4" t="s">
        <v>2</v>
      </c>
    </row>
    <row r="49" spans="1:5" hidden="1" x14ac:dyDescent="0.15">
      <c r="A49" s="1" t="s">
        <v>49</v>
      </c>
      <c r="B49" s="2">
        <v>63792</v>
      </c>
      <c r="C49" s="3">
        <v>5.2000000000000005E-2</v>
      </c>
      <c r="D49" s="4" t="s">
        <v>1</v>
      </c>
      <c r="E49" s="4" t="s">
        <v>2</v>
      </c>
    </row>
    <row r="50" spans="1:5" ht="26" hidden="1" x14ac:dyDescent="0.15">
      <c r="A50" s="1" t="s">
        <v>50</v>
      </c>
      <c r="B50" s="2">
        <v>179817</v>
      </c>
      <c r="C50" s="3">
        <v>0.14699999999999999</v>
      </c>
      <c r="D50" s="4" t="s">
        <v>1</v>
      </c>
      <c r="E50" s="4" t="s">
        <v>2</v>
      </c>
    </row>
    <row r="51" spans="1:5" hidden="1" x14ac:dyDescent="0.15">
      <c r="A51" s="1" t="s">
        <v>51</v>
      </c>
      <c r="B51" s="2">
        <v>420241</v>
      </c>
      <c r="C51" s="3">
        <v>0.34299999999999997</v>
      </c>
      <c r="D51" s="4" t="s">
        <v>1</v>
      </c>
      <c r="E51" s="4" t="s">
        <v>2</v>
      </c>
    </row>
    <row r="52" spans="1:5" hidden="1" x14ac:dyDescent="0.15">
      <c r="A52" s="1" t="s">
        <v>52</v>
      </c>
      <c r="B52" s="2">
        <v>91173</v>
      </c>
      <c r="C52" s="3">
        <v>7.400000000000001E-2</v>
      </c>
      <c r="D52" s="4" t="s">
        <v>1</v>
      </c>
      <c r="E52" s="4" t="s">
        <v>2</v>
      </c>
    </row>
    <row r="53" spans="1:5" ht="26" hidden="1" x14ac:dyDescent="0.15">
      <c r="A53" s="1" t="s">
        <v>53</v>
      </c>
      <c r="B53" s="2">
        <v>70834</v>
      </c>
      <c r="C53" s="3">
        <v>5.7999999999999996E-2</v>
      </c>
      <c r="D53" s="4" t="s">
        <v>1</v>
      </c>
      <c r="E53" s="4" t="s">
        <v>2</v>
      </c>
    </row>
    <row r="54" spans="1:5" hidden="1" x14ac:dyDescent="0.15">
      <c r="A54" s="1" t="s">
        <v>54</v>
      </c>
      <c r="B54" s="2">
        <v>385825</v>
      </c>
      <c r="C54" s="3">
        <v>0.315</v>
      </c>
      <c r="D54" s="4" t="s">
        <v>1</v>
      </c>
      <c r="E54" s="4" t="s">
        <v>2</v>
      </c>
    </row>
    <row r="55" spans="1:5" ht="26" hidden="1" x14ac:dyDescent="0.15">
      <c r="A55" s="1" t="s">
        <v>55</v>
      </c>
      <c r="B55" s="2">
        <v>453085</v>
      </c>
      <c r="C55" s="3">
        <v>0.37</v>
      </c>
      <c r="D55" s="4" t="s">
        <v>1</v>
      </c>
      <c r="E55" s="4" t="s">
        <v>2</v>
      </c>
    </row>
    <row r="56" spans="1:5" hidden="1" x14ac:dyDescent="0.15">
      <c r="A56" s="1" t="s">
        <v>56</v>
      </c>
      <c r="B56" s="2">
        <v>288269</v>
      </c>
      <c r="C56" s="3">
        <v>0.23499999999999999</v>
      </c>
      <c r="D56" s="4" t="s">
        <v>1</v>
      </c>
      <c r="E56" s="4" t="s">
        <v>2</v>
      </c>
    </row>
    <row r="57" spans="1:5" hidden="1" x14ac:dyDescent="0.15">
      <c r="A57" s="1" t="s">
        <v>57</v>
      </c>
      <c r="B57" s="2">
        <v>146518</v>
      </c>
      <c r="C57" s="3">
        <v>0.12</v>
      </c>
      <c r="D57" s="4" t="s">
        <v>1</v>
      </c>
      <c r="E57" s="4" t="s">
        <v>2</v>
      </c>
    </row>
    <row r="58" spans="1:5" hidden="1" x14ac:dyDescent="0.15">
      <c r="A58" s="1" t="s">
        <v>58</v>
      </c>
      <c r="B58" s="2">
        <v>127996</v>
      </c>
      <c r="C58" s="3">
        <v>0.105</v>
      </c>
      <c r="D58" s="4" t="s">
        <v>1</v>
      </c>
      <c r="E58" s="4" t="s">
        <v>2</v>
      </c>
    </row>
    <row r="59" spans="1:5" hidden="1" x14ac:dyDescent="0.15">
      <c r="A59" s="1" t="s">
        <v>59</v>
      </c>
      <c r="B59" s="2">
        <v>592851</v>
      </c>
      <c r="C59" s="3">
        <v>0.48399999999999999</v>
      </c>
      <c r="D59" s="4" t="s">
        <v>1</v>
      </c>
      <c r="E59" s="4" t="s">
        <v>2</v>
      </c>
    </row>
    <row r="60" spans="1:5" hidden="1" x14ac:dyDescent="0.15">
      <c r="A60" s="1" t="s">
        <v>60</v>
      </c>
      <c r="B60" s="2">
        <v>104989</v>
      </c>
      <c r="C60" s="3">
        <v>8.5999999999999993E-2</v>
      </c>
      <c r="D60" s="4" t="s">
        <v>1</v>
      </c>
      <c r="E60" s="4" t="s">
        <v>2</v>
      </c>
    </row>
    <row r="61" spans="1:5" ht="26" hidden="1" x14ac:dyDescent="0.15">
      <c r="A61" s="1" t="s">
        <v>61</v>
      </c>
      <c r="B61" s="2">
        <v>144506</v>
      </c>
      <c r="C61" s="3">
        <v>0.11800000000000001</v>
      </c>
      <c r="D61" s="4" t="s">
        <v>1</v>
      </c>
      <c r="E61" s="4" t="s">
        <v>2</v>
      </c>
    </row>
    <row r="62" spans="1:5" hidden="1" x14ac:dyDescent="0.15">
      <c r="A62" s="1" t="s">
        <v>62</v>
      </c>
      <c r="B62" s="2">
        <v>27830</v>
      </c>
      <c r="C62" s="3">
        <v>2.3E-2</v>
      </c>
      <c r="D62" s="4" t="s">
        <v>1</v>
      </c>
      <c r="E62" s="4" t="s">
        <v>2</v>
      </c>
    </row>
    <row r="63" spans="1:5" ht="26" hidden="1" x14ac:dyDescent="0.15">
      <c r="A63" s="1" t="s">
        <v>63</v>
      </c>
      <c r="B63" s="2">
        <v>231425</v>
      </c>
      <c r="C63" s="3">
        <v>0.18899999999999997</v>
      </c>
      <c r="D63" s="4" t="s">
        <v>1</v>
      </c>
      <c r="E63" s="4" t="s">
        <v>2</v>
      </c>
    </row>
    <row r="64" spans="1:5" ht="26" hidden="1" x14ac:dyDescent="0.15">
      <c r="A64" s="1" t="s">
        <v>64</v>
      </c>
      <c r="B64" s="2">
        <v>129129</v>
      </c>
      <c r="C64" s="3">
        <v>0.105</v>
      </c>
      <c r="D64" s="4" t="s">
        <v>1</v>
      </c>
      <c r="E64" s="4" t="s">
        <v>2</v>
      </c>
    </row>
    <row r="65" spans="1:5" hidden="1" x14ac:dyDescent="0.15">
      <c r="A65" s="1" t="s">
        <v>65</v>
      </c>
      <c r="B65" s="2">
        <v>172315</v>
      </c>
      <c r="C65" s="3">
        <v>0.14099999999999999</v>
      </c>
      <c r="D65" s="4" t="s">
        <v>1</v>
      </c>
      <c r="E65" s="4" t="s">
        <v>2</v>
      </c>
    </row>
    <row r="66" spans="1:5" hidden="1" x14ac:dyDescent="0.15">
      <c r="A66" s="1" t="s">
        <v>66</v>
      </c>
      <c r="B66" s="2">
        <v>69300</v>
      </c>
      <c r="C66" s="3">
        <v>5.7000000000000002E-2</v>
      </c>
      <c r="D66" s="4" t="s">
        <v>1</v>
      </c>
      <c r="E66" s="4" t="s">
        <v>2</v>
      </c>
    </row>
    <row r="67" spans="1:5" hidden="1" x14ac:dyDescent="0.15">
      <c r="A67" s="1" t="s">
        <v>67</v>
      </c>
      <c r="B67" s="2">
        <v>448127</v>
      </c>
      <c r="C67" s="3">
        <v>0.36599999999999999</v>
      </c>
      <c r="D67" s="4" t="s">
        <v>1</v>
      </c>
      <c r="E67" s="4" t="s">
        <v>2</v>
      </c>
    </row>
    <row r="68" spans="1:5" hidden="1" x14ac:dyDescent="0.15">
      <c r="A68" s="1" t="s">
        <v>68</v>
      </c>
      <c r="B68" s="2">
        <v>268848</v>
      </c>
      <c r="C68" s="3">
        <v>0.22</v>
      </c>
      <c r="D68" s="4" t="s">
        <v>1</v>
      </c>
      <c r="E68" s="4" t="s">
        <v>2</v>
      </c>
    </row>
    <row r="69" spans="1:5" hidden="1" x14ac:dyDescent="0.15">
      <c r="A69" s="1" t="s">
        <v>69</v>
      </c>
      <c r="B69" s="2">
        <v>750880</v>
      </c>
      <c r="C69" s="3">
        <v>0.61299999999999999</v>
      </c>
      <c r="D69" s="4" t="s">
        <v>1</v>
      </c>
      <c r="E69" s="4" t="s">
        <v>2</v>
      </c>
    </row>
    <row r="70" spans="1:5" hidden="1" x14ac:dyDescent="0.15">
      <c r="A70" s="1" t="s">
        <v>70</v>
      </c>
      <c r="B70" s="2">
        <v>296875</v>
      </c>
      <c r="C70" s="3">
        <v>0.24199999999999999</v>
      </c>
      <c r="D70" s="4" t="s">
        <v>1</v>
      </c>
      <c r="E70" s="4" t="s">
        <v>2</v>
      </c>
    </row>
    <row r="71" spans="1:5" ht="26" hidden="1" x14ac:dyDescent="0.15">
      <c r="A71" s="1" t="s">
        <v>71</v>
      </c>
      <c r="B71" s="2">
        <v>35160</v>
      </c>
      <c r="C71" s="3">
        <v>2.8999999999999998E-2</v>
      </c>
      <c r="D71" s="4" t="s">
        <v>1</v>
      </c>
      <c r="E71" s="4" t="s">
        <v>2</v>
      </c>
    </row>
    <row r="72" spans="1:5" hidden="1" x14ac:dyDescent="0.15">
      <c r="A72" s="1" t="s">
        <v>72</v>
      </c>
      <c r="B72" s="2">
        <v>164446</v>
      </c>
      <c r="C72" s="3">
        <v>0.13400000000000001</v>
      </c>
      <c r="D72" s="4" t="s">
        <v>1</v>
      </c>
      <c r="E72" s="4" t="s">
        <v>2</v>
      </c>
    </row>
    <row r="73" spans="1:5" hidden="1" x14ac:dyDescent="0.15">
      <c r="A73" s="1" t="s">
        <v>73</v>
      </c>
      <c r="B73" s="2">
        <v>678865</v>
      </c>
      <c r="C73" s="3">
        <v>0.55399999999999994</v>
      </c>
      <c r="D73" s="4" t="s">
        <v>1</v>
      </c>
      <c r="E73" s="4" t="s">
        <v>2</v>
      </c>
    </row>
    <row r="74" spans="1:5" hidden="1" x14ac:dyDescent="0.15">
      <c r="A74" s="1" t="s">
        <v>74</v>
      </c>
      <c r="B74" s="2">
        <v>275407</v>
      </c>
      <c r="C74" s="3">
        <v>0.22500000000000001</v>
      </c>
      <c r="D74" s="4" t="s">
        <v>1</v>
      </c>
      <c r="E74" s="4" t="s">
        <v>2</v>
      </c>
    </row>
    <row r="75" spans="1:5" hidden="1" x14ac:dyDescent="0.15">
      <c r="A75" s="1" t="s">
        <v>75</v>
      </c>
      <c r="B75" s="2">
        <v>193080</v>
      </c>
      <c r="C75" s="3">
        <v>0.158</v>
      </c>
      <c r="D75" s="4" t="s">
        <v>1</v>
      </c>
      <c r="E75" s="4" t="s">
        <v>2</v>
      </c>
    </row>
    <row r="76" spans="1:5" hidden="1" x14ac:dyDescent="0.15">
      <c r="A76" s="1" t="s">
        <v>76</v>
      </c>
      <c r="B76" s="2">
        <v>120828</v>
      </c>
      <c r="C76" s="3">
        <v>9.9000000000000005E-2</v>
      </c>
      <c r="D76" s="4" t="s">
        <v>1</v>
      </c>
      <c r="E76" s="4" t="s">
        <v>2</v>
      </c>
    </row>
    <row r="77" spans="1:5" hidden="1" x14ac:dyDescent="0.15">
      <c r="A77" s="1" t="s">
        <v>77</v>
      </c>
      <c r="B77" s="2">
        <v>98042</v>
      </c>
      <c r="C77" s="3">
        <v>0.08</v>
      </c>
      <c r="D77" s="4" t="s">
        <v>1</v>
      </c>
      <c r="E77" s="4" t="s">
        <v>2</v>
      </c>
    </row>
    <row r="78" spans="1:5" ht="26" hidden="1" x14ac:dyDescent="0.15">
      <c r="A78" s="1" t="s">
        <v>78</v>
      </c>
      <c r="B78" s="2">
        <v>137070</v>
      </c>
      <c r="C78" s="3">
        <v>0.11199999999999999</v>
      </c>
      <c r="D78" s="4" t="s">
        <v>1</v>
      </c>
      <c r="E78" s="4" t="s">
        <v>2</v>
      </c>
    </row>
    <row r="79" spans="1:5" hidden="1" x14ac:dyDescent="0.15">
      <c r="A79" s="1" t="s">
        <v>79</v>
      </c>
      <c r="B79" s="2">
        <v>188112</v>
      </c>
      <c r="C79" s="3">
        <v>0.154</v>
      </c>
      <c r="D79" s="4" t="s">
        <v>1</v>
      </c>
      <c r="E79" s="4" t="s">
        <v>2</v>
      </c>
    </row>
    <row r="80" spans="1:5" hidden="1" x14ac:dyDescent="0.15">
      <c r="A80" s="1" t="s">
        <v>80</v>
      </c>
      <c r="B80" s="2">
        <v>106512</v>
      </c>
      <c r="C80" s="3">
        <v>8.6999999999999994E-2</v>
      </c>
      <c r="D80" s="4" t="s">
        <v>1</v>
      </c>
      <c r="E80" s="4" t="s">
        <v>2</v>
      </c>
    </row>
    <row r="81" spans="1:5" ht="26" hidden="1" x14ac:dyDescent="0.15">
      <c r="A81" s="1" t="s">
        <v>81</v>
      </c>
      <c r="B81" s="2">
        <v>134351</v>
      </c>
      <c r="C81" s="3">
        <v>0.11</v>
      </c>
      <c r="D81" s="4" t="s">
        <v>1</v>
      </c>
      <c r="E81" s="4" t="s">
        <v>2</v>
      </c>
    </row>
    <row r="82" spans="1:5" hidden="1" x14ac:dyDescent="0.15">
      <c r="A82" s="1" t="s">
        <v>82</v>
      </c>
      <c r="B82" s="2">
        <v>128123</v>
      </c>
      <c r="C82" s="3">
        <v>0.105</v>
      </c>
      <c r="D82" s="4" t="s">
        <v>1</v>
      </c>
      <c r="E82" s="4" t="s">
        <v>2</v>
      </c>
    </row>
    <row r="83" spans="1:5" hidden="1" x14ac:dyDescent="0.15">
      <c r="A83" s="4"/>
      <c r="B83" s="4"/>
      <c r="C83" s="4"/>
      <c r="D83" s="4" t="s">
        <v>1</v>
      </c>
      <c r="E83" s="4" t="s">
        <v>2</v>
      </c>
    </row>
    <row r="84" spans="1:5" hidden="1" x14ac:dyDescent="0.15">
      <c r="A84" s="5"/>
      <c r="B84" s="5"/>
      <c r="C84" s="5"/>
      <c r="D84" s="4" t="s">
        <v>1</v>
      </c>
      <c r="E84" s="4" t="s">
        <v>2</v>
      </c>
    </row>
    <row r="85" spans="1:5" ht="26" hidden="1" x14ac:dyDescent="0.15">
      <c r="A85" s="1" t="s">
        <v>83</v>
      </c>
      <c r="B85" s="2">
        <v>323513</v>
      </c>
      <c r="C85" s="3">
        <v>0.26400000000000001</v>
      </c>
      <c r="D85" s="4" t="s">
        <v>1</v>
      </c>
      <c r="E85" s="4" t="s">
        <v>2</v>
      </c>
    </row>
    <row r="86" spans="1:5" ht="26" hidden="1" x14ac:dyDescent="0.15">
      <c r="A86" s="1" t="s">
        <v>84</v>
      </c>
      <c r="B86" s="2">
        <v>0</v>
      </c>
      <c r="C86" s="3">
        <v>0</v>
      </c>
      <c r="D86" s="4" t="s">
        <v>1</v>
      </c>
      <c r="E86" s="4" t="s">
        <v>2</v>
      </c>
    </row>
    <row r="87" spans="1:5" hidden="1" x14ac:dyDescent="0.15">
      <c r="A87" s="4"/>
      <c r="B87" s="4"/>
      <c r="C87" s="4"/>
      <c r="D87" s="4" t="s">
        <v>1</v>
      </c>
      <c r="E87" s="4" t="s">
        <v>2</v>
      </c>
    </row>
    <row r="88" spans="1:5" hidden="1" x14ac:dyDescent="0.15">
      <c r="A88" s="5"/>
      <c r="B88" s="5"/>
      <c r="C88" s="5"/>
      <c r="D88" s="4" t="s">
        <v>1</v>
      </c>
      <c r="E88" s="4" t="s">
        <v>2</v>
      </c>
    </row>
    <row r="89" spans="1:5" ht="26" hidden="1" x14ac:dyDescent="0.15">
      <c r="A89" s="1" t="s">
        <v>85</v>
      </c>
      <c r="B89" s="2">
        <v>0</v>
      </c>
      <c r="C89" s="3">
        <v>0</v>
      </c>
      <c r="D89" s="4" t="s">
        <v>1</v>
      </c>
      <c r="E89" s="4" t="s">
        <v>2</v>
      </c>
    </row>
    <row r="90" spans="1:5" hidden="1" x14ac:dyDescent="0.15">
      <c r="A90" s="4"/>
      <c r="B90" s="4"/>
      <c r="C90" s="4"/>
      <c r="D90" s="4" t="s">
        <v>1</v>
      </c>
      <c r="E90" s="4" t="s">
        <v>2</v>
      </c>
    </row>
    <row r="91" spans="1:5" hidden="1" x14ac:dyDescent="0.15">
      <c r="A91" s="5"/>
      <c r="B91" s="5"/>
      <c r="C91" s="5"/>
      <c r="D91" s="4" t="s">
        <v>1</v>
      </c>
      <c r="E91" s="4" t="s">
        <v>2</v>
      </c>
    </row>
    <row r="92" spans="1:5" ht="26" hidden="1" x14ac:dyDescent="0.15">
      <c r="A92" s="1" t="s">
        <v>86</v>
      </c>
      <c r="B92" s="2">
        <v>0</v>
      </c>
      <c r="C92" s="3">
        <v>0</v>
      </c>
      <c r="D92" s="4" t="s">
        <v>1</v>
      </c>
      <c r="E92" s="4" t="s">
        <v>2</v>
      </c>
    </row>
    <row r="93" spans="1:5" hidden="1" x14ac:dyDescent="0.15">
      <c r="A93" s="4"/>
      <c r="B93" s="4"/>
      <c r="C93" s="4"/>
      <c r="D93" s="4" t="s">
        <v>1</v>
      </c>
      <c r="E93" s="4" t="s">
        <v>2</v>
      </c>
    </row>
    <row r="94" spans="1:5" hidden="1" x14ac:dyDescent="0.15">
      <c r="A94" s="5"/>
      <c r="B94" s="5"/>
      <c r="C94" s="5"/>
      <c r="D94" s="4" t="s">
        <v>1</v>
      </c>
      <c r="E94" s="4" t="s">
        <v>2</v>
      </c>
    </row>
    <row r="95" spans="1:5" ht="26" hidden="1" x14ac:dyDescent="0.15">
      <c r="A95" s="1" t="s">
        <v>87</v>
      </c>
      <c r="B95" s="2">
        <v>398368</v>
      </c>
      <c r="C95" s="3">
        <v>0.32500000000000001</v>
      </c>
      <c r="D95" s="4" t="s">
        <v>1</v>
      </c>
      <c r="E95" s="4" t="s">
        <v>2</v>
      </c>
    </row>
    <row r="96" spans="1:5" ht="26" hidden="1" x14ac:dyDescent="0.15">
      <c r="A96" s="1" t="s">
        <v>88</v>
      </c>
      <c r="B96" s="2">
        <v>0</v>
      </c>
      <c r="C96" s="3">
        <v>0</v>
      </c>
      <c r="D96" s="4" t="s">
        <v>1</v>
      </c>
      <c r="E96" s="4" t="s">
        <v>2</v>
      </c>
    </row>
    <row r="97" spans="1:5" hidden="1" x14ac:dyDescent="0.15">
      <c r="A97" s="4"/>
      <c r="B97" s="4"/>
      <c r="C97" s="4"/>
      <c r="D97" s="4" t="s">
        <v>1</v>
      </c>
      <c r="E97" s="4" t="s">
        <v>2</v>
      </c>
    </row>
    <row r="98" spans="1:5" hidden="1" x14ac:dyDescent="0.15">
      <c r="A98" s="5"/>
      <c r="B98" s="5"/>
      <c r="C98" s="5"/>
      <c r="D98" s="4" t="s">
        <v>1</v>
      </c>
      <c r="E98" s="4" t="s">
        <v>2</v>
      </c>
    </row>
    <row r="99" spans="1:5" ht="26" hidden="1" x14ac:dyDescent="0.15">
      <c r="A99" s="1" t="s">
        <v>89</v>
      </c>
      <c r="B99" s="2">
        <v>0</v>
      </c>
      <c r="C99" s="3">
        <v>0</v>
      </c>
      <c r="D99" s="4" t="s">
        <v>1</v>
      </c>
      <c r="E99" s="4" t="s">
        <v>2</v>
      </c>
    </row>
    <row r="100" spans="1:5" ht="26" hidden="1" x14ac:dyDescent="0.15">
      <c r="A100" s="1" t="s">
        <v>90</v>
      </c>
      <c r="B100" s="2">
        <v>0</v>
      </c>
      <c r="C100" s="3">
        <v>0</v>
      </c>
      <c r="D100" s="4" t="s">
        <v>1</v>
      </c>
      <c r="E100" s="4" t="s">
        <v>2</v>
      </c>
    </row>
    <row r="101" spans="1:5" hidden="1" x14ac:dyDescent="0.15">
      <c r="A101" s="4"/>
      <c r="B101" s="4"/>
      <c r="C101" s="4"/>
      <c r="D101" s="4" t="s">
        <v>1</v>
      </c>
      <c r="E101" s="4" t="s">
        <v>2</v>
      </c>
    </row>
    <row r="102" spans="1:5" hidden="1" x14ac:dyDescent="0.15">
      <c r="A102" s="5"/>
      <c r="B102" s="5"/>
      <c r="C102" s="5"/>
      <c r="D102" s="4" t="s">
        <v>1</v>
      </c>
      <c r="E102" s="4" t="s">
        <v>2</v>
      </c>
    </row>
    <row r="103" spans="1:5" ht="26" hidden="1" x14ac:dyDescent="0.15">
      <c r="A103" s="1" t="s">
        <v>91</v>
      </c>
      <c r="B103" s="2">
        <v>219348</v>
      </c>
      <c r="C103" s="3">
        <v>0.17899999999999999</v>
      </c>
      <c r="D103" s="4" t="s">
        <v>1</v>
      </c>
      <c r="E103" s="4" t="s">
        <v>2</v>
      </c>
    </row>
    <row r="104" spans="1:5" ht="26" hidden="1" x14ac:dyDescent="0.15">
      <c r="A104" s="1" t="s">
        <v>92</v>
      </c>
      <c r="B104" s="2">
        <v>425629</v>
      </c>
      <c r="C104" s="3">
        <v>0.34799999999999998</v>
      </c>
      <c r="D104" s="4" t="s">
        <v>1</v>
      </c>
      <c r="E104" s="4" t="s">
        <v>2</v>
      </c>
    </row>
    <row r="105" spans="1:5" ht="26" hidden="1" x14ac:dyDescent="0.15">
      <c r="A105" s="1" t="s">
        <v>93</v>
      </c>
      <c r="B105" s="2">
        <v>31180</v>
      </c>
      <c r="C105" s="3">
        <v>2.5000000000000001E-2</v>
      </c>
      <c r="D105" s="4" t="s">
        <v>1</v>
      </c>
      <c r="E105" s="4" t="s">
        <v>2</v>
      </c>
    </row>
    <row r="106" spans="1:5" hidden="1" x14ac:dyDescent="0.15">
      <c r="A106" s="6" t="s">
        <v>0</v>
      </c>
      <c r="B106" s="7">
        <v>898287</v>
      </c>
      <c r="C106" s="8">
        <v>1</v>
      </c>
      <c r="D106" s="4" t="s">
        <v>94</v>
      </c>
      <c r="E106" s="4" t="s">
        <v>95</v>
      </c>
    </row>
    <row r="107" spans="1:5" ht="26" hidden="1" x14ac:dyDescent="0.15">
      <c r="A107" s="6" t="s">
        <v>3</v>
      </c>
      <c r="B107" s="7">
        <v>3504</v>
      </c>
      <c r="C107" s="8">
        <v>4.0000000000000001E-3</v>
      </c>
      <c r="D107" s="4" t="s">
        <v>94</v>
      </c>
      <c r="E107" s="4" t="s">
        <v>95</v>
      </c>
    </row>
    <row r="108" spans="1:5" hidden="1" x14ac:dyDescent="0.15">
      <c r="A108" s="6" t="s">
        <v>4</v>
      </c>
      <c r="B108" s="7">
        <v>9419</v>
      </c>
      <c r="C108" s="8">
        <v>0.01</v>
      </c>
      <c r="D108" s="4" t="s">
        <v>94</v>
      </c>
      <c r="E108" s="4" t="s">
        <v>95</v>
      </c>
    </row>
    <row r="109" spans="1:5" ht="26" hidden="1" x14ac:dyDescent="0.15">
      <c r="A109" s="6" t="s">
        <v>5</v>
      </c>
      <c r="B109" s="7">
        <v>45487</v>
      </c>
      <c r="C109" s="8">
        <v>5.0999999999999997E-2</v>
      </c>
      <c r="D109" s="4" t="s">
        <v>94</v>
      </c>
      <c r="E109" s="4" t="s">
        <v>95</v>
      </c>
    </row>
    <row r="110" spans="1:5" ht="26" hidden="1" x14ac:dyDescent="0.15">
      <c r="A110" s="6" t="s">
        <v>6</v>
      </c>
      <c r="B110" s="7">
        <v>255711</v>
      </c>
      <c r="C110" s="8">
        <v>0.28499999999999998</v>
      </c>
      <c r="D110" s="4" t="s">
        <v>94</v>
      </c>
      <c r="E110" s="4" t="s">
        <v>95</v>
      </c>
    </row>
    <row r="111" spans="1:5" ht="26" hidden="1" x14ac:dyDescent="0.15">
      <c r="A111" s="6" t="s">
        <v>7</v>
      </c>
      <c r="B111" s="7">
        <v>251811</v>
      </c>
      <c r="C111" s="8">
        <v>0.28000000000000003</v>
      </c>
      <c r="D111" s="4" t="s">
        <v>94</v>
      </c>
      <c r="E111" s="4" t="s">
        <v>95</v>
      </c>
    </row>
    <row r="112" spans="1:5" ht="26" hidden="1" x14ac:dyDescent="0.15">
      <c r="A112" s="6" t="s">
        <v>8</v>
      </c>
      <c r="B112" s="7">
        <v>8744</v>
      </c>
      <c r="C112" s="8">
        <v>0.01</v>
      </c>
      <c r="D112" s="4" t="s">
        <v>94</v>
      </c>
      <c r="E112" s="4" t="s">
        <v>95</v>
      </c>
    </row>
    <row r="113" spans="1:5" ht="26" hidden="1" x14ac:dyDescent="0.15">
      <c r="A113" s="6" t="s">
        <v>9</v>
      </c>
      <c r="B113" s="7">
        <v>13363</v>
      </c>
      <c r="C113" s="8">
        <v>1.4999999999999999E-2</v>
      </c>
      <c r="D113" s="4" t="s">
        <v>94</v>
      </c>
      <c r="E113" s="4" t="s">
        <v>95</v>
      </c>
    </row>
    <row r="114" spans="1:5" ht="26" hidden="1" x14ac:dyDescent="0.15">
      <c r="A114" s="6" t="s">
        <v>10</v>
      </c>
      <c r="B114" s="7">
        <v>11662</v>
      </c>
      <c r="C114" s="8">
        <v>1.3000000000000001E-2</v>
      </c>
      <c r="D114" s="4" t="s">
        <v>94</v>
      </c>
      <c r="E114" s="4" t="s">
        <v>95</v>
      </c>
    </row>
    <row r="115" spans="1:5" ht="26" hidden="1" x14ac:dyDescent="0.15">
      <c r="A115" s="6" t="s">
        <v>11</v>
      </c>
      <c r="B115" s="7">
        <v>55699</v>
      </c>
      <c r="C115" s="8">
        <v>6.2E-2</v>
      </c>
      <c r="D115" s="4" t="s">
        <v>94</v>
      </c>
      <c r="E115" s="4" t="s">
        <v>95</v>
      </c>
    </row>
    <row r="116" spans="1:5" hidden="1" x14ac:dyDescent="0.15">
      <c r="A116" s="6" t="s">
        <v>12</v>
      </c>
      <c r="B116" s="7">
        <v>16915</v>
      </c>
      <c r="C116" s="8">
        <v>1.9E-2</v>
      </c>
      <c r="D116" s="4" t="s">
        <v>94</v>
      </c>
      <c r="E116" s="4" t="s">
        <v>95</v>
      </c>
    </row>
    <row r="117" spans="1:5" ht="26" hidden="1" x14ac:dyDescent="0.15">
      <c r="A117" s="6" t="s">
        <v>13</v>
      </c>
      <c r="B117" s="7">
        <v>5915</v>
      </c>
      <c r="C117" s="8">
        <v>6.9999999999999993E-3</v>
      </c>
      <c r="D117" s="4" t="s">
        <v>94</v>
      </c>
      <c r="E117" s="4" t="s">
        <v>95</v>
      </c>
    </row>
    <row r="118" spans="1:5" hidden="1" x14ac:dyDescent="0.15">
      <c r="A118" s="6" t="s">
        <v>14</v>
      </c>
      <c r="B118" s="7">
        <v>69214</v>
      </c>
      <c r="C118" s="8">
        <v>7.6999999999999999E-2</v>
      </c>
      <c r="D118" s="4" t="s">
        <v>94</v>
      </c>
      <c r="E118" s="4" t="s">
        <v>95</v>
      </c>
    </row>
    <row r="119" spans="1:5" ht="26" hidden="1" x14ac:dyDescent="0.15">
      <c r="A119" s="6" t="s">
        <v>15</v>
      </c>
      <c r="B119" s="7">
        <v>75822</v>
      </c>
      <c r="C119" s="8">
        <v>8.4000000000000005E-2</v>
      </c>
      <c r="D119" s="4" t="s">
        <v>94</v>
      </c>
      <c r="E119" s="4" t="s">
        <v>95</v>
      </c>
    </row>
    <row r="120" spans="1:5" hidden="1" x14ac:dyDescent="0.15">
      <c r="A120" s="6" t="s">
        <v>16</v>
      </c>
      <c r="B120" s="7">
        <v>54822</v>
      </c>
      <c r="C120" s="8">
        <v>6.0999999999999999E-2</v>
      </c>
      <c r="D120" s="4" t="s">
        <v>94</v>
      </c>
      <c r="E120" s="4" t="s">
        <v>95</v>
      </c>
    </row>
    <row r="121" spans="1:5" ht="26" hidden="1" x14ac:dyDescent="0.15">
      <c r="A121" s="6" t="s">
        <v>17</v>
      </c>
      <c r="B121" s="7">
        <v>15603</v>
      </c>
      <c r="C121" s="8">
        <v>1.7000000000000001E-2</v>
      </c>
      <c r="D121" s="4" t="s">
        <v>94</v>
      </c>
      <c r="E121" s="4" t="s">
        <v>95</v>
      </c>
    </row>
    <row r="122" spans="1:5" hidden="1" x14ac:dyDescent="0.15">
      <c r="A122" s="6" t="s">
        <v>18</v>
      </c>
      <c r="B122" s="7">
        <v>6314</v>
      </c>
      <c r="C122" s="8">
        <v>6.9999999999999993E-3</v>
      </c>
      <c r="D122" s="4" t="s">
        <v>94</v>
      </c>
      <c r="E122" s="4" t="s">
        <v>95</v>
      </c>
    </row>
    <row r="123" spans="1:5" hidden="1" x14ac:dyDescent="0.15">
      <c r="A123" s="6" t="s">
        <v>19</v>
      </c>
      <c r="B123" s="7">
        <v>89877</v>
      </c>
      <c r="C123" s="8">
        <v>0.1</v>
      </c>
      <c r="D123" s="4" t="s">
        <v>94</v>
      </c>
      <c r="E123" s="4" t="s">
        <v>95</v>
      </c>
    </row>
    <row r="124" spans="1:5" hidden="1" x14ac:dyDescent="0.15">
      <c r="A124" s="6" t="s">
        <v>20</v>
      </c>
      <c r="B124" s="7">
        <v>12994</v>
      </c>
      <c r="C124" s="8">
        <v>1.3999999999999999E-2</v>
      </c>
      <c r="D124" s="4" t="s">
        <v>94</v>
      </c>
      <c r="E124" s="4" t="s">
        <v>95</v>
      </c>
    </row>
    <row r="125" spans="1:5" ht="26" hidden="1" x14ac:dyDescent="0.15">
      <c r="A125" s="6" t="s">
        <v>21</v>
      </c>
      <c r="B125" s="7">
        <v>16492</v>
      </c>
      <c r="C125" s="8">
        <v>1.8000000000000002E-2</v>
      </c>
      <c r="D125" s="4" t="s">
        <v>94</v>
      </c>
      <c r="E125" s="4" t="s">
        <v>95</v>
      </c>
    </row>
    <row r="126" spans="1:5" ht="26" hidden="1" x14ac:dyDescent="0.15">
      <c r="A126" s="6" t="s">
        <v>22</v>
      </c>
      <c r="B126" s="7">
        <v>5318</v>
      </c>
      <c r="C126" s="8">
        <v>6.0000000000000001E-3</v>
      </c>
      <c r="D126" s="4" t="s">
        <v>94</v>
      </c>
      <c r="E126" s="4" t="s">
        <v>95</v>
      </c>
    </row>
    <row r="127" spans="1:5" ht="26" hidden="1" x14ac:dyDescent="0.15">
      <c r="A127" s="6" t="s">
        <v>23</v>
      </c>
      <c r="B127" s="7">
        <v>8325</v>
      </c>
      <c r="C127" s="8">
        <v>9.0000000000000011E-3</v>
      </c>
      <c r="D127" s="4" t="s">
        <v>94</v>
      </c>
      <c r="E127" s="4" t="s">
        <v>95</v>
      </c>
    </row>
    <row r="128" spans="1:5" ht="26" hidden="1" x14ac:dyDescent="0.15">
      <c r="A128" s="6" t="s">
        <v>24</v>
      </c>
      <c r="B128" s="7">
        <v>319</v>
      </c>
      <c r="C128" s="8">
        <v>0</v>
      </c>
      <c r="D128" s="4" t="s">
        <v>94</v>
      </c>
      <c r="E128" s="4" t="s">
        <v>95</v>
      </c>
    </row>
    <row r="129" spans="1:5" ht="26" hidden="1" x14ac:dyDescent="0.15">
      <c r="A129" s="6" t="s">
        <v>25</v>
      </c>
      <c r="B129" s="7">
        <v>5494</v>
      </c>
      <c r="C129" s="8">
        <v>6.0000000000000001E-3</v>
      </c>
      <c r="D129" s="4" t="s">
        <v>94</v>
      </c>
      <c r="E129" s="4" t="s">
        <v>95</v>
      </c>
    </row>
    <row r="130" spans="1:5" hidden="1" x14ac:dyDescent="0.15">
      <c r="A130" s="6" t="s">
        <v>26</v>
      </c>
      <c r="B130" s="7">
        <v>7185</v>
      </c>
      <c r="C130" s="8">
        <v>8.0000000000000002E-3</v>
      </c>
      <c r="D130" s="4" t="s">
        <v>94</v>
      </c>
      <c r="E130" s="4" t="s">
        <v>95</v>
      </c>
    </row>
    <row r="131" spans="1:5" hidden="1" x14ac:dyDescent="0.15">
      <c r="A131" s="6" t="s">
        <v>27</v>
      </c>
      <c r="B131" s="7">
        <v>90205</v>
      </c>
      <c r="C131" s="8">
        <v>0.1</v>
      </c>
      <c r="D131" s="4" t="s">
        <v>94</v>
      </c>
      <c r="E131" s="4" t="s">
        <v>95</v>
      </c>
    </row>
    <row r="132" spans="1:5" hidden="1" x14ac:dyDescent="0.15">
      <c r="A132" s="6" t="s">
        <v>28</v>
      </c>
      <c r="B132" s="7">
        <v>65685</v>
      </c>
      <c r="C132" s="8">
        <v>7.2999999999999995E-2</v>
      </c>
      <c r="D132" s="4" t="s">
        <v>94</v>
      </c>
      <c r="E132" s="4" t="s">
        <v>95</v>
      </c>
    </row>
    <row r="133" spans="1:5" hidden="1" x14ac:dyDescent="0.15">
      <c r="A133" s="6" t="s">
        <v>29</v>
      </c>
      <c r="B133" s="7">
        <v>251739</v>
      </c>
      <c r="C133" s="8">
        <v>0.28000000000000003</v>
      </c>
      <c r="D133" s="4" t="s">
        <v>94</v>
      </c>
      <c r="E133" s="4" t="s">
        <v>95</v>
      </c>
    </row>
    <row r="134" spans="1:5" hidden="1" x14ac:dyDescent="0.15">
      <c r="A134" s="6" t="s">
        <v>30</v>
      </c>
      <c r="B134" s="7">
        <v>14135</v>
      </c>
      <c r="C134" s="8">
        <v>1.6E-2</v>
      </c>
      <c r="D134" s="4" t="s">
        <v>94</v>
      </c>
      <c r="E134" s="4" t="s">
        <v>95</v>
      </c>
    </row>
    <row r="135" spans="1:5" ht="39" hidden="1" x14ac:dyDescent="0.15">
      <c r="A135" s="6" t="s">
        <v>31</v>
      </c>
      <c r="B135" s="7">
        <v>6502</v>
      </c>
      <c r="C135" s="8">
        <v>6.9999999999999993E-3</v>
      </c>
      <c r="D135" s="4" t="s">
        <v>94</v>
      </c>
      <c r="E135" s="4" t="s">
        <v>95</v>
      </c>
    </row>
    <row r="136" spans="1:5" hidden="1" x14ac:dyDescent="0.15">
      <c r="A136" s="6" t="s">
        <v>32</v>
      </c>
      <c r="B136" s="7">
        <v>24714</v>
      </c>
      <c r="C136" s="8">
        <v>2.7999999999999997E-2</v>
      </c>
      <c r="D136" s="4" t="s">
        <v>94</v>
      </c>
      <c r="E136" s="4" t="s">
        <v>95</v>
      </c>
    </row>
    <row r="137" spans="1:5" hidden="1" x14ac:dyDescent="0.15">
      <c r="A137" s="6" t="s">
        <v>33</v>
      </c>
      <c r="B137" s="7">
        <v>287641</v>
      </c>
      <c r="C137" s="8">
        <v>0.32</v>
      </c>
      <c r="D137" s="4" t="s">
        <v>94</v>
      </c>
      <c r="E137" s="4" t="s">
        <v>95</v>
      </c>
    </row>
    <row r="138" spans="1:5" hidden="1" x14ac:dyDescent="0.15">
      <c r="A138" s="6" t="s">
        <v>34</v>
      </c>
      <c r="B138" s="7">
        <v>52936</v>
      </c>
      <c r="C138" s="8">
        <v>5.9000000000000004E-2</v>
      </c>
      <c r="D138" s="4" t="s">
        <v>94</v>
      </c>
      <c r="E138" s="4" t="s">
        <v>95</v>
      </c>
    </row>
    <row r="139" spans="1:5" hidden="1" x14ac:dyDescent="0.15">
      <c r="A139" s="6" t="s">
        <v>35</v>
      </c>
      <c r="B139" s="7">
        <v>13587</v>
      </c>
      <c r="C139" s="8">
        <v>1.4999999999999999E-2</v>
      </c>
      <c r="D139" s="4" t="s">
        <v>94</v>
      </c>
      <c r="E139" s="4" t="s">
        <v>95</v>
      </c>
    </row>
    <row r="140" spans="1:5" ht="26" hidden="1" x14ac:dyDescent="0.15">
      <c r="A140" s="6" t="s">
        <v>36</v>
      </c>
      <c r="B140" s="7">
        <v>35346</v>
      </c>
      <c r="C140" s="8">
        <v>3.9E-2</v>
      </c>
      <c r="D140" s="4" t="s">
        <v>94</v>
      </c>
      <c r="E140" s="4" t="s">
        <v>95</v>
      </c>
    </row>
    <row r="141" spans="1:5" hidden="1" x14ac:dyDescent="0.15">
      <c r="A141" s="6" t="s">
        <v>37</v>
      </c>
      <c r="B141" s="7">
        <v>30498</v>
      </c>
      <c r="C141" s="8">
        <v>3.4000000000000002E-2</v>
      </c>
      <c r="D141" s="4" t="s">
        <v>94</v>
      </c>
      <c r="E141" s="4" t="s">
        <v>95</v>
      </c>
    </row>
    <row r="142" spans="1:5" ht="39" hidden="1" x14ac:dyDescent="0.15">
      <c r="A142" s="6" t="s">
        <v>38</v>
      </c>
      <c r="B142" s="7">
        <v>4488</v>
      </c>
      <c r="C142" s="8">
        <v>5.0000000000000001E-3</v>
      </c>
      <c r="D142" s="4" t="s">
        <v>94</v>
      </c>
      <c r="E142" s="4" t="s">
        <v>95</v>
      </c>
    </row>
    <row r="143" spans="1:5" hidden="1" x14ac:dyDescent="0.15">
      <c r="A143" s="6" t="s">
        <v>39</v>
      </c>
      <c r="B143" s="7">
        <v>16177</v>
      </c>
      <c r="C143" s="8">
        <v>1.8000000000000002E-2</v>
      </c>
      <c r="D143" s="4" t="s">
        <v>94</v>
      </c>
      <c r="E143" s="4" t="s">
        <v>95</v>
      </c>
    </row>
    <row r="144" spans="1:5" hidden="1" x14ac:dyDescent="0.15">
      <c r="A144" s="6" t="s">
        <v>40</v>
      </c>
      <c r="B144" s="7">
        <v>11514</v>
      </c>
      <c r="C144" s="8">
        <v>1.3000000000000001E-2</v>
      </c>
      <c r="D144" s="4" t="s">
        <v>94</v>
      </c>
      <c r="E144" s="4" t="s">
        <v>95</v>
      </c>
    </row>
    <row r="145" spans="1:5" hidden="1" x14ac:dyDescent="0.15">
      <c r="A145" s="6" t="s">
        <v>41</v>
      </c>
      <c r="B145" s="7">
        <v>10522</v>
      </c>
      <c r="C145" s="8">
        <v>1.2E-2</v>
      </c>
      <c r="D145" s="4" t="s">
        <v>94</v>
      </c>
      <c r="E145" s="4" t="s">
        <v>95</v>
      </c>
    </row>
    <row r="146" spans="1:5" hidden="1" x14ac:dyDescent="0.15">
      <c r="A146" s="6" t="s">
        <v>42</v>
      </c>
      <c r="B146" s="7">
        <v>18410</v>
      </c>
      <c r="C146" s="8">
        <v>0.02</v>
      </c>
      <c r="D146" s="4" t="s">
        <v>94</v>
      </c>
      <c r="E146" s="4" t="s">
        <v>95</v>
      </c>
    </row>
    <row r="147" spans="1:5" hidden="1" x14ac:dyDescent="0.15">
      <c r="A147" s="6" t="s">
        <v>43</v>
      </c>
      <c r="B147" s="7">
        <v>79747</v>
      </c>
      <c r="C147" s="8">
        <v>8.900000000000001E-2</v>
      </c>
      <c r="D147" s="4" t="s">
        <v>94</v>
      </c>
      <c r="E147" s="4" t="s">
        <v>95</v>
      </c>
    </row>
    <row r="148" spans="1:5" ht="26" hidden="1" x14ac:dyDescent="0.15">
      <c r="A148" s="6" t="s">
        <v>44</v>
      </c>
      <c r="B148" s="7">
        <v>88165</v>
      </c>
      <c r="C148" s="8">
        <v>9.8000000000000004E-2</v>
      </c>
      <c r="D148" s="4" t="s">
        <v>94</v>
      </c>
      <c r="E148" s="4" t="s">
        <v>95</v>
      </c>
    </row>
    <row r="149" spans="1:5" hidden="1" x14ac:dyDescent="0.15">
      <c r="A149" s="6" t="s">
        <v>45</v>
      </c>
      <c r="B149" s="7">
        <v>245270</v>
      </c>
      <c r="C149" s="8">
        <v>0.27300000000000002</v>
      </c>
      <c r="D149" s="4" t="s">
        <v>94</v>
      </c>
      <c r="E149" s="4" t="s">
        <v>95</v>
      </c>
    </row>
    <row r="150" spans="1:5" ht="26" hidden="1" x14ac:dyDescent="0.15">
      <c r="A150" s="6" t="s">
        <v>46</v>
      </c>
      <c r="B150" s="7">
        <v>487092</v>
      </c>
      <c r="C150" s="8">
        <v>0.54200000000000004</v>
      </c>
      <c r="D150" s="4" t="s">
        <v>94</v>
      </c>
      <c r="E150" s="4" t="s">
        <v>95</v>
      </c>
    </row>
    <row r="151" spans="1:5" hidden="1" x14ac:dyDescent="0.15">
      <c r="A151" s="6" t="s">
        <v>47</v>
      </c>
      <c r="B151" s="7">
        <v>489089</v>
      </c>
      <c r="C151" s="8">
        <v>0.54400000000000004</v>
      </c>
      <c r="D151" s="4" t="s">
        <v>94</v>
      </c>
      <c r="E151" s="4" t="s">
        <v>95</v>
      </c>
    </row>
    <row r="152" spans="1:5" hidden="1" x14ac:dyDescent="0.15">
      <c r="A152" s="6" t="s">
        <v>48</v>
      </c>
      <c r="B152" s="7">
        <v>54453</v>
      </c>
      <c r="C152" s="8">
        <v>6.0999999999999999E-2</v>
      </c>
      <c r="D152" s="4" t="s">
        <v>94</v>
      </c>
      <c r="E152" s="4" t="s">
        <v>95</v>
      </c>
    </row>
    <row r="153" spans="1:5" hidden="1" x14ac:dyDescent="0.15">
      <c r="A153" s="6" t="s">
        <v>49</v>
      </c>
      <c r="B153" s="7">
        <v>55961</v>
      </c>
      <c r="C153" s="8">
        <v>6.2E-2</v>
      </c>
      <c r="D153" s="4" t="s">
        <v>94</v>
      </c>
      <c r="E153" s="4" t="s">
        <v>95</v>
      </c>
    </row>
    <row r="154" spans="1:5" ht="26" hidden="1" x14ac:dyDescent="0.15">
      <c r="A154" s="6" t="s">
        <v>50</v>
      </c>
      <c r="B154" s="7">
        <v>111003</v>
      </c>
      <c r="C154" s="8">
        <v>0.124</v>
      </c>
      <c r="D154" s="4" t="s">
        <v>94</v>
      </c>
      <c r="E154" s="4" t="s">
        <v>95</v>
      </c>
    </row>
    <row r="155" spans="1:5" hidden="1" x14ac:dyDescent="0.15">
      <c r="A155" s="6" t="s">
        <v>51</v>
      </c>
      <c r="B155" s="7">
        <v>315545</v>
      </c>
      <c r="C155" s="8">
        <v>0.35100000000000003</v>
      </c>
      <c r="D155" s="4" t="s">
        <v>94</v>
      </c>
      <c r="E155" s="4" t="s">
        <v>95</v>
      </c>
    </row>
    <row r="156" spans="1:5" hidden="1" x14ac:dyDescent="0.15">
      <c r="A156" s="6" t="s">
        <v>52</v>
      </c>
      <c r="B156" s="7">
        <v>102936</v>
      </c>
      <c r="C156" s="8">
        <v>0.115</v>
      </c>
      <c r="D156" s="4" t="s">
        <v>94</v>
      </c>
      <c r="E156" s="4" t="s">
        <v>95</v>
      </c>
    </row>
    <row r="157" spans="1:5" ht="26" hidden="1" x14ac:dyDescent="0.15">
      <c r="A157" s="6" t="s">
        <v>53</v>
      </c>
      <c r="B157" s="7">
        <v>69519</v>
      </c>
      <c r="C157" s="8">
        <v>7.6999999999999999E-2</v>
      </c>
      <c r="D157" s="4" t="s">
        <v>94</v>
      </c>
      <c r="E157" s="4" t="s">
        <v>95</v>
      </c>
    </row>
    <row r="158" spans="1:5" hidden="1" x14ac:dyDescent="0.15">
      <c r="A158" s="6" t="s">
        <v>54</v>
      </c>
      <c r="B158" s="7">
        <v>343230</v>
      </c>
      <c r="C158" s="8">
        <v>0.38200000000000001</v>
      </c>
      <c r="D158" s="4" t="s">
        <v>94</v>
      </c>
      <c r="E158" s="4" t="s">
        <v>95</v>
      </c>
    </row>
    <row r="159" spans="1:5" ht="26" hidden="1" x14ac:dyDescent="0.15">
      <c r="A159" s="6" t="s">
        <v>55</v>
      </c>
      <c r="B159" s="7">
        <v>328219</v>
      </c>
      <c r="C159" s="8">
        <v>0.36499999999999999</v>
      </c>
      <c r="D159" s="4" t="s">
        <v>94</v>
      </c>
      <c r="E159" s="4" t="s">
        <v>95</v>
      </c>
    </row>
    <row r="160" spans="1:5" hidden="1" x14ac:dyDescent="0.15">
      <c r="A160" s="6" t="s">
        <v>56</v>
      </c>
      <c r="B160" s="7">
        <v>214643</v>
      </c>
      <c r="C160" s="8">
        <v>0.23899999999999999</v>
      </c>
      <c r="D160" s="4" t="s">
        <v>94</v>
      </c>
      <c r="E160" s="4" t="s">
        <v>95</v>
      </c>
    </row>
    <row r="161" spans="1:5" hidden="1" x14ac:dyDescent="0.15">
      <c r="A161" s="6" t="s">
        <v>57</v>
      </c>
      <c r="B161" s="7">
        <v>143245</v>
      </c>
      <c r="C161" s="8">
        <v>0.159</v>
      </c>
      <c r="D161" s="4" t="s">
        <v>94</v>
      </c>
      <c r="E161" s="4" t="s">
        <v>95</v>
      </c>
    </row>
    <row r="162" spans="1:5" hidden="1" x14ac:dyDescent="0.15">
      <c r="A162" s="6" t="s">
        <v>58</v>
      </c>
      <c r="B162" s="7">
        <v>79854</v>
      </c>
      <c r="C162" s="8">
        <v>8.900000000000001E-2</v>
      </c>
      <c r="D162" s="4" t="s">
        <v>94</v>
      </c>
      <c r="E162" s="4" t="s">
        <v>95</v>
      </c>
    </row>
    <row r="163" spans="1:5" hidden="1" x14ac:dyDescent="0.15">
      <c r="A163" s="6" t="s">
        <v>59</v>
      </c>
      <c r="B163" s="7">
        <v>331966</v>
      </c>
      <c r="C163" s="8">
        <v>0.37</v>
      </c>
      <c r="D163" s="4" t="s">
        <v>94</v>
      </c>
      <c r="E163" s="4" t="s">
        <v>95</v>
      </c>
    </row>
    <row r="164" spans="1:5" hidden="1" x14ac:dyDescent="0.15">
      <c r="A164" s="6" t="s">
        <v>60</v>
      </c>
      <c r="B164" s="7">
        <v>79858</v>
      </c>
      <c r="C164" s="8">
        <v>8.900000000000001E-2</v>
      </c>
      <c r="D164" s="4" t="s">
        <v>94</v>
      </c>
      <c r="E164" s="4" t="s">
        <v>95</v>
      </c>
    </row>
    <row r="165" spans="1:5" ht="26" hidden="1" x14ac:dyDescent="0.15">
      <c r="A165" s="6" t="s">
        <v>61</v>
      </c>
      <c r="B165" s="7">
        <v>121007</v>
      </c>
      <c r="C165" s="8">
        <v>0.13500000000000001</v>
      </c>
      <c r="D165" s="4" t="s">
        <v>94</v>
      </c>
      <c r="E165" s="4" t="s">
        <v>95</v>
      </c>
    </row>
    <row r="166" spans="1:5" hidden="1" x14ac:dyDescent="0.15">
      <c r="A166" s="6" t="s">
        <v>62</v>
      </c>
      <c r="B166" s="7">
        <v>46316</v>
      </c>
      <c r="C166" s="8">
        <v>5.2000000000000005E-2</v>
      </c>
      <c r="D166" s="4" t="s">
        <v>94</v>
      </c>
      <c r="E166" s="4" t="s">
        <v>95</v>
      </c>
    </row>
    <row r="167" spans="1:5" ht="26" hidden="1" x14ac:dyDescent="0.15">
      <c r="A167" s="6" t="s">
        <v>63</v>
      </c>
      <c r="B167" s="7">
        <v>91931</v>
      </c>
      <c r="C167" s="8">
        <v>0.10199999999999999</v>
      </c>
      <c r="D167" s="4" t="s">
        <v>94</v>
      </c>
      <c r="E167" s="4" t="s">
        <v>95</v>
      </c>
    </row>
    <row r="168" spans="1:5" ht="26" hidden="1" x14ac:dyDescent="0.15">
      <c r="A168" s="6" t="s">
        <v>64</v>
      </c>
      <c r="B168" s="7">
        <v>55521</v>
      </c>
      <c r="C168" s="8">
        <v>6.2E-2</v>
      </c>
      <c r="D168" s="4" t="s">
        <v>94</v>
      </c>
      <c r="E168" s="4" t="s">
        <v>95</v>
      </c>
    </row>
    <row r="169" spans="1:5" hidden="1" x14ac:dyDescent="0.15">
      <c r="A169" s="6" t="s">
        <v>65</v>
      </c>
      <c r="B169" s="7">
        <v>121821</v>
      </c>
      <c r="C169" s="8">
        <v>0.13600000000000001</v>
      </c>
      <c r="D169" s="4" t="s">
        <v>94</v>
      </c>
      <c r="E169" s="4" t="s">
        <v>95</v>
      </c>
    </row>
    <row r="170" spans="1:5" hidden="1" x14ac:dyDescent="0.15">
      <c r="A170" s="6" t="s">
        <v>66</v>
      </c>
      <c r="B170" s="7">
        <v>59200</v>
      </c>
      <c r="C170" s="8">
        <v>6.6000000000000003E-2</v>
      </c>
      <c r="D170" s="4" t="s">
        <v>94</v>
      </c>
      <c r="E170" s="4" t="s">
        <v>95</v>
      </c>
    </row>
    <row r="171" spans="1:5" hidden="1" x14ac:dyDescent="0.15">
      <c r="A171" s="6" t="s">
        <v>67</v>
      </c>
      <c r="B171" s="7">
        <v>273325</v>
      </c>
      <c r="C171" s="8">
        <v>0.30399999999999999</v>
      </c>
      <c r="D171" s="4" t="s">
        <v>94</v>
      </c>
      <c r="E171" s="4" t="s">
        <v>95</v>
      </c>
    </row>
    <row r="172" spans="1:5" hidden="1" x14ac:dyDescent="0.15">
      <c r="A172" s="6" t="s">
        <v>68</v>
      </c>
      <c r="B172" s="7">
        <v>305960</v>
      </c>
      <c r="C172" s="8">
        <v>0.34100000000000003</v>
      </c>
      <c r="D172" s="4" t="s">
        <v>94</v>
      </c>
      <c r="E172" s="4" t="s">
        <v>95</v>
      </c>
    </row>
    <row r="173" spans="1:5" hidden="1" x14ac:dyDescent="0.15">
      <c r="A173" s="6" t="s">
        <v>69</v>
      </c>
      <c r="B173" s="7">
        <v>572350</v>
      </c>
      <c r="C173" s="8">
        <v>0.63700000000000001</v>
      </c>
      <c r="D173" s="4" t="s">
        <v>94</v>
      </c>
      <c r="E173" s="4" t="s">
        <v>95</v>
      </c>
    </row>
    <row r="174" spans="1:5" hidden="1" x14ac:dyDescent="0.15">
      <c r="A174" s="6" t="s">
        <v>70</v>
      </c>
      <c r="B174" s="7">
        <v>95474</v>
      </c>
      <c r="C174" s="8">
        <v>0.106</v>
      </c>
      <c r="D174" s="4" t="s">
        <v>94</v>
      </c>
      <c r="E174" s="4" t="s">
        <v>95</v>
      </c>
    </row>
    <row r="175" spans="1:5" ht="26" hidden="1" x14ac:dyDescent="0.15">
      <c r="A175" s="6" t="s">
        <v>71</v>
      </c>
      <c r="B175" s="7">
        <v>32059</v>
      </c>
      <c r="C175" s="8">
        <v>3.6000000000000004E-2</v>
      </c>
      <c r="D175" s="4" t="s">
        <v>94</v>
      </c>
      <c r="E175" s="4" t="s">
        <v>95</v>
      </c>
    </row>
    <row r="176" spans="1:5" hidden="1" x14ac:dyDescent="0.15">
      <c r="A176" s="6" t="s">
        <v>72</v>
      </c>
      <c r="B176" s="7">
        <v>131704</v>
      </c>
      <c r="C176" s="8">
        <v>0.14699999999999999</v>
      </c>
      <c r="D176" s="4" t="s">
        <v>94</v>
      </c>
      <c r="E176" s="4" t="s">
        <v>95</v>
      </c>
    </row>
    <row r="177" spans="1:5" hidden="1" x14ac:dyDescent="0.15">
      <c r="A177" s="6" t="s">
        <v>73</v>
      </c>
      <c r="B177" s="7">
        <v>566577</v>
      </c>
      <c r="C177" s="8">
        <v>0.63100000000000001</v>
      </c>
      <c r="D177" s="4" t="s">
        <v>94</v>
      </c>
      <c r="E177" s="4" t="s">
        <v>95</v>
      </c>
    </row>
    <row r="178" spans="1:5" hidden="1" x14ac:dyDescent="0.15">
      <c r="A178" s="6" t="s">
        <v>74</v>
      </c>
      <c r="B178" s="7">
        <v>206358</v>
      </c>
      <c r="C178" s="8">
        <v>0.23</v>
      </c>
      <c r="D178" s="4" t="s">
        <v>94</v>
      </c>
      <c r="E178" s="4" t="s">
        <v>95</v>
      </c>
    </row>
    <row r="179" spans="1:5" hidden="1" x14ac:dyDescent="0.15">
      <c r="A179" s="6" t="s">
        <v>75</v>
      </c>
      <c r="B179" s="7">
        <v>106701</v>
      </c>
      <c r="C179" s="8">
        <v>0.11900000000000001</v>
      </c>
      <c r="D179" s="4" t="s">
        <v>94</v>
      </c>
      <c r="E179" s="4" t="s">
        <v>95</v>
      </c>
    </row>
    <row r="180" spans="1:5" hidden="1" x14ac:dyDescent="0.15">
      <c r="A180" s="6" t="s">
        <v>76</v>
      </c>
      <c r="B180" s="7">
        <v>211402</v>
      </c>
      <c r="C180" s="8">
        <v>0.23499999999999999</v>
      </c>
      <c r="D180" s="4" t="s">
        <v>94</v>
      </c>
      <c r="E180" s="4" t="s">
        <v>95</v>
      </c>
    </row>
    <row r="181" spans="1:5" hidden="1" x14ac:dyDescent="0.15">
      <c r="A181" s="6" t="s">
        <v>77</v>
      </c>
      <c r="B181" s="7">
        <v>202202</v>
      </c>
      <c r="C181" s="8">
        <v>0.22500000000000001</v>
      </c>
      <c r="D181" s="4" t="s">
        <v>94</v>
      </c>
      <c r="E181" s="4" t="s">
        <v>95</v>
      </c>
    </row>
    <row r="182" spans="1:5" ht="26" hidden="1" x14ac:dyDescent="0.15">
      <c r="A182" s="6" t="s">
        <v>78</v>
      </c>
      <c r="B182" s="7">
        <v>84354</v>
      </c>
      <c r="C182" s="8">
        <v>9.4E-2</v>
      </c>
      <c r="D182" s="4" t="s">
        <v>94</v>
      </c>
      <c r="E182" s="4" t="s">
        <v>95</v>
      </c>
    </row>
    <row r="183" spans="1:5" hidden="1" x14ac:dyDescent="0.15">
      <c r="A183" s="6" t="s">
        <v>79</v>
      </c>
      <c r="B183" s="7">
        <v>68403</v>
      </c>
      <c r="C183" s="8">
        <v>7.5999999999999998E-2</v>
      </c>
      <c r="D183" s="4" t="s">
        <v>94</v>
      </c>
      <c r="E183" s="4" t="s">
        <v>95</v>
      </c>
    </row>
    <row r="184" spans="1:5" hidden="1" x14ac:dyDescent="0.15">
      <c r="A184" s="6" t="s">
        <v>80</v>
      </c>
      <c r="B184" s="7">
        <v>101886</v>
      </c>
      <c r="C184" s="8">
        <v>0.113</v>
      </c>
      <c r="D184" s="4" t="s">
        <v>94</v>
      </c>
      <c r="E184" s="4" t="s">
        <v>95</v>
      </c>
    </row>
    <row r="185" spans="1:5" ht="26" hidden="1" x14ac:dyDescent="0.15">
      <c r="A185" s="6" t="s">
        <v>81</v>
      </c>
      <c r="B185" s="7">
        <v>133154</v>
      </c>
      <c r="C185" s="8">
        <v>0.14800000000000002</v>
      </c>
      <c r="D185" s="4" t="s">
        <v>94</v>
      </c>
      <c r="E185" s="4" t="s">
        <v>95</v>
      </c>
    </row>
    <row r="186" spans="1:5" hidden="1" x14ac:dyDescent="0.15">
      <c r="A186" s="6" t="s">
        <v>82</v>
      </c>
      <c r="B186" s="7">
        <v>72651</v>
      </c>
      <c r="C186" s="8">
        <v>8.1000000000000003E-2</v>
      </c>
      <c r="D186" s="4" t="s">
        <v>94</v>
      </c>
      <c r="E186" s="4" t="s">
        <v>95</v>
      </c>
    </row>
    <row r="187" spans="1:5" hidden="1" x14ac:dyDescent="0.15">
      <c r="A187" s="9"/>
      <c r="B187" s="9"/>
      <c r="C187" s="9"/>
      <c r="D187" s="4" t="s">
        <v>94</v>
      </c>
      <c r="E187" s="4" t="s">
        <v>95</v>
      </c>
    </row>
    <row r="188" spans="1:5" hidden="1" x14ac:dyDescent="0.15">
      <c r="A188" s="10"/>
      <c r="B188" s="10"/>
      <c r="C188" s="10"/>
      <c r="D188" s="4" t="s">
        <v>94</v>
      </c>
      <c r="E188" s="4" t="s">
        <v>95</v>
      </c>
    </row>
    <row r="189" spans="1:5" ht="26" hidden="1" x14ac:dyDescent="0.15">
      <c r="A189" s="6" t="s">
        <v>96</v>
      </c>
      <c r="B189" s="7">
        <v>214654</v>
      </c>
      <c r="C189" s="8">
        <v>0.23899999999999999</v>
      </c>
      <c r="D189" s="4" t="s">
        <v>94</v>
      </c>
      <c r="E189" s="4" t="s">
        <v>95</v>
      </c>
    </row>
    <row r="190" spans="1:5" hidden="1" x14ac:dyDescent="0.15">
      <c r="A190" s="9"/>
      <c r="B190" s="9"/>
      <c r="C190" s="9"/>
      <c r="D190" s="4" t="s">
        <v>94</v>
      </c>
      <c r="E190" s="4" t="s">
        <v>95</v>
      </c>
    </row>
    <row r="191" spans="1:5" hidden="1" x14ac:dyDescent="0.15">
      <c r="A191" s="10"/>
      <c r="B191" s="10"/>
      <c r="C191" s="10"/>
      <c r="D191" s="4" t="s">
        <v>94</v>
      </c>
      <c r="E191" s="4" t="s">
        <v>95</v>
      </c>
    </row>
    <row r="192" spans="1:5" hidden="1" x14ac:dyDescent="0.15">
      <c r="A192" s="6" t="s">
        <v>97</v>
      </c>
      <c r="B192" s="7">
        <v>0</v>
      </c>
      <c r="C192" s="8">
        <v>0</v>
      </c>
      <c r="D192" s="4" t="s">
        <v>94</v>
      </c>
      <c r="E192" s="4" t="s">
        <v>95</v>
      </c>
    </row>
    <row r="193" spans="1:5" hidden="1" x14ac:dyDescent="0.15">
      <c r="A193" s="9"/>
      <c r="B193" s="9"/>
      <c r="C193" s="9"/>
      <c r="D193" s="4" t="s">
        <v>94</v>
      </c>
      <c r="E193" s="4" t="s">
        <v>95</v>
      </c>
    </row>
    <row r="194" spans="1:5" hidden="1" x14ac:dyDescent="0.15">
      <c r="A194" s="10"/>
      <c r="B194" s="10"/>
      <c r="C194" s="10"/>
      <c r="D194" s="4" t="s">
        <v>94</v>
      </c>
      <c r="E194" s="4" t="s">
        <v>95</v>
      </c>
    </row>
    <row r="195" spans="1:5" ht="26" hidden="1" x14ac:dyDescent="0.15">
      <c r="A195" s="6" t="s">
        <v>98</v>
      </c>
      <c r="B195" s="7">
        <v>391420</v>
      </c>
      <c r="C195" s="8">
        <v>0.436</v>
      </c>
      <c r="D195" s="4" t="s">
        <v>94</v>
      </c>
      <c r="E195" s="4" t="s">
        <v>95</v>
      </c>
    </row>
    <row r="196" spans="1:5" hidden="1" x14ac:dyDescent="0.15">
      <c r="A196" s="9"/>
      <c r="B196" s="9"/>
      <c r="C196" s="9"/>
      <c r="D196" s="4" t="s">
        <v>94</v>
      </c>
      <c r="E196" s="4" t="s">
        <v>95</v>
      </c>
    </row>
    <row r="197" spans="1:5" hidden="1" x14ac:dyDescent="0.15">
      <c r="A197" s="10"/>
      <c r="B197" s="10"/>
      <c r="C197" s="10"/>
      <c r="D197" s="4" t="s">
        <v>94</v>
      </c>
      <c r="E197" s="4" t="s">
        <v>95</v>
      </c>
    </row>
    <row r="198" spans="1:5" ht="39" hidden="1" x14ac:dyDescent="0.15">
      <c r="A198" s="6" t="s">
        <v>99</v>
      </c>
      <c r="B198" s="7">
        <v>364721</v>
      </c>
      <c r="C198" s="8">
        <v>0.40600000000000003</v>
      </c>
      <c r="D198" s="4" t="s">
        <v>94</v>
      </c>
      <c r="E198" s="4" t="s">
        <v>95</v>
      </c>
    </row>
    <row r="199" spans="1:5" ht="39" hidden="1" x14ac:dyDescent="0.15">
      <c r="A199" s="6" t="s">
        <v>100</v>
      </c>
      <c r="B199" s="7">
        <v>79949</v>
      </c>
      <c r="C199" s="8">
        <v>8.900000000000001E-2</v>
      </c>
      <c r="D199" s="4" t="s">
        <v>94</v>
      </c>
      <c r="E199" s="4" t="s">
        <v>95</v>
      </c>
    </row>
    <row r="200" spans="1:5" ht="26" hidden="1" x14ac:dyDescent="0.15">
      <c r="A200" s="6" t="s">
        <v>101</v>
      </c>
      <c r="B200" s="7">
        <v>387364</v>
      </c>
      <c r="C200" s="8">
        <v>0.43099999999999999</v>
      </c>
      <c r="D200" s="4" t="s">
        <v>94</v>
      </c>
      <c r="E200" s="4" t="s">
        <v>95</v>
      </c>
    </row>
    <row r="201" spans="1:5" ht="26" hidden="1" x14ac:dyDescent="0.15">
      <c r="A201" s="6" t="s">
        <v>102</v>
      </c>
      <c r="B201" s="7">
        <v>426444</v>
      </c>
      <c r="C201" s="8">
        <v>0.47499999999999998</v>
      </c>
      <c r="D201" s="4" t="s">
        <v>94</v>
      </c>
      <c r="E201" s="4" t="s">
        <v>95</v>
      </c>
    </row>
    <row r="202" spans="1:5" ht="26" hidden="1" x14ac:dyDescent="0.15">
      <c r="A202" s="6" t="s">
        <v>103</v>
      </c>
      <c r="B202" s="7">
        <v>65829</v>
      </c>
      <c r="C202" s="8">
        <v>7.2999999999999995E-2</v>
      </c>
      <c r="D202" s="4" t="s">
        <v>94</v>
      </c>
      <c r="E202" s="4" t="s">
        <v>95</v>
      </c>
    </row>
    <row r="203" spans="1:5" hidden="1" x14ac:dyDescent="0.15">
      <c r="A203" s="6" t="s">
        <v>104</v>
      </c>
      <c r="B203" s="7">
        <v>280309</v>
      </c>
      <c r="C203" s="8">
        <v>0.312</v>
      </c>
      <c r="D203" s="4" t="s">
        <v>94</v>
      </c>
      <c r="E203" s="4" t="s">
        <v>95</v>
      </c>
    </row>
    <row r="204" spans="1:5" hidden="1" x14ac:dyDescent="0.15">
      <c r="A204" s="6" t="s">
        <v>0</v>
      </c>
      <c r="B204" s="7">
        <v>1558241</v>
      </c>
      <c r="C204" s="8">
        <v>1</v>
      </c>
      <c r="D204" s="4" t="s">
        <v>105</v>
      </c>
      <c r="E204" s="4" t="s">
        <v>106</v>
      </c>
    </row>
    <row r="205" spans="1:5" ht="26" hidden="1" x14ac:dyDescent="0.15">
      <c r="A205" s="6" t="s">
        <v>3</v>
      </c>
      <c r="B205" s="7">
        <v>8135</v>
      </c>
      <c r="C205" s="8">
        <v>5.0000000000000001E-3</v>
      </c>
      <c r="D205" s="4" t="s">
        <v>105</v>
      </c>
      <c r="E205" s="4" t="s">
        <v>106</v>
      </c>
    </row>
    <row r="206" spans="1:5" hidden="1" x14ac:dyDescent="0.15">
      <c r="A206" s="6" t="s">
        <v>4</v>
      </c>
      <c r="B206" s="7">
        <v>9240</v>
      </c>
      <c r="C206" s="8">
        <v>6.0000000000000001E-3</v>
      </c>
      <c r="D206" s="4" t="s">
        <v>105</v>
      </c>
      <c r="E206" s="4" t="s">
        <v>106</v>
      </c>
    </row>
    <row r="207" spans="1:5" ht="26" hidden="1" x14ac:dyDescent="0.15">
      <c r="A207" s="6" t="s">
        <v>5</v>
      </c>
      <c r="B207" s="7">
        <v>37715</v>
      </c>
      <c r="C207" s="8">
        <v>2.4E-2</v>
      </c>
      <c r="D207" s="4" t="s">
        <v>105</v>
      </c>
      <c r="E207" s="4" t="s">
        <v>106</v>
      </c>
    </row>
    <row r="208" spans="1:5" ht="26" hidden="1" x14ac:dyDescent="0.15">
      <c r="A208" s="6" t="s">
        <v>6</v>
      </c>
      <c r="B208" s="7">
        <v>114043</v>
      </c>
      <c r="C208" s="8">
        <v>7.2999999999999995E-2</v>
      </c>
      <c r="D208" s="4" t="s">
        <v>105</v>
      </c>
      <c r="E208" s="4" t="s">
        <v>106</v>
      </c>
    </row>
    <row r="209" spans="1:5" ht="26" hidden="1" x14ac:dyDescent="0.15">
      <c r="A209" s="6" t="s">
        <v>7</v>
      </c>
      <c r="B209" s="7">
        <v>256818</v>
      </c>
      <c r="C209" s="8">
        <v>0.16500000000000001</v>
      </c>
      <c r="D209" s="4" t="s">
        <v>105</v>
      </c>
      <c r="E209" s="4" t="s">
        <v>106</v>
      </c>
    </row>
    <row r="210" spans="1:5" ht="26" hidden="1" x14ac:dyDescent="0.15">
      <c r="A210" s="6" t="s">
        <v>8</v>
      </c>
      <c r="B210" s="7">
        <v>9664</v>
      </c>
      <c r="C210" s="8">
        <v>6.0000000000000001E-3</v>
      </c>
      <c r="D210" s="4" t="s">
        <v>105</v>
      </c>
      <c r="E210" s="4" t="s">
        <v>106</v>
      </c>
    </row>
    <row r="211" spans="1:5" ht="26" hidden="1" x14ac:dyDescent="0.15">
      <c r="A211" s="6" t="s">
        <v>9</v>
      </c>
      <c r="B211" s="7">
        <v>59492</v>
      </c>
      <c r="C211" s="8">
        <v>3.7999999999999999E-2</v>
      </c>
      <c r="D211" s="4" t="s">
        <v>105</v>
      </c>
      <c r="E211" s="4" t="s">
        <v>106</v>
      </c>
    </row>
    <row r="212" spans="1:5" ht="26" hidden="1" x14ac:dyDescent="0.15">
      <c r="A212" s="6" t="s">
        <v>10</v>
      </c>
      <c r="B212" s="7">
        <v>19849</v>
      </c>
      <c r="C212" s="8">
        <v>1.3000000000000001E-2</v>
      </c>
      <c r="D212" s="4" t="s">
        <v>105</v>
      </c>
      <c r="E212" s="4" t="s">
        <v>106</v>
      </c>
    </row>
    <row r="213" spans="1:5" ht="26" hidden="1" x14ac:dyDescent="0.15">
      <c r="A213" s="6" t="s">
        <v>11</v>
      </c>
      <c r="B213" s="7">
        <v>126215</v>
      </c>
      <c r="C213" s="8">
        <v>8.1000000000000003E-2</v>
      </c>
      <c r="D213" s="4" t="s">
        <v>105</v>
      </c>
      <c r="E213" s="4" t="s">
        <v>106</v>
      </c>
    </row>
    <row r="214" spans="1:5" hidden="1" x14ac:dyDescent="0.15">
      <c r="A214" s="6" t="s">
        <v>12</v>
      </c>
      <c r="B214" s="7">
        <v>32477</v>
      </c>
      <c r="C214" s="8">
        <v>2.1000000000000001E-2</v>
      </c>
      <c r="D214" s="4" t="s">
        <v>105</v>
      </c>
      <c r="E214" s="4" t="s">
        <v>106</v>
      </c>
    </row>
    <row r="215" spans="1:5" ht="26" hidden="1" x14ac:dyDescent="0.15">
      <c r="A215" s="6" t="s">
        <v>13</v>
      </c>
      <c r="B215" s="7">
        <v>20825</v>
      </c>
      <c r="C215" s="8">
        <v>1.3000000000000001E-2</v>
      </c>
      <c r="D215" s="4" t="s">
        <v>105</v>
      </c>
      <c r="E215" s="4" t="s">
        <v>106</v>
      </c>
    </row>
    <row r="216" spans="1:5" hidden="1" x14ac:dyDescent="0.15">
      <c r="A216" s="6" t="s">
        <v>14</v>
      </c>
      <c r="B216" s="7">
        <v>117344</v>
      </c>
      <c r="C216" s="8">
        <v>7.4999999999999997E-2</v>
      </c>
      <c r="D216" s="4" t="s">
        <v>105</v>
      </c>
      <c r="E216" s="4" t="s">
        <v>106</v>
      </c>
    </row>
    <row r="217" spans="1:5" ht="26" hidden="1" x14ac:dyDescent="0.15">
      <c r="A217" s="6" t="s">
        <v>15</v>
      </c>
      <c r="B217" s="7">
        <v>33785</v>
      </c>
      <c r="C217" s="8">
        <v>2.2000000000000002E-2</v>
      </c>
      <c r="D217" s="4" t="s">
        <v>105</v>
      </c>
      <c r="E217" s="4" t="s">
        <v>106</v>
      </c>
    </row>
    <row r="218" spans="1:5" hidden="1" x14ac:dyDescent="0.15">
      <c r="A218" s="6" t="s">
        <v>16</v>
      </c>
      <c r="B218" s="7">
        <v>52769</v>
      </c>
      <c r="C218" s="8">
        <v>3.4000000000000002E-2</v>
      </c>
      <c r="D218" s="4" t="s">
        <v>105</v>
      </c>
      <c r="E218" s="4" t="s">
        <v>106</v>
      </c>
    </row>
    <row r="219" spans="1:5" ht="26" hidden="1" x14ac:dyDescent="0.15">
      <c r="A219" s="6" t="s">
        <v>17</v>
      </c>
      <c r="B219" s="7">
        <v>44211</v>
      </c>
      <c r="C219" s="8">
        <v>2.7999999999999997E-2</v>
      </c>
      <c r="D219" s="4" t="s">
        <v>105</v>
      </c>
      <c r="E219" s="4" t="s">
        <v>106</v>
      </c>
    </row>
    <row r="220" spans="1:5" hidden="1" x14ac:dyDescent="0.15">
      <c r="A220" s="6" t="s">
        <v>18</v>
      </c>
      <c r="B220" s="7">
        <v>44181</v>
      </c>
      <c r="C220" s="8">
        <v>2.7999999999999997E-2</v>
      </c>
      <c r="D220" s="4" t="s">
        <v>105</v>
      </c>
      <c r="E220" s="4" t="s">
        <v>106</v>
      </c>
    </row>
    <row r="221" spans="1:5" hidden="1" x14ac:dyDescent="0.15">
      <c r="A221" s="6" t="s">
        <v>19</v>
      </c>
      <c r="B221" s="7">
        <v>187754</v>
      </c>
      <c r="C221" s="8">
        <v>0.12</v>
      </c>
      <c r="D221" s="4" t="s">
        <v>105</v>
      </c>
      <c r="E221" s="4" t="s">
        <v>106</v>
      </c>
    </row>
    <row r="222" spans="1:5" hidden="1" x14ac:dyDescent="0.15">
      <c r="A222" s="6" t="s">
        <v>20</v>
      </c>
      <c r="B222" s="7">
        <v>30401</v>
      </c>
      <c r="C222" s="8">
        <v>0.02</v>
      </c>
      <c r="D222" s="4" t="s">
        <v>105</v>
      </c>
      <c r="E222" s="4" t="s">
        <v>106</v>
      </c>
    </row>
    <row r="223" spans="1:5" ht="26" hidden="1" x14ac:dyDescent="0.15">
      <c r="A223" s="6" t="s">
        <v>21</v>
      </c>
      <c r="B223" s="7">
        <v>101500</v>
      </c>
      <c r="C223" s="8">
        <v>6.5000000000000002E-2</v>
      </c>
      <c r="D223" s="4" t="s">
        <v>105</v>
      </c>
      <c r="E223" s="4" t="s">
        <v>106</v>
      </c>
    </row>
    <row r="224" spans="1:5" ht="26" hidden="1" x14ac:dyDescent="0.15">
      <c r="A224" s="6" t="s">
        <v>22</v>
      </c>
      <c r="B224" s="7">
        <v>17248</v>
      </c>
      <c r="C224" s="8">
        <v>1.1000000000000001E-2</v>
      </c>
      <c r="D224" s="4" t="s">
        <v>105</v>
      </c>
      <c r="E224" s="4" t="s">
        <v>106</v>
      </c>
    </row>
    <row r="225" spans="1:5" ht="26" hidden="1" x14ac:dyDescent="0.15">
      <c r="A225" s="6" t="s">
        <v>23</v>
      </c>
      <c r="B225" s="7">
        <v>12234</v>
      </c>
      <c r="C225" s="8">
        <v>8.0000000000000002E-3</v>
      </c>
      <c r="D225" s="4" t="s">
        <v>105</v>
      </c>
      <c r="E225" s="4" t="s">
        <v>106</v>
      </c>
    </row>
    <row r="226" spans="1:5" ht="26" hidden="1" x14ac:dyDescent="0.15">
      <c r="A226" s="6" t="s">
        <v>24</v>
      </c>
      <c r="B226" s="7">
        <v>1378</v>
      </c>
      <c r="C226" s="8">
        <v>1E-3</v>
      </c>
      <c r="D226" s="4" t="s">
        <v>105</v>
      </c>
      <c r="E226" s="4" t="s">
        <v>106</v>
      </c>
    </row>
    <row r="227" spans="1:5" ht="26" hidden="1" x14ac:dyDescent="0.15">
      <c r="A227" s="6" t="s">
        <v>25</v>
      </c>
      <c r="B227" s="7">
        <v>30738</v>
      </c>
      <c r="C227" s="8">
        <v>0.02</v>
      </c>
      <c r="D227" s="4" t="s">
        <v>105</v>
      </c>
      <c r="E227" s="4" t="s">
        <v>106</v>
      </c>
    </row>
    <row r="228" spans="1:5" hidden="1" x14ac:dyDescent="0.15">
      <c r="A228" s="6" t="s">
        <v>26</v>
      </c>
      <c r="B228" s="7">
        <v>12296</v>
      </c>
      <c r="C228" s="8">
        <v>8.0000000000000002E-3</v>
      </c>
      <c r="D228" s="4" t="s">
        <v>105</v>
      </c>
      <c r="E228" s="4" t="s">
        <v>106</v>
      </c>
    </row>
    <row r="229" spans="1:5" hidden="1" x14ac:dyDescent="0.15">
      <c r="A229" s="6" t="s">
        <v>27</v>
      </c>
      <c r="B229" s="7">
        <v>130153</v>
      </c>
      <c r="C229" s="8">
        <v>8.4000000000000005E-2</v>
      </c>
      <c r="D229" s="4" t="s">
        <v>105</v>
      </c>
      <c r="E229" s="4" t="s">
        <v>106</v>
      </c>
    </row>
    <row r="230" spans="1:5" hidden="1" x14ac:dyDescent="0.15">
      <c r="A230" s="6" t="s">
        <v>28</v>
      </c>
      <c r="B230" s="7">
        <v>218148</v>
      </c>
      <c r="C230" s="8">
        <v>0.14000000000000001</v>
      </c>
      <c r="D230" s="4" t="s">
        <v>105</v>
      </c>
      <c r="E230" s="4" t="s">
        <v>106</v>
      </c>
    </row>
    <row r="231" spans="1:5" hidden="1" x14ac:dyDescent="0.15">
      <c r="A231" s="6" t="s">
        <v>29</v>
      </c>
      <c r="B231" s="7">
        <v>466448</v>
      </c>
      <c r="C231" s="8">
        <v>0.29899999999999999</v>
      </c>
      <c r="D231" s="4" t="s">
        <v>105</v>
      </c>
      <c r="E231" s="4" t="s">
        <v>106</v>
      </c>
    </row>
    <row r="232" spans="1:5" hidden="1" x14ac:dyDescent="0.15">
      <c r="A232" s="6" t="s">
        <v>30</v>
      </c>
      <c r="B232" s="7">
        <v>73107</v>
      </c>
      <c r="C232" s="8">
        <v>4.7E-2</v>
      </c>
      <c r="D232" s="4" t="s">
        <v>105</v>
      </c>
      <c r="E232" s="4" t="s">
        <v>106</v>
      </c>
    </row>
    <row r="233" spans="1:5" ht="39" hidden="1" x14ac:dyDescent="0.15">
      <c r="A233" s="6" t="s">
        <v>31</v>
      </c>
      <c r="B233" s="7">
        <v>5397</v>
      </c>
      <c r="C233" s="8">
        <v>3.0000000000000001E-3</v>
      </c>
      <c r="D233" s="4" t="s">
        <v>105</v>
      </c>
      <c r="E233" s="4" t="s">
        <v>106</v>
      </c>
    </row>
    <row r="234" spans="1:5" hidden="1" x14ac:dyDescent="0.15">
      <c r="A234" s="6" t="s">
        <v>32</v>
      </c>
      <c r="B234" s="7">
        <v>42881</v>
      </c>
      <c r="C234" s="8">
        <v>2.7999999999999997E-2</v>
      </c>
      <c r="D234" s="4" t="s">
        <v>105</v>
      </c>
      <c r="E234" s="4" t="s">
        <v>106</v>
      </c>
    </row>
    <row r="235" spans="1:5" hidden="1" x14ac:dyDescent="0.15">
      <c r="A235" s="6" t="s">
        <v>33</v>
      </c>
      <c r="B235" s="7">
        <v>449909</v>
      </c>
      <c r="C235" s="8">
        <v>0.28899999999999998</v>
      </c>
      <c r="D235" s="4" t="s">
        <v>105</v>
      </c>
      <c r="E235" s="4" t="s">
        <v>106</v>
      </c>
    </row>
    <row r="236" spans="1:5" hidden="1" x14ac:dyDescent="0.15">
      <c r="A236" s="6" t="s">
        <v>34</v>
      </c>
      <c r="B236" s="7">
        <v>164903</v>
      </c>
      <c r="C236" s="8">
        <v>0.106</v>
      </c>
      <c r="D236" s="4" t="s">
        <v>105</v>
      </c>
      <c r="E236" s="4" t="s">
        <v>106</v>
      </c>
    </row>
    <row r="237" spans="1:5" hidden="1" x14ac:dyDescent="0.15">
      <c r="A237" s="6" t="s">
        <v>35</v>
      </c>
      <c r="B237" s="7">
        <v>70375</v>
      </c>
      <c r="C237" s="8">
        <v>4.4999999999999998E-2</v>
      </c>
      <c r="D237" s="4" t="s">
        <v>105</v>
      </c>
      <c r="E237" s="4" t="s">
        <v>106</v>
      </c>
    </row>
    <row r="238" spans="1:5" ht="26" hidden="1" x14ac:dyDescent="0.15">
      <c r="A238" s="6" t="s">
        <v>36</v>
      </c>
      <c r="B238" s="7">
        <v>12469</v>
      </c>
      <c r="C238" s="8">
        <v>8.0000000000000002E-3</v>
      </c>
      <c r="D238" s="4" t="s">
        <v>105</v>
      </c>
      <c r="E238" s="4" t="s">
        <v>106</v>
      </c>
    </row>
    <row r="239" spans="1:5" hidden="1" x14ac:dyDescent="0.15">
      <c r="A239" s="6" t="s">
        <v>37</v>
      </c>
      <c r="B239" s="7">
        <v>9780</v>
      </c>
      <c r="C239" s="8">
        <v>6.0000000000000001E-3</v>
      </c>
      <c r="D239" s="4" t="s">
        <v>105</v>
      </c>
      <c r="E239" s="4" t="s">
        <v>106</v>
      </c>
    </row>
    <row r="240" spans="1:5" ht="39" hidden="1" x14ac:dyDescent="0.15">
      <c r="A240" s="6" t="s">
        <v>38</v>
      </c>
      <c r="B240" s="7">
        <v>18865</v>
      </c>
      <c r="C240" s="8">
        <v>1.2E-2</v>
      </c>
      <c r="D240" s="4" t="s">
        <v>105</v>
      </c>
      <c r="E240" s="4" t="s">
        <v>106</v>
      </c>
    </row>
    <row r="241" spans="1:5" hidden="1" x14ac:dyDescent="0.15">
      <c r="A241" s="6" t="s">
        <v>39</v>
      </c>
      <c r="B241" s="7">
        <v>54461</v>
      </c>
      <c r="C241" s="8">
        <v>3.5000000000000003E-2</v>
      </c>
      <c r="D241" s="4" t="s">
        <v>105</v>
      </c>
      <c r="E241" s="4" t="s">
        <v>106</v>
      </c>
    </row>
    <row r="242" spans="1:5" hidden="1" x14ac:dyDescent="0.15">
      <c r="A242" s="6" t="s">
        <v>40</v>
      </c>
      <c r="B242" s="7">
        <v>36215</v>
      </c>
      <c r="C242" s="8">
        <v>2.3E-2</v>
      </c>
      <c r="D242" s="4" t="s">
        <v>105</v>
      </c>
      <c r="E242" s="4" t="s">
        <v>106</v>
      </c>
    </row>
    <row r="243" spans="1:5" hidden="1" x14ac:dyDescent="0.15">
      <c r="A243" s="6" t="s">
        <v>41</v>
      </c>
      <c r="B243" s="7">
        <v>73758</v>
      </c>
      <c r="C243" s="8">
        <v>4.7E-2</v>
      </c>
      <c r="D243" s="4" t="s">
        <v>105</v>
      </c>
      <c r="E243" s="4" t="s">
        <v>106</v>
      </c>
    </row>
    <row r="244" spans="1:5" hidden="1" x14ac:dyDescent="0.15">
      <c r="A244" s="6" t="s">
        <v>42</v>
      </c>
      <c r="B244" s="7">
        <v>38633</v>
      </c>
      <c r="C244" s="8">
        <v>2.5000000000000001E-2</v>
      </c>
      <c r="D244" s="4" t="s">
        <v>105</v>
      </c>
      <c r="E244" s="4" t="s">
        <v>106</v>
      </c>
    </row>
    <row r="245" spans="1:5" hidden="1" x14ac:dyDescent="0.15">
      <c r="A245" s="6" t="s">
        <v>43</v>
      </c>
      <c r="B245" s="7">
        <v>125561</v>
      </c>
      <c r="C245" s="8">
        <v>8.1000000000000003E-2</v>
      </c>
      <c r="D245" s="4" t="s">
        <v>105</v>
      </c>
      <c r="E245" s="4" t="s">
        <v>106</v>
      </c>
    </row>
    <row r="246" spans="1:5" ht="26" hidden="1" x14ac:dyDescent="0.15">
      <c r="A246" s="6" t="s">
        <v>44</v>
      </c>
      <c r="B246" s="7">
        <v>119375</v>
      </c>
      <c r="C246" s="8">
        <v>7.6999999999999999E-2</v>
      </c>
      <c r="D246" s="4" t="s">
        <v>105</v>
      </c>
      <c r="E246" s="4" t="s">
        <v>106</v>
      </c>
    </row>
    <row r="247" spans="1:5" hidden="1" x14ac:dyDescent="0.15">
      <c r="A247" s="6" t="s">
        <v>45</v>
      </c>
      <c r="B247" s="7">
        <v>233841</v>
      </c>
      <c r="C247" s="8">
        <v>0.15</v>
      </c>
      <c r="D247" s="4" t="s">
        <v>105</v>
      </c>
      <c r="E247" s="4" t="s">
        <v>106</v>
      </c>
    </row>
    <row r="248" spans="1:5" ht="26" hidden="1" x14ac:dyDescent="0.15">
      <c r="A248" s="6" t="s">
        <v>46</v>
      </c>
      <c r="B248" s="7">
        <v>397530</v>
      </c>
      <c r="C248" s="8">
        <v>0.255</v>
      </c>
      <c r="D248" s="4" t="s">
        <v>105</v>
      </c>
      <c r="E248" s="4" t="s">
        <v>106</v>
      </c>
    </row>
    <row r="249" spans="1:5" hidden="1" x14ac:dyDescent="0.15">
      <c r="A249" s="6" t="s">
        <v>47</v>
      </c>
      <c r="B249" s="7">
        <v>560961</v>
      </c>
      <c r="C249" s="8">
        <v>0.36</v>
      </c>
      <c r="D249" s="4" t="s">
        <v>105</v>
      </c>
      <c r="E249" s="4" t="s">
        <v>106</v>
      </c>
    </row>
    <row r="250" spans="1:5" hidden="1" x14ac:dyDescent="0.15">
      <c r="A250" s="6" t="s">
        <v>48</v>
      </c>
      <c r="B250" s="7">
        <v>73886</v>
      </c>
      <c r="C250" s="8">
        <v>4.7E-2</v>
      </c>
      <c r="D250" s="4" t="s">
        <v>105</v>
      </c>
      <c r="E250" s="4" t="s">
        <v>106</v>
      </c>
    </row>
    <row r="251" spans="1:5" hidden="1" x14ac:dyDescent="0.15">
      <c r="A251" s="6" t="s">
        <v>49</v>
      </c>
      <c r="B251" s="7">
        <v>172244</v>
      </c>
      <c r="C251" s="8">
        <v>0.111</v>
      </c>
      <c r="D251" s="4" t="s">
        <v>105</v>
      </c>
      <c r="E251" s="4" t="s">
        <v>106</v>
      </c>
    </row>
    <row r="252" spans="1:5" ht="26" hidden="1" x14ac:dyDescent="0.15">
      <c r="A252" s="6" t="s">
        <v>50</v>
      </c>
      <c r="B252" s="7">
        <v>217090</v>
      </c>
      <c r="C252" s="8">
        <v>0.13900000000000001</v>
      </c>
      <c r="D252" s="4" t="s">
        <v>105</v>
      </c>
      <c r="E252" s="4" t="s">
        <v>106</v>
      </c>
    </row>
    <row r="253" spans="1:5" hidden="1" x14ac:dyDescent="0.15">
      <c r="A253" s="6" t="s">
        <v>51</v>
      </c>
      <c r="B253" s="7">
        <v>555486</v>
      </c>
      <c r="C253" s="8">
        <v>0.35600000000000004</v>
      </c>
      <c r="D253" s="4" t="s">
        <v>105</v>
      </c>
      <c r="E253" s="4" t="s">
        <v>106</v>
      </c>
    </row>
    <row r="254" spans="1:5" hidden="1" x14ac:dyDescent="0.15">
      <c r="A254" s="6" t="s">
        <v>52</v>
      </c>
      <c r="B254" s="7">
        <v>171632</v>
      </c>
      <c r="C254" s="8">
        <v>0.11</v>
      </c>
      <c r="D254" s="4" t="s">
        <v>105</v>
      </c>
      <c r="E254" s="4" t="s">
        <v>106</v>
      </c>
    </row>
    <row r="255" spans="1:5" ht="26" hidden="1" x14ac:dyDescent="0.15">
      <c r="A255" s="6" t="s">
        <v>53</v>
      </c>
      <c r="B255" s="7">
        <v>136258</v>
      </c>
      <c r="C255" s="8">
        <v>8.6999999999999994E-2</v>
      </c>
      <c r="D255" s="4" t="s">
        <v>105</v>
      </c>
      <c r="E255" s="4" t="s">
        <v>106</v>
      </c>
    </row>
    <row r="256" spans="1:5" hidden="1" x14ac:dyDescent="0.15">
      <c r="A256" s="6" t="s">
        <v>54</v>
      </c>
      <c r="B256" s="7">
        <v>559586</v>
      </c>
      <c r="C256" s="8">
        <v>0.35899999999999999</v>
      </c>
      <c r="D256" s="4" t="s">
        <v>105</v>
      </c>
      <c r="E256" s="4" t="s">
        <v>106</v>
      </c>
    </row>
    <row r="257" spans="1:5" ht="26" hidden="1" x14ac:dyDescent="0.15">
      <c r="A257" s="6" t="s">
        <v>55</v>
      </c>
      <c r="B257" s="7">
        <v>225931</v>
      </c>
      <c r="C257" s="8">
        <v>0.14499999999999999</v>
      </c>
      <c r="D257" s="4" t="s">
        <v>105</v>
      </c>
      <c r="E257" s="4" t="s">
        <v>106</v>
      </c>
    </row>
    <row r="258" spans="1:5" hidden="1" x14ac:dyDescent="0.15">
      <c r="A258" s="6" t="s">
        <v>56</v>
      </c>
      <c r="B258" s="7">
        <v>377644</v>
      </c>
      <c r="C258" s="8">
        <v>0.24199999999999999</v>
      </c>
      <c r="D258" s="4" t="s">
        <v>105</v>
      </c>
      <c r="E258" s="4" t="s">
        <v>106</v>
      </c>
    </row>
    <row r="259" spans="1:5" hidden="1" x14ac:dyDescent="0.15">
      <c r="A259" s="6" t="s">
        <v>57</v>
      </c>
      <c r="B259" s="7">
        <v>204679</v>
      </c>
      <c r="C259" s="8">
        <v>0.13100000000000001</v>
      </c>
      <c r="D259" s="4" t="s">
        <v>105</v>
      </c>
      <c r="E259" s="4" t="s">
        <v>106</v>
      </c>
    </row>
    <row r="260" spans="1:5" hidden="1" x14ac:dyDescent="0.15">
      <c r="A260" s="6" t="s">
        <v>58</v>
      </c>
      <c r="B260" s="7">
        <v>218839</v>
      </c>
      <c r="C260" s="8">
        <v>0.14000000000000001</v>
      </c>
      <c r="D260" s="4" t="s">
        <v>105</v>
      </c>
      <c r="E260" s="4" t="s">
        <v>106</v>
      </c>
    </row>
    <row r="261" spans="1:5" hidden="1" x14ac:dyDescent="0.15">
      <c r="A261" s="6" t="s">
        <v>59</v>
      </c>
      <c r="B261" s="7">
        <v>685316</v>
      </c>
      <c r="C261" s="8">
        <v>0.44</v>
      </c>
      <c r="D261" s="4" t="s">
        <v>105</v>
      </c>
      <c r="E261" s="4" t="s">
        <v>106</v>
      </c>
    </row>
    <row r="262" spans="1:5" hidden="1" x14ac:dyDescent="0.15">
      <c r="A262" s="6" t="s">
        <v>60</v>
      </c>
      <c r="B262" s="7">
        <v>198867</v>
      </c>
      <c r="C262" s="8">
        <v>0.128</v>
      </c>
      <c r="D262" s="4" t="s">
        <v>105</v>
      </c>
      <c r="E262" s="4" t="s">
        <v>106</v>
      </c>
    </row>
    <row r="263" spans="1:5" ht="26" hidden="1" x14ac:dyDescent="0.15">
      <c r="A263" s="6" t="s">
        <v>61</v>
      </c>
      <c r="B263" s="7">
        <v>387095</v>
      </c>
      <c r="C263" s="8">
        <v>0.248</v>
      </c>
      <c r="D263" s="4" t="s">
        <v>105</v>
      </c>
      <c r="E263" s="4" t="s">
        <v>106</v>
      </c>
    </row>
    <row r="264" spans="1:5" hidden="1" x14ac:dyDescent="0.15">
      <c r="A264" s="6" t="s">
        <v>62</v>
      </c>
      <c r="B264" s="7">
        <v>95762</v>
      </c>
      <c r="C264" s="8">
        <v>6.0999999999999999E-2</v>
      </c>
      <c r="D264" s="4" t="s">
        <v>105</v>
      </c>
      <c r="E264" s="4" t="s">
        <v>106</v>
      </c>
    </row>
    <row r="265" spans="1:5" ht="26" hidden="1" x14ac:dyDescent="0.15">
      <c r="A265" s="6" t="s">
        <v>63</v>
      </c>
      <c r="B265" s="7">
        <v>170974</v>
      </c>
      <c r="C265" s="8">
        <v>0.11</v>
      </c>
      <c r="D265" s="4" t="s">
        <v>105</v>
      </c>
      <c r="E265" s="4" t="s">
        <v>106</v>
      </c>
    </row>
    <row r="266" spans="1:5" ht="26" hidden="1" x14ac:dyDescent="0.15">
      <c r="A266" s="6" t="s">
        <v>64</v>
      </c>
      <c r="B266" s="7">
        <v>64390</v>
      </c>
      <c r="C266" s="8">
        <v>4.0999999999999995E-2</v>
      </c>
      <c r="D266" s="4" t="s">
        <v>105</v>
      </c>
      <c r="E266" s="4" t="s">
        <v>106</v>
      </c>
    </row>
    <row r="267" spans="1:5" hidden="1" x14ac:dyDescent="0.15">
      <c r="A267" s="6" t="s">
        <v>65</v>
      </c>
      <c r="B267" s="7">
        <v>188918</v>
      </c>
      <c r="C267" s="8">
        <v>0.121</v>
      </c>
      <c r="D267" s="4" t="s">
        <v>105</v>
      </c>
      <c r="E267" s="4" t="s">
        <v>106</v>
      </c>
    </row>
    <row r="268" spans="1:5" hidden="1" x14ac:dyDescent="0.15">
      <c r="A268" s="6" t="s">
        <v>66</v>
      </c>
      <c r="B268" s="7">
        <v>114165</v>
      </c>
      <c r="C268" s="8">
        <v>7.2999999999999995E-2</v>
      </c>
      <c r="D268" s="4" t="s">
        <v>105</v>
      </c>
      <c r="E268" s="4" t="s">
        <v>106</v>
      </c>
    </row>
    <row r="269" spans="1:5" hidden="1" x14ac:dyDescent="0.15">
      <c r="A269" s="6" t="s">
        <v>67</v>
      </c>
      <c r="B269" s="7">
        <v>361171</v>
      </c>
      <c r="C269" s="8">
        <v>0.23199999999999998</v>
      </c>
      <c r="D269" s="4" t="s">
        <v>105</v>
      </c>
      <c r="E269" s="4" t="s">
        <v>106</v>
      </c>
    </row>
    <row r="270" spans="1:5" hidden="1" x14ac:dyDescent="0.15">
      <c r="A270" s="6" t="s">
        <v>68</v>
      </c>
      <c r="B270" s="7">
        <v>603307</v>
      </c>
      <c r="C270" s="8">
        <v>0.38700000000000001</v>
      </c>
      <c r="D270" s="4" t="s">
        <v>105</v>
      </c>
      <c r="E270" s="4" t="s">
        <v>106</v>
      </c>
    </row>
    <row r="271" spans="1:5" hidden="1" x14ac:dyDescent="0.15">
      <c r="A271" s="6" t="s">
        <v>69</v>
      </c>
      <c r="B271" s="7">
        <v>932953</v>
      </c>
      <c r="C271" s="8">
        <v>0.59899999999999998</v>
      </c>
      <c r="D271" s="4" t="s">
        <v>105</v>
      </c>
      <c r="E271" s="4" t="s">
        <v>106</v>
      </c>
    </row>
    <row r="272" spans="1:5" hidden="1" x14ac:dyDescent="0.15">
      <c r="A272" s="6" t="s">
        <v>70</v>
      </c>
      <c r="B272" s="7">
        <v>343596</v>
      </c>
      <c r="C272" s="8">
        <v>0.221</v>
      </c>
      <c r="D272" s="4" t="s">
        <v>105</v>
      </c>
      <c r="E272" s="4" t="s">
        <v>106</v>
      </c>
    </row>
    <row r="273" spans="1:5" ht="26" hidden="1" x14ac:dyDescent="0.15">
      <c r="A273" s="6" t="s">
        <v>71</v>
      </c>
      <c r="B273" s="7">
        <v>85729</v>
      </c>
      <c r="C273" s="8">
        <v>5.5E-2</v>
      </c>
      <c r="D273" s="4" t="s">
        <v>105</v>
      </c>
      <c r="E273" s="4" t="s">
        <v>106</v>
      </c>
    </row>
    <row r="274" spans="1:5" hidden="1" x14ac:dyDescent="0.15">
      <c r="A274" s="6" t="s">
        <v>72</v>
      </c>
      <c r="B274" s="7">
        <v>159294</v>
      </c>
      <c r="C274" s="8">
        <v>0.10199999999999999</v>
      </c>
      <c r="D274" s="4" t="s">
        <v>105</v>
      </c>
      <c r="E274" s="4" t="s">
        <v>106</v>
      </c>
    </row>
    <row r="275" spans="1:5" hidden="1" x14ac:dyDescent="0.15">
      <c r="A275" s="6" t="s">
        <v>73</v>
      </c>
      <c r="B275" s="7">
        <v>938967</v>
      </c>
      <c r="C275" s="8">
        <v>0.60299999999999998</v>
      </c>
      <c r="D275" s="4" t="s">
        <v>105</v>
      </c>
      <c r="E275" s="4" t="s">
        <v>106</v>
      </c>
    </row>
    <row r="276" spans="1:5" hidden="1" x14ac:dyDescent="0.15">
      <c r="A276" s="6" t="s">
        <v>74</v>
      </c>
      <c r="B276" s="7">
        <v>522629</v>
      </c>
      <c r="C276" s="8">
        <v>0.33500000000000002</v>
      </c>
      <c r="D276" s="4" t="s">
        <v>105</v>
      </c>
      <c r="E276" s="4" t="s">
        <v>106</v>
      </c>
    </row>
    <row r="277" spans="1:5" hidden="1" x14ac:dyDescent="0.15">
      <c r="A277" s="6" t="s">
        <v>75</v>
      </c>
      <c r="B277" s="7">
        <v>296098</v>
      </c>
      <c r="C277" s="8">
        <v>0.19</v>
      </c>
      <c r="D277" s="4" t="s">
        <v>105</v>
      </c>
      <c r="E277" s="4" t="s">
        <v>106</v>
      </c>
    </row>
    <row r="278" spans="1:5" hidden="1" x14ac:dyDescent="0.15">
      <c r="A278" s="6" t="s">
        <v>76</v>
      </c>
      <c r="B278" s="7">
        <v>142105</v>
      </c>
      <c r="C278" s="8">
        <v>9.0999999999999998E-2</v>
      </c>
      <c r="D278" s="4" t="s">
        <v>105</v>
      </c>
      <c r="E278" s="4" t="s">
        <v>106</v>
      </c>
    </row>
    <row r="279" spans="1:5" hidden="1" x14ac:dyDescent="0.15">
      <c r="A279" s="6" t="s">
        <v>77</v>
      </c>
      <c r="B279" s="7">
        <v>116328</v>
      </c>
      <c r="C279" s="8">
        <v>7.4999999999999997E-2</v>
      </c>
      <c r="D279" s="4" t="s">
        <v>105</v>
      </c>
      <c r="E279" s="4" t="s">
        <v>106</v>
      </c>
    </row>
    <row r="280" spans="1:5" ht="26" hidden="1" x14ac:dyDescent="0.15">
      <c r="A280" s="6" t="s">
        <v>78</v>
      </c>
      <c r="B280" s="7">
        <v>149557</v>
      </c>
      <c r="C280" s="8">
        <v>9.6000000000000002E-2</v>
      </c>
      <c r="D280" s="4" t="s">
        <v>105</v>
      </c>
      <c r="E280" s="4" t="s">
        <v>106</v>
      </c>
    </row>
    <row r="281" spans="1:5" hidden="1" x14ac:dyDescent="0.15">
      <c r="A281" s="6" t="s">
        <v>79</v>
      </c>
      <c r="B281" s="7">
        <v>212460</v>
      </c>
      <c r="C281" s="8">
        <v>0.13600000000000001</v>
      </c>
      <c r="D281" s="4" t="s">
        <v>105</v>
      </c>
      <c r="E281" s="4" t="s">
        <v>106</v>
      </c>
    </row>
    <row r="282" spans="1:5" hidden="1" x14ac:dyDescent="0.15">
      <c r="A282" s="6" t="s">
        <v>80</v>
      </c>
      <c r="B282" s="7">
        <v>180959</v>
      </c>
      <c r="C282" s="8">
        <v>0.11599999999999999</v>
      </c>
      <c r="D282" s="4" t="s">
        <v>105</v>
      </c>
      <c r="E282" s="4" t="s">
        <v>106</v>
      </c>
    </row>
    <row r="283" spans="1:5" ht="26" hidden="1" x14ac:dyDescent="0.15">
      <c r="A283" s="6" t="s">
        <v>81</v>
      </c>
      <c r="B283" s="7">
        <v>369412</v>
      </c>
      <c r="C283" s="8">
        <v>0.23699999999999999</v>
      </c>
      <c r="D283" s="4" t="s">
        <v>105</v>
      </c>
      <c r="E283" s="4" t="s">
        <v>106</v>
      </c>
    </row>
    <row r="284" spans="1:5" hidden="1" x14ac:dyDescent="0.15">
      <c r="A284" s="6" t="s">
        <v>82</v>
      </c>
      <c r="B284" s="7">
        <v>137661</v>
      </c>
      <c r="C284" s="8">
        <v>8.8000000000000009E-2</v>
      </c>
      <c r="D284" s="4" t="s">
        <v>105</v>
      </c>
      <c r="E284" s="4" t="s">
        <v>106</v>
      </c>
    </row>
    <row r="285" spans="1:5" hidden="1" x14ac:dyDescent="0.15">
      <c r="A285" s="9"/>
      <c r="B285" s="9"/>
      <c r="C285" s="9"/>
      <c r="D285" s="4" t="s">
        <v>105</v>
      </c>
      <c r="E285" s="4" t="s">
        <v>106</v>
      </c>
    </row>
    <row r="286" spans="1:5" hidden="1" x14ac:dyDescent="0.15">
      <c r="A286" s="10"/>
      <c r="B286" s="10"/>
      <c r="C286" s="10"/>
      <c r="D286" s="4" t="s">
        <v>105</v>
      </c>
      <c r="E286" s="4" t="s">
        <v>106</v>
      </c>
    </row>
    <row r="287" spans="1:5" hidden="1" x14ac:dyDescent="0.15">
      <c r="A287" s="6" t="s">
        <v>107</v>
      </c>
      <c r="B287" s="7">
        <v>343963</v>
      </c>
      <c r="C287" s="8">
        <v>0.221</v>
      </c>
      <c r="D287" s="4" t="s">
        <v>105</v>
      </c>
      <c r="E287" s="4" t="s">
        <v>106</v>
      </c>
    </row>
    <row r="288" spans="1:5" hidden="1" x14ac:dyDescent="0.15">
      <c r="A288" s="6" t="s">
        <v>108</v>
      </c>
      <c r="B288" s="7">
        <v>130470</v>
      </c>
      <c r="C288" s="8">
        <v>8.4000000000000005E-2</v>
      </c>
      <c r="D288" s="4" t="s">
        <v>105</v>
      </c>
      <c r="E288" s="4" t="s">
        <v>106</v>
      </c>
    </row>
    <row r="289" spans="1:5" hidden="1" x14ac:dyDescent="0.15">
      <c r="A289" s="9"/>
      <c r="B289" s="9"/>
      <c r="C289" s="9"/>
      <c r="D289" s="4" t="s">
        <v>105</v>
      </c>
      <c r="E289" s="4" t="s">
        <v>106</v>
      </c>
    </row>
    <row r="290" spans="1:5" hidden="1" x14ac:dyDescent="0.15">
      <c r="A290" s="10"/>
      <c r="B290" s="10"/>
      <c r="C290" s="10"/>
      <c r="D290" s="4" t="s">
        <v>105</v>
      </c>
      <c r="E290" s="4" t="s">
        <v>106</v>
      </c>
    </row>
    <row r="291" spans="1:5" hidden="1" x14ac:dyDescent="0.15">
      <c r="A291" s="6" t="s">
        <v>109</v>
      </c>
      <c r="B291" s="7">
        <v>489266</v>
      </c>
      <c r="C291" s="8">
        <v>0.314</v>
      </c>
      <c r="D291" s="4" t="s">
        <v>105</v>
      </c>
      <c r="E291" s="4" t="s">
        <v>106</v>
      </c>
    </row>
    <row r="292" spans="1:5" hidden="1" x14ac:dyDescent="0.15">
      <c r="A292" s="6" t="s">
        <v>110</v>
      </c>
      <c r="B292" s="7">
        <v>130481</v>
      </c>
      <c r="C292" s="8">
        <v>8.4000000000000005E-2</v>
      </c>
      <c r="D292" s="4" t="s">
        <v>105</v>
      </c>
      <c r="E292" s="4" t="s">
        <v>106</v>
      </c>
    </row>
    <row r="293" spans="1:5" hidden="1" x14ac:dyDescent="0.15">
      <c r="A293" s="9"/>
      <c r="B293" s="9"/>
      <c r="C293" s="9"/>
      <c r="D293" s="4" t="s">
        <v>105</v>
      </c>
      <c r="E293" s="4" t="s">
        <v>106</v>
      </c>
    </row>
    <row r="294" spans="1:5" hidden="1" x14ac:dyDescent="0.15">
      <c r="A294" s="10"/>
      <c r="B294" s="10"/>
      <c r="C294" s="10"/>
      <c r="D294" s="4" t="s">
        <v>105</v>
      </c>
      <c r="E294" s="4" t="s">
        <v>106</v>
      </c>
    </row>
    <row r="295" spans="1:5" ht="26" hidden="1" x14ac:dyDescent="0.15">
      <c r="A295" s="6" t="s">
        <v>111</v>
      </c>
      <c r="B295" s="7">
        <v>0</v>
      </c>
      <c r="C295" s="8">
        <v>0</v>
      </c>
      <c r="D295" s="4" t="s">
        <v>105</v>
      </c>
      <c r="E295" s="4" t="s">
        <v>106</v>
      </c>
    </row>
    <row r="296" spans="1:5" hidden="1" x14ac:dyDescent="0.15">
      <c r="A296" s="6" t="s">
        <v>112</v>
      </c>
      <c r="B296" s="7">
        <v>621490</v>
      </c>
      <c r="C296" s="8">
        <v>0.39899999999999997</v>
      </c>
      <c r="D296" s="4" t="s">
        <v>105</v>
      </c>
      <c r="E296" s="4" t="s">
        <v>106</v>
      </c>
    </row>
    <row r="297" spans="1:5" ht="26" hidden="1" x14ac:dyDescent="0.15">
      <c r="A297" s="6" t="s">
        <v>113</v>
      </c>
      <c r="B297" s="7">
        <v>193438</v>
      </c>
      <c r="C297" s="8">
        <v>0.124</v>
      </c>
      <c r="D297" s="4" t="s">
        <v>105</v>
      </c>
      <c r="E297" s="4" t="s">
        <v>106</v>
      </c>
    </row>
    <row r="298" spans="1:5" hidden="1" x14ac:dyDescent="0.15">
      <c r="A298" s="9"/>
      <c r="B298" s="9"/>
      <c r="C298" s="9"/>
      <c r="D298" s="4" t="s">
        <v>105</v>
      </c>
      <c r="E298" s="4" t="s">
        <v>106</v>
      </c>
    </row>
    <row r="299" spans="1:5" hidden="1" x14ac:dyDescent="0.15">
      <c r="A299" s="10"/>
      <c r="B299" s="10"/>
      <c r="C299" s="10"/>
      <c r="D299" s="4" t="s">
        <v>105</v>
      </c>
      <c r="E299" s="4" t="s">
        <v>106</v>
      </c>
    </row>
    <row r="300" spans="1:5" hidden="1" x14ac:dyDescent="0.15">
      <c r="A300" s="6" t="s">
        <v>114</v>
      </c>
      <c r="B300" s="7">
        <v>162822</v>
      </c>
      <c r="C300" s="8">
        <v>0.10400000000000001</v>
      </c>
      <c r="D300" s="4" t="s">
        <v>105</v>
      </c>
      <c r="E300" s="4" t="s">
        <v>106</v>
      </c>
    </row>
    <row r="301" spans="1:5" hidden="1" x14ac:dyDescent="0.15">
      <c r="A301" s="9"/>
      <c r="B301" s="9"/>
      <c r="C301" s="9"/>
      <c r="D301" s="4" t="s">
        <v>105</v>
      </c>
      <c r="E301" s="4" t="s">
        <v>106</v>
      </c>
    </row>
    <row r="302" spans="1:5" hidden="1" x14ac:dyDescent="0.15">
      <c r="A302" s="10"/>
      <c r="B302" s="10"/>
      <c r="C302" s="10"/>
      <c r="D302" s="4" t="s">
        <v>105</v>
      </c>
      <c r="E302" s="4" t="s">
        <v>106</v>
      </c>
    </row>
    <row r="303" spans="1:5" ht="39" hidden="1" x14ac:dyDescent="0.15">
      <c r="A303" s="6" t="s">
        <v>115</v>
      </c>
      <c r="B303" s="7">
        <v>0</v>
      </c>
      <c r="C303" s="8">
        <v>0</v>
      </c>
      <c r="D303" s="4" t="s">
        <v>105</v>
      </c>
      <c r="E303" s="4" t="s">
        <v>106</v>
      </c>
    </row>
    <row r="304" spans="1:5" ht="26" hidden="1" x14ac:dyDescent="0.15">
      <c r="A304" s="6" t="s">
        <v>116</v>
      </c>
      <c r="B304" s="7">
        <v>0</v>
      </c>
      <c r="C304" s="8">
        <v>0</v>
      </c>
      <c r="D304" s="4" t="s">
        <v>105</v>
      </c>
      <c r="E304" s="4" t="s">
        <v>106</v>
      </c>
    </row>
    <row r="305" spans="1:5" ht="26" hidden="1" x14ac:dyDescent="0.15">
      <c r="A305" s="6" t="s">
        <v>117</v>
      </c>
      <c r="B305" s="7">
        <v>192906</v>
      </c>
      <c r="C305" s="8">
        <v>0.124</v>
      </c>
      <c r="D305" s="4" t="s">
        <v>105</v>
      </c>
      <c r="E305" s="4" t="s">
        <v>106</v>
      </c>
    </row>
    <row r="306" spans="1:5" hidden="1" x14ac:dyDescent="0.15">
      <c r="A306" s="6" t="s">
        <v>118</v>
      </c>
      <c r="B306" s="7">
        <v>307063</v>
      </c>
      <c r="C306" s="8">
        <v>0.19699999999999998</v>
      </c>
      <c r="D306" s="4" t="s">
        <v>105</v>
      </c>
      <c r="E306" s="4" t="s">
        <v>106</v>
      </c>
    </row>
    <row r="307" spans="1:5" ht="39" hidden="1" x14ac:dyDescent="0.15">
      <c r="A307" s="6" t="s">
        <v>119</v>
      </c>
      <c r="B307" s="7">
        <v>0</v>
      </c>
      <c r="C307" s="8">
        <v>0</v>
      </c>
      <c r="D307" s="4" t="s">
        <v>105</v>
      </c>
      <c r="E307" s="4" t="s">
        <v>106</v>
      </c>
    </row>
    <row r="308" spans="1:5" ht="26" hidden="1" x14ac:dyDescent="0.15">
      <c r="A308" s="6" t="s">
        <v>120</v>
      </c>
      <c r="B308" s="7">
        <v>192906</v>
      </c>
      <c r="C308" s="8">
        <v>0.124</v>
      </c>
      <c r="D308" s="4" t="s">
        <v>105</v>
      </c>
      <c r="E308" s="4" t="s">
        <v>106</v>
      </c>
    </row>
    <row r="309" spans="1:5" ht="26" hidden="1" x14ac:dyDescent="0.15">
      <c r="A309" s="6" t="s">
        <v>121</v>
      </c>
      <c r="B309" s="7">
        <v>192906</v>
      </c>
      <c r="C309" s="8">
        <v>0.124</v>
      </c>
      <c r="D309" s="4" t="s">
        <v>105</v>
      </c>
      <c r="E309" s="4" t="s">
        <v>106</v>
      </c>
    </row>
    <row r="310" spans="1:5" ht="26" hidden="1" x14ac:dyDescent="0.15">
      <c r="A310" s="6" t="s">
        <v>122</v>
      </c>
      <c r="B310" s="7">
        <v>307063</v>
      </c>
      <c r="C310" s="8">
        <v>0.19699999999999998</v>
      </c>
      <c r="D310" s="4" t="s">
        <v>105</v>
      </c>
      <c r="E310" s="4" t="s">
        <v>106</v>
      </c>
    </row>
    <row r="311" spans="1:5" ht="26" hidden="1" x14ac:dyDescent="0.15">
      <c r="A311" s="6" t="s">
        <v>123</v>
      </c>
      <c r="B311" s="7">
        <v>307063</v>
      </c>
      <c r="C311" s="8">
        <v>0.19699999999999998</v>
      </c>
      <c r="D311" s="4" t="s">
        <v>105</v>
      </c>
      <c r="E311" s="4" t="s">
        <v>106</v>
      </c>
    </row>
    <row r="312" spans="1:5" ht="26" hidden="1" x14ac:dyDescent="0.15">
      <c r="A312" s="6" t="s">
        <v>124</v>
      </c>
      <c r="B312" s="7">
        <v>0</v>
      </c>
      <c r="C312" s="8">
        <v>0</v>
      </c>
      <c r="D312" s="4" t="s">
        <v>105</v>
      </c>
      <c r="E312" s="4" t="s">
        <v>106</v>
      </c>
    </row>
    <row r="313" spans="1:5" ht="39" hidden="1" x14ac:dyDescent="0.15">
      <c r="A313" s="6" t="s">
        <v>125</v>
      </c>
      <c r="B313" s="7">
        <v>0</v>
      </c>
      <c r="C313" s="8">
        <v>0</v>
      </c>
      <c r="D313" s="4" t="s">
        <v>105</v>
      </c>
      <c r="E313" s="4" t="s">
        <v>106</v>
      </c>
    </row>
    <row r="314" spans="1:5" ht="39" hidden="1" x14ac:dyDescent="0.15">
      <c r="A314" s="6" t="s">
        <v>126</v>
      </c>
      <c r="B314" s="7">
        <v>0</v>
      </c>
      <c r="C314" s="8">
        <v>0</v>
      </c>
      <c r="D314" s="4" t="s">
        <v>105</v>
      </c>
      <c r="E314" s="4" t="s">
        <v>106</v>
      </c>
    </row>
    <row r="315" spans="1:5" ht="39" hidden="1" x14ac:dyDescent="0.15">
      <c r="A315" s="6" t="s">
        <v>127</v>
      </c>
      <c r="B315" s="7">
        <v>237472</v>
      </c>
      <c r="C315" s="8">
        <v>0.152</v>
      </c>
      <c r="D315" s="4" t="s">
        <v>105</v>
      </c>
      <c r="E315" s="4" t="s">
        <v>106</v>
      </c>
    </row>
    <row r="316" spans="1:5" ht="39" hidden="1" x14ac:dyDescent="0.15">
      <c r="A316" s="6" t="s">
        <v>128</v>
      </c>
      <c r="B316" s="7">
        <v>3700</v>
      </c>
      <c r="C316" s="8">
        <v>2E-3</v>
      </c>
      <c r="D316" s="4" t="s">
        <v>105</v>
      </c>
      <c r="E316" s="4" t="s">
        <v>106</v>
      </c>
    </row>
    <row r="317" spans="1:5" ht="26" hidden="1" x14ac:dyDescent="0.15">
      <c r="A317" s="6" t="s">
        <v>129</v>
      </c>
      <c r="B317" s="7">
        <v>145354</v>
      </c>
      <c r="C317" s="8">
        <v>9.3000000000000013E-2</v>
      </c>
      <c r="D317" s="4" t="s">
        <v>105</v>
      </c>
      <c r="E317" s="4" t="s">
        <v>106</v>
      </c>
    </row>
    <row r="318" spans="1:5" ht="26" hidden="1" x14ac:dyDescent="0.15">
      <c r="A318" s="6" t="s">
        <v>130</v>
      </c>
      <c r="B318" s="7">
        <v>145117</v>
      </c>
      <c r="C318" s="8">
        <v>9.3000000000000013E-2</v>
      </c>
      <c r="D318" s="4" t="s">
        <v>105</v>
      </c>
      <c r="E318" s="4" t="s">
        <v>106</v>
      </c>
    </row>
    <row r="319" spans="1:5" ht="26" hidden="1" x14ac:dyDescent="0.15">
      <c r="A319" s="6" t="s">
        <v>131</v>
      </c>
      <c r="B319" s="7">
        <v>257662</v>
      </c>
      <c r="C319" s="8">
        <v>0.16500000000000001</v>
      </c>
      <c r="D319" s="4" t="s">
        <v>105</v>
      </c>
      <c r="E319" s="4" t="s">
        <v>106</v>
      </c>
    </row>
    <row r="320" spans="1:5" ht="26" hidden="1" x14ac:dyDescent="0.15">
      <c r="A320" s="6" t="s">
        <v>132</v>
      </c>
      <c r="B320" s="7">
        <v>257446</v>
      </c>
      <c r="C320" s="8">
        <v>0.16500000000000001</v>
      </c>
      <c r="D320" s="4" t="s">
        <v>105</v>
      </c>
      <c r="E320" s="4" t="s">
        <v>106</v>
      </c>
    </row>
    <row r="321" spans="1:5" ht="39" hidden="1" x14ac:dyDescent="0.15">
      <c r="A321" s="6" t="s">
        <v>133</v>
      </c>
      <c r="B321" s="7">
        <v>0</v>
      </c>
      <c r="C321" s="8">
        <v>0</v>
      </c>
      <c r="D321" s="4" t="s">
        <v>105</v>
      </c>
      <c r="E321" s="4" t="s">
        <v>106</v>
      </c>
    </row>
    <row r="322" spans="1:5" x14ac:dyDescent="0.15">
      <c r="A322" s="6" t="s">
        <v>0</v>
      </c>
      <c r="B322" s="7">
        <v>5006850</v>
      </c>
      <c r="C322" s="8">
        <v>1</v>
      </c>
      <c r="D322" s="4" t="s">
        <v>134</v>
      </c>
      <c r="E322" s="4" t="s">
        <v>1379</v>
      </c>
    </row>
    <row r="323" spans="1:5" ht="26" x14ac:dyDescent="0.15">
      <c r="A323" s="6" t="s">
        <v>3</v>
      </c>
      <c r="B323" s="7">
        <v>37727</v>
      </c>
      <c r="C323" s="8">
        <v>8.0000000000000002E-3</v>
      </c>
      <c r="D323" s="4" t="s">
        <v>134</v>
      </c>
      <c r="E323" s="4" t="s">
        <v>1379</v>
      </c>
    </row>
    <row r="324" spans="1:5" x14ac:dyDescent="0.15">
      <c r="A324" s="6" t="s">
        <v>4</v>
      </c>
      <c r="B324" s="7">
        <v>57570</v>
      </c>
      <c r="C324" s="8">
        <v>1.1000000000000001E-2</v>
      </c>
      <c r="D324" s="4" t="s">
        <v>134</v>
      </c>
      <c r="E324" s="4" t="s">
        <v>1379</v>
      </c>
    </row>
    <row r="325" spans="1:5" ht="26" x14ac:dyDescent="0.15">
      <c r="A325" s="6" t="s">
        <v>5</v>
      </c>
      <c r="B325" s="7">
        <v>103493</v>
      </c>
      <c r="C325" s="8">
        <v>2.1000000000000001E-2</v>
      </c>
      <c r="D325" s="4" t="s">
        <v>134</v>
      </c>
      <c r="E325" s="4" t="s">
        <v>1379</v>
      </c>
    </row>
    <row r="326" spans="1:5" ht="26" x14ac:dyDescent="0.15">
      <c r="A326" s="6" t="s">
        <v>6</v>
      </c>
      <c r="B326" s="7">
        <v>562882</v>
      </c>
      <c r="C326" s="8">
        <v>0.11199999999999999</v>
      </c>
      <c r="D326" s="4" t="s">
        <v>134</v>
      </c>
      <c r="E326" s="4" t="s">
        <v>1379</v>
      </c>
    </row>
    <row r="327" spans="1:5" ht="26" x14ac:dyDescent="0.15">
      <c r="A327" s="6" t="s">
        <v>7</v>
      </c>
      <c r="B327" s="7">
        <v>792175</v>
      </c>
      <c r="C327" s="8">
        <v>0.158</v>
      </c>
      <c r="D327" s="4" t="s">
        <v>134</v>
      </c>
      <c r="E327" s="4" t="s">
        <v>1379</v>
      </c>
    </row>
    <row r="328" spans="1:5" ht="26" x14ac:dyDescent="0.15">
      <c r="A328" s="6" t="s">
        <v>8</v>
      </c>
      <c r="B328" s="7">
        <v>94035</v>
      </c>
      <c r="C328" s="8">
        <v>1.9E-2</v>
      </c>
      <c r="D328" s="4" t="s">
        <v>134</v>
      </c>
      <c r="E328" s="4" t="s">
        <v>1379</v>
      </c>
    </row>
    <row r="329" spans="1:5" ht="26" x14ac:dyDescent="0.15">
      <c r="A329" s="6" t="s">
        <v>9</v>
      </c>
      <c r="B329" s="7">
        <v>244688</v>
      </c>
      <c r="C329" s="8">
        <v>4.9000000000000002E-2</v>
      </c>
      <c r="D329" s="4" t="s">
        <v>134</v>
      </c>
      <c r="E329" s="4" t="s">
        <v>1379</v>
      </c>
    </row>
    <row r="330" spans="1:5" ht="26" x14ac:dyDescent="0.15">
      <c r="A330" s="6" t="s">
        <v>10</v>
      </c>
      <c r="B330" s="7">
        <v>131207</v>
      </c>
      <c r="C330" s="8">
        <v>2.6000000000000002E-2</v>
      </c>
      <c r="D330" s="4" t="s">
        <v>134</v>
      </c>
      <c r="E330" s="4" t="s">
        <v>1379</v>
      </c>
    </row>
    <row r="331" spans="1:5" ht="26" x14ac:dyDescent="0.15">
      <c r="A331" s="6" t="s">
        <v>11</v>
      </c>
      <c r="B331" s="7">
        <v>315757</v>
      </c>
      <c r="C331" s="8">
        <v>6.3E-2</v>
      </c>
      <c r="D331" s="4" t="s">
        <v>134</v>
      </c>
      <c r="E331" s="4" t="s">
        <v>1379</v>
      </c>
    </row>
    <row r="332" spans="1:5" x14ac:dyDescent="0.15">
      <c r="A332" s="6" t="s">
        <v>12</v>
      </c>
      <c r="B332" s="7">
        <v>84281</v>
      </c>
      <c r="C332" s="8">
        <v>1.7000000000000001E-2</v>
      </c>
      <c r="D332" s="4" t="s">
        <v>134</v>
      </c>
      <c r="E332" s="4" t="s">
        <v>1379</v>
      </c>
    </row>
    <row r="333" spans="1:5" ht="26" x14ac:dyDescent="0.15">
      <c r="A333" s="6" t="s">
        <v>13</v>
      </c>
      <c r="B333" s="7">
        <v>43573</v>
      </c>
      <c r="C333" s="8">
        <v>9.0000000000000011E-3</v>
      </c>
      <c r="D333" s="4" t="s">
        <v>134</v>
      </c>
      <c r="E333" s="4" t="s">
        <v>1379</v>
      </c>
    </row>
    <row r="334" spans="1:5" x14ac:dyDescent="0.15">
      <c r="A334" s="6" t="s">
        <v>14</v>
      </c>
      <c r="B334" s="7">
        <v>362869</v>
      </c>
      <c r="C334" s="8">
        <v>7.2000000000000008E-2</v>
      </c>
      <c r="D334" s="4" t="s">
        <v>134</v>
      </c>
      <c r="E334" s="4" t="s">
        <v>1379</v>
      </c>
    </row>
    <row r="335" spans="1:5" ht="26" x14ac:dyDescent="0.15">
      <c r="A335" s="6" t="s">
        <v>15</v>
      </c>
      <c r="B335" s="7">
        <v>210106</v>
      </c>
      <c r="C335" s="8">
        <v>4.2000000000000003E-2</v>
      </c>
      <c r="D335" s="4" t="s">
        <v>134</v>
      </c>
      <c r="E335" s="4" t="s">
        <v>1379</v>
      </c>
    </row>
    <row r="336" spans="1:5" x14ac:dyDescent="0.15">
      <c r="A336" s="6" t="s">
        <v>16</v>
      </c>
      <c r="B336" s="7">
        <v>227046</v>
      </c>
      <c r="C336" s="8">
        <v>4.4999999999999998E-2</v>
      </c>
      <c r="D336" s="4" t="s">
        <v>134</v>
      </c>
      <c r="E336" s="4" t="s">
        <v>1379</v>
      </c>
    </row>
    <row r="337" spans="1:5" ht="26" x14ac:dyDescent="0.15">
      <c r="A337" s="6" t="s">
        <v>17</v>
      </c>
      <c r="B337" s="7">
        <v>71892</v>
      </c>
      <c r="C337" s="8">
        <v>1.3999999999999999E-2</v>
      </c>
      <c r="D337" s="4" t="s">
        <v>134</v>
      </c>
      <c r="E337" s="4" t="s">
        <v>1379</v>
      </c>
    </row>
    <row r="338" spans="1:5" x14ac:dyDescent="0.15">
      <c r="A338" s="6" t="s">
        <v>18</v>
      </c>
      <c r="B338" s="7">
        <v>71828</v>
      </c>
      <c r="C338" s="8">
        <v>1.3999999999999999E-2</v>
      </c>
      <c r="D338" s="4" t="s">
        <v>134</v>
      </c>
      <c r="E338" s="4" t="s">
        <v>1379</v>
      </c>
    </row>
    <row r="339" spans="1:5" x14ac:dyDescent="0.15">
      <c r="A339" s="6" t="s">
        <v>19</v>
      </c>
      <c r="B339" s="7">
        <v>699512</v>
      </c>
      <c r="C339" s="8">
        <v>0.14000000000000001</v>
      </c>
      <c r="D339" s="4" t="s">
        <v>134</v>
      </c>
      <c r="E339" s="4" t="s">
        <v>1379</v>
      </c>
    </row>
    <row r="340" spans="1:5" x14ac:dyDescent="0.15">
      <c r="A340" s="6" t="s">
        <v>20</v>
      </c>
      <c r="B340" s="7">
        <v>130924</v>
      </c>
      <c r="C340" s="8">
        <v>2.6000000000000002E-2</v>
      </c>
      <c r="D340" s="4" t="s">
        <v>134</v>
      </c>
      <c r="E340" s="4" t="s">
        <v>1379</v>
      </c>
    </row>
    <row r="341" spans="1:5" ht="26" x14ac:dyDescent="0.15">
      <c r="A341" s="6" t="s">
        <v>21</v>
      </c>
      <c r="B341" s="7">
        <v>240630</v>
      </c>
      <c r="C341" s="8">
        <v>4.8000000000000001E-2</v>
      </c>
      <c r="D341" s="4" t="s">
        <v>134</v>
      </c>
      <c r="E341" s="4" t="s">
        <v>1379</v>
      </c>
    </row>
    <row r="342" spans="1:5" ht="26" x14ac:dyDescent="0.15">
      <c r="A342" s="6" t="s">
        <v>22</v>
      </c>
      <c r="B342" s="7">
        <v>100204</v>
      </c>
      <c r="C342" s="8">
        <v>0.02</v>
      </c>
      <c r="D342" s="4" t="s">
        <v>134</v>
      </c>
      <c r="E342" s="4" t="s">
        <v>1379</v>
      </c>
    </row>
    <row r="343" spans="1:5" ht="26" x14ac:dyDescent="0.15">
      <c r="A343" s="6" t="s">
        <v>23</v>
      </c>
      <c r="B343" s="7">
        <v>68941</v>
      </c>
      <c r="C343" s="8">
        <v>1.3999999999999999E-2</v>
      </c>
      <c r="D343" s="4" t="s">
        <v>134</v>
      </c>
      <c r="E343" s="4" t="s">
        <v>1379</v>
      </c>
    </row>
    <row r="344" spans="1:5" ht="26" x14ac:dyDescent="0.15">
      <c r="A344" s="6" t="s">
        <v>24</v>
      </c>
      <c r="B344" s="7">
        <v>27868</v>
      </c>
      <c r="C344" s="8">
        <v>6.0000000000000001E-3</v>
      </c>
      <c r="D344" s="4" t="s">
        <v>134</v>
      </c>
      <c r="E344" s="4" t="s">
        <v>1379</v>
      </c>
    </row>
    <row r="345" spans="1:5" ht="26" x14ac:dyDescent="0.15">
      <c r="A345" s="6" t="s">
        <v>25</v>
      </c>
      <c r="B345" s="7">
        <v>97603</v>
      </c>
      <c r="C345" s="8">
        <v>1.9E-2</v>
      </c>
      <c r="D345" s="4" t="s">
        <v>134</v>
      </c>
      <c r="E345" s="4" t="s">
        <v>1379</v>
      </c>
    </row>
    <row r="346" spans="1:5" x14ac:dyDescent="0.15">
      <c r="A346" s="6" t="s">
        <v>26</v>
      </c>
      <c r="B346" s="7">
        <v>38860</v>
      </c>
      <c r="C346" s="8">
        <v>8.0000000000000002E-3</v>
      </c>
      <c r="D346" s="4" t="s">
        <v>134</v>
      </c>
      <c r="E346" s="4" t="s">
        <v>1379</v>
      </c>
    </row>
    <row r="347" spans="1:5" x14ac:dyDescent="0.15">
      <c r="A347" s="6" t="s">
        <v>27</v>
      </c>
      <c r="B347" s="7">
        <v>277837</v>
      </c>
      <c r="C347" s="8">
        <v>5.5E-2</v>
      </c>
      <c r="D347" s="4" t="s">
        <v>134</v>
      </c>
      <c r="E347" s="4" t="s">
        <v>1379</v>
      </c>
    </row>
    <row r="348" spans="1:5" x14ac:dyDescent="0.15">
      <c r="A348" s="6" t="s">
        <v>28</v>
      </c>
      <c r="B348" s="7">
        <v>441449</v>
      </c>
      <c r="C348" s="8">
        <v>8.8000000000000009E-2</v>
      </c>
      <c r="D348" s="4" t="s">
        <v>134</v>
      </c>
      <c r="E348" s="4" t="s">
        <v>1379</v>
      </c>
    </row>
    <row r="349" spans="1:5" x14ac:dyDescent="0.15">
      <c r="A349" s="6" t="s">
        <v>29</v>
      </c>
      <c r="B349" s="7">
        <v>1709880</v>
      </c>
      <c r="C349" s="8">
        <v>0.34200000000000003</v>
      </c>
      <c r="D349" s="4" t="s">
        <v>134</v>
      </c>
      <c r="E349" s="4" t="s">
        <v>1379</v>
      </c>
    </row>
    <row r="350" spans="1:5" x14ac:dyDescent="0.15">
      <c r="A350" s="6" t="s">
        <v>30</v>
      </c>
      <c r="B350" s="7">
        <v>372974</v>
      </c>
      <c r="C350" s="8">
        <v>7.400000000000001E-2</v>
      </c>
      <c r="D350" s="4" t="s">
        <v>134</v>
      </c>
      <c r="E350" s="4" t="s">
        <v>1379</v>
      </c>
    </row>
    <row r="351" spans="1:5" ht="39" x14ac:dyDescent="0.15">
      <c r="A351" s="6" t="s">
        <v>31</v>
      </c>
      <c r="B351" s="7">
        <v>62826</v>
      </c>
      <c r="C351" s="8">
        <v>1.3000000000000001E-2</v>
      </c>
      <c r="D351" s="4" t="s">
        <v>134</v>
      </c>
      <c r="E351" s="4" t="s">
        <v>1379</v>
      </c>
    </row>
    <row r="352" spans="1:5" x14ac:dyDescent="0.15">
      <c r="A352" s="6" t="s">
        <v>32</v>
      </c>
      <c r="B352" s="7">
        <v>98916</v>
      </c>
      <c r="C352" s="8">
        <v>0.02</v>
      </c>
      <c r="D352" s="4" t="s">
        <v>134</v>
      </c>
      <c r="E352" s="4" t="s">
        <v>1379</v>
      </c>
    </row>
    <row r="353" spans="1:5" x14ac:dyDescent="0.15">
      <c r="A353" s="6" t="s">
        <v>33</v>
      </c>
      <c r="B353" s="7">
        <v>1471897</v>
      </c>
      <c r="C353" s="8">
        <v>0.29399999999999998</v>
      </c>
      <c r="D353" s="4" t="s">
        <v>134</v>
      </c>
      <c r="E353" s="4" t="s">
        <v>1379</v>
      </c>
    </row>
    <row r="354" spans="1:5" x14ac:dyDescent="0.15">
      <c r="A354" s="6" t="s">
        <v>34</v>
      </c>
      <c r="B354" s="7">
        <v>312960</v>
      </c>
      <c r="C354" s="8">
        <v>6.3E-2</v>
      </c>
      <c r="D354" s="4" t="s">
        <v>134</v>
      </c>
      <c r="E354" s="4" t="s">
        <v>1379</v>
      </c>
    </row>
    <row r="355" spans="1:5" x14ac:dyDescent="0.15">
      <c r="A355" s="6" t="s">
        <v>35</v>
      </c>
      <c r="B355" s="7">
        <v>268533</v>
      </c>
      <c r="C355" s="8">
        <v>5.4000000000000006E-2</v>
      </c>
      <c r="D355" s="4" t="s">
        <v>134</v>
      </c>
      <c r="E355" s="4" t="s">
        <v>1379</v>
      </c>
    </row>
    <row r="356" spans="1:5" ht="26" x14ac:dyDescent="0.15">
      <c r="A356" s="6" t="s">
        <v>36</v>
      </c>
      <c r="B356" s="7">
        <v>72985</v>
      </c>
      <c r="C356" s="8">
        <v>1.4999999999999999E-2</v>
      </c>
      <c r="D356" s="4" t="s">
        <v>134</v>
      </c>
      <c r="E356" s="4" t="s">
        <v>1379</v>
      </c>
    </row>
    <row r="357" spans="1:5" x14ac:dyDescent="0.15">
      <c r="A357" s="6" t="s">
        <v>37</v>
      </c>
      <c r="B357" s="7">
        <v>47647</v>
      </c>
      <c r="C357" s="8">
        <v>0.01</v>
      </c>
      <c r="D357" s="4" t="s">
        <v>134</v>
      </c>
      <c r="E357" s="4" t="s">
        <v>1379</v>
      </c>
    </row>
    <row r="358" spans="1:5" ht="39" x14ac:dyDescent="0.15">
      <c r="A358" s="6" t="s">
        <v>38</v>
      </c>
      <c r="B358" s="7">
        <v>31503</v>
      </c>
      <c r="C358" s="8">
        <v>6.0000000000000001E-3</v>
      </c>
      <c r="D358" s="4" t="s">
        <v>134</v>
      </c>
      <c r="E358" s="4" t="s">
        <v>1379</v>
      </c>
    </row>
    <row r="359" spans="1:5" x14ac:dyDescent="0.15">
      <c r="A359" s="6" t="s">
        <v>39</v>
      </c>
      <c r="B359" s="7">
        <v>208834</v>
      </c>
      <c r="C359" s="8">
        <v>4.2000000000000003E-2</v>
      </c>
      <c r="D359" s="4" t="s">
        <v>134</v>
      </c>
      <c r="E359" s="4" t="s">
        <v>1379</v>
      </c>
    </row>
    <row r="360" spans="1:5" x14ac:dyDescent="0.15">
      <c r="A360" s="6" t="s">
        <v>40</v>
      </c>
      <c r="B360" s="7">
        <v>86601</v>
      </c>
      <c r="C360" s="8">
        <v>1.7000000000000001E-2</v>
      </c>
      <c r="D360" s="4" t="s">
        <v>134</v>
      </c>
      <c r="E360" s="4" t="s">
        <v>1379</v>
      </c>
    </row>
    <row r="361" spans="1:5" x14ac:dyDescent="0.15">
      <c r="A361" s="6" t="s">
        <v>41</v>
      </c>
      <c r="B361" s="7">
        <v>231587</v>
      </c>
      <c r="C361" s="8">
        <v>4.5999999999999999E-2</v>
      </c>
      <c r="D361" s="4" t="s">
        <v>134</v>
      </c>
      <c r="E361" s="4" t="s">
        <v>1379</v>
      </c>
    </row>
    <row r="362" spans="1:5" x14ac:dyDescent="0.15">
      <c r="A362" s="6" t="s">
        <v>42</v>
      </c>
      <c r="B362" s="7">
        <v>171752</v>
      </c>
      <c r="C362" s="8">
        <v>3.4000000000000002E-2</v>
      </c>
      <c r="D362" s="4" t="s">
        <v>134</v>
      </c>
      <c r="E362" s="4" t="s">
        <v>1379</v>
      </c>
    </row>
    <row r="363" spans="1:5" x14ac:dyDescent="0.15">
      <c r="A363" s="6" t="s">
        <v>43</v>
      </c>
      <c r="B363" s="7">
        <v>260901</v>
      </c>
      <c r="C363" s="8">
        <v>5.2000000000000005E-2</v>
      </c>
      <c r="D363" s="4" t="s">
        <v>134</v>
      </c>
      <c r="E363" s="4" t="s">
        <v>1379</v>
      </c>
    </row>
    <row r="364" spans="1:5" ht="26" x14ac:dyDescent="0.15">
      <c r="A364" s="6" t="s">
        <v>44</v>
      </c>
      <c r="B364" s="7">
        <v>437070</v>
      </c>
      <c r="C364" s="8">
        <v>8.6999999999999994E-2</v>
      </c>
      <c r="D364" s="4" t="s">
        <v>134</v>
      </c>
      <c r="E364" s="4" t="s">
        <v>1379</v>
      </c>
    </row>
    <row r="365" spans="1:5" x14ac:dyDescent="0.15">
      <c r="A365" s="6" t="s">
        <v>45</v>
      </c>
      <c r="B365" s="7">
        <v>772542</v>
      </c>
      <c r="C365" s="8">
        <v>0.154</v>
      </c>
      <c r="D365" s="4" t="s">
        <v>134</v>
      </c>
      <c r="E365" s="4" t="s">
        <v>1379</v>
      </c>
    </row>
    <row r="366" spans="1:5" ht="26" x14ac:dyDescent="0.15">
      <c r="A366" s="6" t="s">
        <v>46</v>
      </c>
      <c r="B366" s="7">
        <v>1743758</v>
      </c>
      <c r="C366" s="8">
        <v>0.34799999999999998</v>
      </c>
      <c r="D366" s="4" t="s">
        <v>134</v>
      </c>
      <c r="E366" s="4" t="s">
        <v>1379</v>
      </c>
    </row>
    <row r="367" spans="1:5" x14ac:dyDescent="0.15">
      <c r="A367" s="6" t="s">
        <v>47</v>
      </c>
      <c r="B367" s="7">
        <v>2128481</v>
      </c>
      <c r="C367" s="8">
        <v>0.42499999999999999</v>
      </c>
      <c r="D367" s="4" t="s">
        <v>134</v>
      </c>
      <c r="E367" s="4" t="s">
        <v>1379</v>
      </c>
    </row>
    <row r="368" spans="1:5" x14ac:dyDescent="0.15">
      <c r="A368" s="6" t="s">
        <v>48</v>
      </c>
      <c r="B368" s="7">
        <v>525381</v>
      </c>
      <c r="C368" s="8">
        <v>0.105</v>
      </c>
      <c r="D368" s="4" t="s">
        <v>134</v>
      </c>
      <c r="E368" s="4" t="s">
        <v>1379</v>
      </c>
    </row>
    <row r="369" spans="1:5" x14ac:dyDescent="0.15">
      <c r="A369" s="6" t="s">
        <v>49</v>
      </c>
      <c r="B369" s="7">
        <v>959752</v>
      </c>
      <c r="C369" s="8">
        <v>0.192</v>
      </c>
      <c r="D369" s="4" t="s">
        <v>134</v>
      </c>
      <c r="E369" s="4" t="s">
        <v>1379</v>
      </c>
    </row>
    <row r="370" spans="1:5" ht="26" x14ac:dyDescent="0.15">
      <c r="A370" s="6" t="s">
        <v>50</v>
      </c>
      <c r="B370" s="7">
        <v>690740</v>
      </c>
      <c r="C370" s="8">
        <v>0.13800000000000001</v>
      </c>
      <c r="D370" s="4" t="s">
        <v>134</v>
      </c>
      <c r="E370" s="4" t="s">
        <v>1379</v>
      </c>
    </row>
    <row r="371" spans="1:5" x14ac:dyDescent="0.15">
      <c r="A371" s="6" t="s">
        <v>51</v>
      </c>
      <c r="B371" s="7">
        <v>1590070</v>
      </c>
      <c r="C371" s="8">
        <v>0.318</v>
      </c>
      <c r="D371" s="4" t="s">
        <v>134</v>
      </c>
      <c r="E371" s="4" t="s">
        <v>1379</v>
      </c>
    </row>
    <row r="372" spans="1:5" x14ac:dyDescent="0.15">
      <c r="A372" s="6" t="s">
        <v>52</v>
      </c>
      <c r="B372" s="7">
        <v>489756</v>
      </c>
      <c r="C372" s="8">
        <v>9.8000000000000004E-2</v>
      </c>
      <c r="D372" s="4" t="s">
        <v>134</v>
      </c>
      <c r="E372" s="4" t="s">
        <v>1379</v>
      </c>
    </row>
    <row r="373" spans="1:5" ht="26" x14ac:dyDescent="0.15">
      <c r="A373" s="6" t="s">
        <v>53</v>
      </c>
      <c r="B373" s="7">
        <v>320239</v>
      </c>
      <c r="C373" s="8">
        <v>6.4000000000000001E-2</v>
      </c>
      <c r="D373" s="4" t="s">
        <v>134</v>
      </c>
      <c r="E373" s="4" t="s">
        <v>1379</v>
      </c>
    </row>
    <row r="374" spans="1:5" x14ac:dyDescent="0.15">
      <c r="A374" s="6" t="s">
        <v>54</v>
      </c>
      <c r="B374" s="7">
        <v>1738952</v>
      </c>
      <c r="C374" s="8">
        <v>0.34700000000000003</v>
      </c>
      <c r="D374" s="4" t="s">
        <v>134</v>
      </c>
      <c r="E374" s="4" t="s">
        <v>1379</v>
      </c>
    </row>
    <row r="375" spans="1:5" ht="26" x14ac:dyDescent="0.15">
      <c r="A375" s="6" t="s">
        <v>55</v>
      </c>
      <c r="B375" s="7">
        <v>1117324</v>
      </c>
      <c r="C375" s="8">
        <v>0.223</v>
      </c>
      <c r="D375" s="4" t="s">
        <v>134</v>
      </c>
      <c r="E375" s="4" t="s">
        <v>1379</v>
      </c>
    </row>
    <row r="376" spans="1:5" x14ac:dyDescent="0.15">
      <c r="A376" s="6" t="s">
        <v>56</v>
      </c>
      <c r="B376" s="7">
        <v>1124354</v>
      </c>
      <c r="C376" s="8">
        <v>0.22500000000000001</v>
      </c>
      <c r="D376" s="4" t="s">
        <v>134</v>
      </c>
      <c r="E376" s="4" t="s">
        <v>1379</v>
      </c>
    </row>
    <row r="377" spans="1:5" x14ac:dyDescent="0.15">
      <c r="A377" s="6" t="s">
        <v>57</v>
      </c>
      <c r="B377" s="7">
        <v>479797</v>
      </c>
      <c r="C377" s="8">
        <v>9.6000000000000002E-2</v>
      </c>
      <c r="D377" s="4" t="s">
        <v>134</v>
      </c>
      <c r="E377" s="4" t="s">
        <v>1379</v>
      </c>
    </row>
    <row r="378" spans="1:5" x14ac:dyDescent="0.15">
      <c r="A378" s="6" t="s">
        <v>58</v>
      </c>
      <c r="B378" s="7">
        <v>599407</v>
      </c>
      <c r="C378" s="8">
        <v>0.12</v>
      </c>
      <c r="D378" s="4" t="s">
        <v>134</v>
      </c>
      <c r="E378" s="4" t="s">
        <v>1379</v>
      </c>
    </row>
    <row r="379" spans="1:5" x14ac:dyDescent="0.15">
      <c r="A379" s="6" t="s">
        <v>59</v>
      </c>
      <c r="B379" s="7">
        <v>2357580</v>
      </c>
      <c r="C379" s="8">
        <v>0.47100000000000003</v>
      </c>
      <c r="D379" s="4" t="s">
        <v>134</v>
      </c>
      <c r="E379" s="4" t="s">
        <v>1379</v>
      </c>
    </row>
    <row r="380" spans="1:5" x14ac:dyDescent="0.15">
      <c r="A380" s="6" t="s">
        <v>60</v>
      </c>
      <c r="B380" s="7">
        <v>1052397</v>
      </c>
      <c r="C380" s="8">
        <v>0.21</v>
      </c>
      <c r="D380" s="4" t="s">
        <v>134</v>
      </c>
      <c r="E380" s="4" t="s">
        <v>1379</v>
      </c>
    </row>
    <row r="381" spans="1:5" ht="26" x14ac:dyDescent="0.15">
      <c r="A381" s="6" t="s">
        <v>61</v>
      </c>
      <c r="B381" s="7">
        <v>1152638</v>
      </c>
      <c r="C381" s="8">
        <v>0.23</v>
      </c>
      <c r="D381" s="4" t="s">
        <v>134</v>
      </c>
      <c r="E381" s="4" t="s">
        <v>1379</v>
      </c>
    </row>
    <row r="382" spans="1:5" x14ac:dyDescent="0.15">
      <c r="A382" s="6" t="s">
        <v>62</v>
      </c>
      <c r="B382" s="7">
        <v>475314</v>
      </c>
      <c r="C382" s="8">
        <v>9.5000000000000001E-2</v>
      </c>
      <c r="D382" s="4" t="s">
        <v>134</v>
      </c>
      <c r="E382" s="4" t="s">
        <v>1379</v>
      </c>
    </row>
    <row r="383" spans="1:5" ht="26" x14ac:dyDescent="0.15">
      <c r="A383" s="6" t="s">
        <v>63</v>
      </c>
      <c r="B383" s="7">
        <v>718792</v>
      </c>
      <c r="C383" s="8">
        <v>0.14400000000000002</v>
      </c>
      <c r="D383" s="4" t="s">
        <v>134</v>
      </c>
      <c r="E383" s="4" t="s">
        <v>1379</v>
      </c>
    </row>
    <row r="384" spans="1:5" ht="26" x14ac:dyDescent="0.15">
      <c r="A384" s="6" t="s">
        <v>64</v>
      </c>
      <c r="B384" s="7">
        <v>314611</v>
      </c>
      <c r="C384" s="8">
        <v>6.3E-2</v>
      </c>
      <c r="D384" s="4" t="s">
        <v>134</v>
      </c>
      <c r="E384" s="4" t="s">
        <v>1379</v>
      </c>
    </row>
    <row r="385" spans="1:5" x14ac:dyDescent="0.15">
      <c r="A385" s="6" t="s">
        <v>65</v>
      </c>
      <c r="B385" s="7">
        <v>499843</v>
      </c>
      <c r="C385" s="8">
        <v>0.1</v>
      </c>
      <c r="D385" s="4" t="s">
        <v>134</v>
      </c>
      <c r="E385" s="4" t="s">
        <v>1379</v>
      </c>
    </row>
    <row r="386" spans="1:5" x14ac:dyDescent="0.15">
      <c r="A386" s="6" t="s">
        <v>66</v>
      </c>
      <c r="B386" s="7">
        <v>251050</v>
      </c>
      <c r="C386" s="8">
        <v>0.05</v>
      </c>
      <c r="D386" s="4" t="s">
        <v>134</v>
      </c>
      <c r="E386" s="4" t="s">
        <v>1379</v>
      </c>
    </row>
    <row r="387" spans="1:5" x14ac:dyDescent="0.15">
      <c r="A387" s="6" t="s">
        <v>67</v>
      </c>
      <c r="B387" s="7">
        <v>1077947</v>
      </c>
      <c r="C387" s="8">
        <v>0.215</v>
      </c>
      <c r="D387" s="4" t="s">
        <v>134</v>
      </c>
      <c r="E387" s="4" t="s">
        <v>1379</v>
      </c>
    </row>
    <row r="388" spans="1:5" x14ac:dyDescent="0.15">
      <c r="A388" s="6" t="s">
        <v>68</v>
      </c>
      <c r="B388" s="7">
        <v>1764070</v>
      </c>
      <c r="C388" s="8">
        <v>0.35200000000000004</v>
      </c>
      <c r="D388" s="4" t="s">
        <v>134</v>
      </c>
      <c r="E388" s="4" t="s">
        <v>1379</v>
      </c>
    </row>
    <row r="389" spans="1:5" x14ac:dyDescent="0.15">
      <c r="A389" s="6" t="s">
        <v>69</v>
      </c>
      <c r="B389" s="7">
        <v>3328386</v>
      </c>
      <c r="C389" s="8">
        <v>0.66500000000000004</v>
      </c>
      <c r="D389" s="4" t="s">
        <v>134</v>
      </c>
      <c r="E389" s="4" t="s">
        <v>1379</v>
      </c>
    </row>
    <row r="390" spans="1:5" x14ac:dyDescent="0.15">
      <c r="A390" s="6" t="s">
        <v>70</v>
      </c>
      <c r="B390" s="7">
        <v>1634730</v>
      </c>
      <c r="C390" s="8">
        <v>0.32600000000000001</v>
      </c>
      <c r="D390" s="4" t="s">
        <v>134</v>
      </c>
      <c r="E390" s="4" t="s">
        <v>1379</v>
      </c>
    </row>
    <row r="391" spans="1:5" ht="26" x14ac:dyDescent="0.15">
      <c r="A391" s="6" t="s">
        <v>71</v>
      </c>
      <c r="B391" s="7">
        <v>301597</v>
      </c>
      <c r="C391" s="8">
        <v>0.06</v>
      </c>
      <c r="D391" s="4" t="s">
        <v>134</v>
      </c>
      <c r="E391" s="4" t="s">
        <v>1379</v>
      </c>
    </row>
    <row r="392" spans="1:5" x14ac:dyDescent="0.15">
      <c r="A392" s="6" t="s">
        <v>72</v>
      </c>
      <c r="B392" s="7">
        <v>439765</v>
      </c>
      <c r="C392" s="8">
        <v>8.8000000000000009E-2</v>
      </c>
      <c r="D392" s="4" t="s">
        <v>134</v>
      </c>
      <c r="E392" s="4" t="s">
        <v>1379</v>
      </c>
    </row>
    <row r="393" spans="1:5" x14ac:dyDescent="0.15">
      <c r="A393" s="6" t="s">
        <v>73</v>
      </c>
      <c r="B393" s="7">
        <v>3238713</v>
      </c>
      <c r="C393" s="8">
        <v>0.64700000000000002</v>
      </c>
      <c r="D393" s="4" t="s">
        <v>134</v>
      </c>
      <c r="E393" s="4" t="s">
        <v>1379</v>
      </c>
    </row>
    <row r="394" spans="1:5" x14ac:dyDescent="0.15">
      <c r="A394" s="6" t="s">
        <v>74</v>
      </c>
      <c r="B394" s="7">
        <v>1363452</v>
      </c>
      <c r="C394" s="8">
        <v>0.27200000000000002</v>
      </c>
      <c r="D394" s="4" t="s">
        <v>134</v>
      </c>
      <c r="E394" s="4" t="s">
        <v>1379</v>
      </c>
    </row>
    <row r="395" spans="1:5" x14ac:dyDescent="0.15">
      <c r="A395" s="6" t="s">
        <v>75</v>
      </c>
      <c r="B395" s="7">
        <v>1040491</v>
      </c>
      <c r="C395" s="8">
        <v>0.20800000000000002</v>
      </c>
      <c r="D395" s="4" t="s">
        <v>134</v>
      </c>
      <c r="E395" s="4" t="s">
        <v>1379</v>
      </c>
    </row>
    <row r="396" spans="1:5" x14ac:dyDescent="0.15">
      <c r="A396" s="6" t="s">
        <v>76</v>
      </c>
      <c r="B396" s="7">
        <v>480677</v>
      </c>
      <c r="C396" s="8">
        <v>9.6000000000000002E-2</v>
      </c>
      <c r="D396" s="4" t="s">
        <v>134</v>
      </c>
      <c r="E396" s="4" t="s">
        <v>1379</v>
      </c>
    </row>
    <row r="397" spans="1:5" x14ac:dyDescent="0.15">
      <c r="A397" s="6" t="s">
        <v>77</v>
      </c>
      <c r="B397" s="7">
        <v>377158</v>
      </c>
      <c r="C397" s="8">
        <v>7.4999999999999997E-2</v>
      </c>
      <c r="D397" s="4" t="s">
        <v>134</v>
      </c>
      <c r="E397" s="4" t="s">
        <v>1379</v>
      </c>
    </row>
    <row r="398" spans="1:5" ht="26" x14ac:dyDescent="0.15">
      <c r="A398" s="6" t="s">
        <v>78</v>
      </c>
      <c r="B398" s="7">
        <v>322618</v>
      </c>
      <c r="C398" s="8">
        <v>6.4000000000000001E-2</v>
      </c>
      <c r="D398" s="4" t="s">
        <v>134</v>
      </c>
      <c r="E398" s="4" t="s">
        <v>1379</v>
      </c>
    </row>
    <row r="399" spans="1:5" x14ac:dyDescent="0.15">
      <c r="A399" s="6" t="s">
        <v>79</v>
      </c>
      <c r="B399" s="7">
        <v>742184</v>
      </c>
      <c r="C399" s="8">
        <v>0.14800000000000002</v>
      </c>
      <c r="D399" s="4" t="s">
        <v>134</v>
      </c>
      <c r="E399" s="4" t="s">
        <v>1379</v>
      </c>
    </row>
    <row r="400" spans="1:5" x14ac:dyDescent="0.15">
      <c r="A400" s="6" t="s">
        <v>80</v>
      </c>
      <c r="B400" s="7">
        <v>730300</v>
      </c>
      <c r="C400" s="8">
        <v>0.14599999999999999</v>
      </c>
      <c r="D400" s="4" t="s">
        <v>134</v>
      </c>
      <c r="E400" s="4" t="s">
        <v>1379</v>
      </c>
    </row>
    <row r="401" spans="1:5" ht="26" x14ac:dyDescent="0.15">
      <c r="A401" s="6" t="s">
        <v>81</v>
      </c>
      <c r="B401" s="7">
        <v>1190412</v>
      </c>
      <c r="C401" s="8">
        <v>0.23800000000000002</v>
      </c>
      <c r="D401" s="4" t="s">
        <v>134</v>
      </c>
      <c r="E401" s="4" t="s">
        <v>1379</v>
      </c>
    </row>
    <row r="402" spans="1:5" x14ac:dyDescent="0.15">
      <c r="A402" s="6" t="s">
        <v>82</v>
      </c>
      <c r="B402" s="7">
        <v>524096</v>
      </c>
      <c r="C402" s="8">
        <v>0.105</v>
      </c>
      <c r="D402" s="4" t="s">
        <v>134</v>
      </c>
      <c r="E402" s="4" t="s">
        <v>1379</v>
      </c>
    </row>
    <row r="403" spans="1:5" x14ac:dyDescent="0.15">
      <c r="A403" s="9"/>
      <c r="B403" s="9"/>
      <c r="C403" s="9"/>
      <c r="D403" s="4" t="s">
        <v>134</v>
      </c>
      <c r="E403" s="4" t="s">
        <v>1379</v>
      </c>
    </row>
    <row r="404" spans="1:5" x14ac:dyDescent="0.15">
      <c r="A404" s="10"/>
      <c r="B404" s="10"/>
      <c r="C404" s="10"/>
      <c r="D404" s="4" t="s">
        <v>134</v>
      </c>
      <c r="E404" s="4" t="s">
        <v>1379</v>
      </c>
    </row>
    <row r="405" spans="1:5" ht="26" x14ac:dyDescent="0.15">
      <c r="A405" s="6" t="s">
        <v>136</v>
      </c>
      <c r="B405" s="7">
        <v>1953155</v>
      </c>
      <c r="C405" s="8">
        <v>0.39</v>
      </c>
      <c r="D405" s="4" t="s">
        <v>134</v>
      </c>
      <c r="E405" s="4" t="s">
        <v>1379</v>
      </c>
    </row>
    <row r="406" spans="1:5" x14ac:dyDescent="0.15">
      <c r="A406" s="9"/>
      <c r="B406" s="9"/>
      <c r="C406" s="9"/>
      <c r="D406" s="4" t="s">
        <v>134</v>
      </c>
      <c r="E406" s="4" t="s">
        <v>1379</v>
      </c>
    </row>
    <row r="407" spans="1:5" x14ac:dyDescent="0.15">
      <c r="A407" s="10"/>
      <c r="B407" s="10"/>
      <c r="C407" s="10"/>
      <c r="D407" s="4" t="s">
        <v>134</v>
      </c>
      <c r="E407" s="4" t="s">
        <v>1379</v>
      </c>
    </row>
    <row r="408" spans="1:5" x14ac:dyDescent="0.15">
      <c r="A408" s="6" t="s">
        <v>137</v>
      </c>
      <c r="B408" s="7">
        <v>477556</v>
      </c>
      <c r="C408" s="8">
        <v>9.5000000000000001E-2</v>
      </c>
      <c r="D408" s="4" t="s">
        <v>134</v>
      </c>
      <c r="E408" s="4" t="s">
        <v>1379</v>
      </c>
    </row>
    <row r="409" spans="1:5" x14ac:dyDescent="0.15">
      <c r="A409" s="9"/>
      <c r="B409" s="9"/>
      <c r="C409" s="9"/>
      <c r="D409" s="4" t="s">
        <v>134</v>
      </c>
      <c r="E409" s="4" t="s">
        <v>1379</v>
      </c>
    </row>
    <row r="410" spans="1:5" x14ac:dyDescent="0.15">
      <c r="A410" s="10"/>
      <c r="B410" s="10"/>
      <c r="C410" s="10"/>
      <c r="D410" s="4" t="s">
        <v>134</v>
      </c>
      <c r="E410" s="4" t="s">
        <v>1379</v>
      </c>
    </row>
    <row r="411" spans="1:5" ht="26" x14ac:dyDescent="0.15">
      <c r="A411" s="6" t="s">
        <v>138</v>
      </c>
      <c r="B411" s="7">
        <v>842332</v>
      </c>
      <c r="C411" s="8">
        <v>0.16800000000000001</v>
      </c>
      <c r="D411" s="4" t="s">
        <v>134</v>
      </c>
      <c r="E411" s="4" t="s">
        <v>1379</v>
      </c>
    </row>
    <row r="412" spans="1:5" x14ac:dyDescent="0.15">
      <c r="A412" s="9"/>
      <c r="B412" s="9"/>
      <c r="C412" s="9"/>
      <c r="D412" s="4" t="s">
        <v>134</v>
      </c>
      <c r="E412" s="4" t="s">
        <v>1379</v>
      </c>
    </row>
    <row r="413" spans="1:5" x14ac:dyDescent="0.15">
      <c r="A413" s="10"/>
      <c r="B413" s="10"/>
      <c r="C413" s="10"/>
      <c r="D413" s="4" t="s">
        <v>134</v>
      </c>
      <c r="E413" s="4" t="s">
        <v>1379</v>
      </c>
    </row>
    <row r="414" spans="1:5" ht="26" x14ac:dyDescent="0.15">
      <c r="A414" s="6" t="s">
        <v>139</v>
      </c>
      <c r="B414" s="7">
        <v>2637271</v>
      </c>
      <c r="C414" s="8">
        <v>0.52700000000000002</v>
      </c>
      <c r="D414" s="4" t="s">
        <v>134</v>
      </c>
      <c r="E414" s="4" t="s">
        <v>1379</v>
      </c>
    </row>
    <row r="415" spans="1:5" x14ac:dyDescent="0.15">
      <c r="A415" s="9"/>
      <c r="B415" s="9"/>
      <c r="C415" s="9"/>
      <c r="D415" s="4" t="s">
        <v>134</v>
      </c>
      <c r="E415" s="4" t="s">
        <v>1379</v>
      </c>
    </row>
    <row r="416" spans="1:5" x14ac:dyDescent="0.15">
      <c r="A416" s="10"/>
      <c r="B416" s="10"/>
      <c r="C416" s="10"/>
      <c r="D416" s="4" t="s">
        <v>134</v>
      </c>
      <c r="E416" s="4" t="s">
        <v>1379</v>
      </c>
    </row>
    <row r="417" spans="1:5" ht="26" x14ac:dyDescent="0.15">
      <c r="A417" s="6" t="s">
        <v>140</v>
      </c>
      <c r="B417" s="7">
        <v>1103922</v>
      </c>
      <c r="C417" s="8">
        <v>0.22</v>
      </c>
      <c r="D417" s="4" t="s">
        <v>134</v>
      </c>
      <c r="E417" s="4" t="s">
        <v>1379</v>
      </c>
    </row>
    <row r="418" spans="1:5" x14ac:dyDescent="0.15">
      <c r="A418" s="9"/>
      <c r="B418" s="9"/>
      <c r="C418" s="9"/>
      <c r="D418" s="4" t="s">
        <v>134</v>
      </c>
      <c r="E418" s="4" t="s">
        <v>1379</v>
      </c>
    </row>
    <row r="419" spans="1:5" x14ac:dyDescent="0.15">
      <c r="A419" s="10"/>
      <c r="B419" s="10"/>
      <c r="C419" s="10"/>
      <c r="D419" s="4" t="s">
        <v>134</v>
      </c>
      <c r="E419" s="4" t="s">
        <v>1379</v>
      </c>
    </row>
    <row r="420" spans="1:5" ht="26" x14ac:dyDescent="0.15">
      <c r="A420" s="6" t="s">
        <v>141</v>
      </c>
      <c r="B420" s="7">
        <v>243117</v>
      </c>
      <c r="C420" s="8">
        <v>4.9000000000000002E-2</v>
      </c>
      <c r="D420" s="4" t="s">
        <v>134</v>
      </c>
      <c r="E420" s="4" t="s">
        <v>1379</v>
      </c>
    </row>
    <row r="421" spans="1:5" ht="26" x14ac:dyDescent="0.15">
      <c r="A421" s="6" t="s">
        <v>142</v>
      </c>
      <c r="B421" s="7">
        <v>118156</v>
      </c>
      <c r="C421" s="8">
        <v>2.4E-2</v>
      </c>
      <c r="D421" s="4" t="s">
        <v>134</v>
      </c>
      <c r="E421" s="4" t="s">
        <v>1379</v>
      </c>
    </row>
    <row r="422" spans="1:5" ht="26" x14ac:dyDescent="0.15">
      <c r="A422" s="6" t="s">
        <v>143</v>
      </c>
      <c r="B422" s="7">
        <v>469554</v>
      </c>
      <c r="C422" s="8">
        <v>9.4E-2</v>
      </c>
      <c r="D422" s="4" t="s">
        <v>134</v>
      </c>
      <c r="E422" s="4" t="s">
        <v>1379</v>
      </c>
    </row>
    <row r="423" spans="1:5" ht="26" x14ac:dyDescent="0.15">
      <c r="A423" s="6" t="s">
        <v>144</v>
      </c>
      <c r="B423" s="7">
        <v>650543</v>
      </c>
      <c r="C423" s="8">
        <v>0.13</v>
      </c>
      <c r="D423" s="4" t="s">
        <v>134</v>
      </c>
      <c r="E423" s="4" t="s">
        <v>1379</v>
      </c>
    </row>
    <row r="424" spans="1:5" ht="26" x14ac:dyDescent="0.15">
      <c r="A424" s="6" t="s">
        <v>145</v>
      </c>
      <c r="B424" s="7">
        <v>640661</v>
      </c>
      <c r="C424" s="8">
        <v>0.128</v>
      </c>
      <c r="D424" s="4" t="s">
        <v>134</v>
      </c>
      <c r="E424" s="4" t="s">
        <v>1379</v>
      </c>
    </row>
    <row r="425" spans="1:5" ht="26" x14ac:dyDescent="0.15">
      <c r="A425" s="6" t="s">
        <v>146</v>
      </c>
      <c r="B425" s="7">
        <v>255765</v>
      </c>
      <c r="C425" s="8">
        <v>5.0999999999999997E-2</v>
      </c>
      <c r="D425" s="4" t="s">
        <v>134</v>
      </c>
      <c r="E425" s="4" t="s">
        <v>1379</v>
      </c>
    </row>
    <row r="426" spans="1:5" x14ac:dyDescent="0.15">
      <c r="A426" s="6" t="s">
        <v>147</v>
      </c>
      <c r="B426" s="7">
        <v>324386</v>
      </c>
      <c r="C426" s="8">
        <v>6.5000000000000002E-2</v>
      </c>
      <c r="D426" s="4" t="s">
        <v>134</v>
      </c>
      <c r="E426" s="4" t="s">
        <v>1379</v>
      </c>
    </row>
    <row r="427" spans="1:5" hidden="1" x14ac:dyDescent="0.15">
      <c r="A427" s="6" t="s">
        <v>0</v>
      </c>
      <c r="B427" s="7">
        <v>1039623</v>
      </c>
      <c r="C427" s="8">
        <v>1</v>
      </c>
      <c r="D427" s="4" t="s">
        <v>148</v>
      </c>
      <c r="E427" s="4" t="s">
        <v>149</v>
      </c>
    </row>
    <row r="428" spans="1:5" ht="26" hidden="1" x14ac:dyDescent="0.15">
      <c r="A428" s="6" t="s">
        <v>3</v>
      </c>
      <c r="B428" s="7">
        <v>35374</v>
      </c>
      <c r="C428" s="8">
        <v>3.4000000000000002E-2</v>
      </c>
      <c r="D428" s="4" t="s">
        <v>148</v>
      </c>
      <c r="E428" s="4" t="s">
        <v>149</v>
      </c>
    </row>
    <row r="429" spans="1:5" hidden="1" x14ac:dyDescent="0.15">
      <c r="A429" s="6" t="s">
        <v>4</v>
      </c>
      <c r="B429" s="7">
        <v>13211</v>
      </c>
      <c r="C429" s="8">
        <v>1.3000000000000001E-2</v>
      </c>
      <c r="D429" s="4" t="s">
        <v>148</v>
      </c>
      <c r="E429" s="4" t="s">
        <v>149</v>
      </c>
    </row>
    <row r="430" spans="1:5" ht="26" hidden="1" x14ac:dyDescent="0.15">
      <c r="A430" s="6" t="s">
        <v>5</v>
      </c>
      <c r="B430" s="7">
        <v>46269</v>
      </c>
      <c r="C430" s="8">
        <v>4.4999999999999998E-2</v>
      </c>
      <c r="D430" s="4" t="s">
        <v>148</v>
      </c>
      <c r="E430" s="4" t="s">
        <v>149</v>
      </c>
    </row>
    <row r="431" spans="1:5" ht="26" hidden="1" x14ac:dyDescent="0.15">
      <c r="A431" s="6" t="s">
        <v>6</v>
      </c>
      <c r="B431" s="7">
        <v>149936</v>
      </c>
      <c r="C431" s="8">
        <v>0.14400000000000002</v>
      </c>
      <c r="D431" s="4" t="s">
        <v>148</v>
      </c>
      <c r="E431" s="4" t="s">
        <v>149</v>
      </c>
    </row>
    <row r="432" spans="1:5" ht="26" hidden="1" x14ac:dyDescent="0.15">
      <c r="A432" s="6" t="s">
        <v>7</v>
      </c>
      <c r="B432" s="7">
        <v>342302</v>
      </c>
      <c r="C432" s="8">
        <v>0.32899999999999996</v>
      </c>
      <c r="D432" s="4" t="s">
        <v>148</v>
      </c>
      <c r="E432" s="4" t="s">
        <v>149</v>
      </c>
    </row>
    <row r="433" spans="1:5" ht="26" hidden="1" x14ac:dyDescent="0.15">
      <c r="A433" s="6" t="s">
        <v>8</v>
      </c>
      <c r="B433" s="7">
        <v>8466</v>
      </c>
      <c r="C433" s="8">
        <v>8.0000000000000002E-3</v>
      </c>
      <c r="D433" s="4" t="s">
        <v>148</v>
      </c>
      <c r="E433" s="4" t="s">
        <v>149</v>
      </c>
    </row>
    <row r="434" spans="1:5" ht="26" hidden="1" x14ac:dyDescent="0.15">
      <c r="A434" s="6" t="s">
        <v>9</v>
      </c>
      <c r="B434" s="7">
        <v>24782</v>
      </c>
      <c r="C434" s="8">
        <v>2.4E-2</v>
      </c>
      <c r="D434" s="4" t="s">
        <v>148</v>
      </c>
      <c r="E434" s="4" t="s">
        <v>149</v>
      </c>
    </row>
    <row r="435" spans="1:5" ht="26" hidden="1" x14ac:dyDescent="0.15">
      <c r="A435" s="6" t="s">
        <v>10</v>
      </c>
      <c r="B435" s="7">
        <v>13494</v>
      </c>
      <c r="C435" s="8">
        <v>1.3000000000000001E-2</v>
      </c>
      <c r="D435" s="4" t="s">
        <v>148</v>
      </c>
      <c r="E435" s="4" t="s">
        <v>149</v>
      </c>
    </row>
    <row r="436" spans="1:5" ht="26" hidden="1" x14ac:dyDescent="0.15">
      <c r="A436" s="6" t="s">
        <v>11</v>
      </c>
      <c r="B436" s="7">
        <v>52770</v>
      </c>
      <c r="C436" s="8">
        <v>5.0999999999999997E-2</v>
      </c>
      <c r="D436" s="4" t="s">
        <v>148</v>
      </c>
      <c r="E436" s="4" t="s">
        <v>149</v>
      </c>
    </row>
    <row r="437" spans="1:5" hidden="1" x14ac:dyDescent="0.15">
      <c r="A437" s="6" t="s">
        <v>12</v>
      </c>
      <c r="B437" s="7">
        <v>14180</v>
      </c>
      <c r="C437" s="8">
        <v>1.3999999999999999E-2</v>
      </c>
      <c r="D437" s="4" t="s">
        <v>148</v>
      </c>
      <c r="E437" s="4" t="s">
        <v>149</v>
      </c>
    </row>
    <row r="438" spans="1:5" ht="26" hidden="1" x14ac:dyDescent="0.15">
      <c r="A438" s="6" t="s">
        <v>13</v>
      </c>
      <c r="B438" s="7">
        <v>11633</v>
      </c>
      <c r="C438" s="8">
        <v>1.1000000000000001E-2</v>
      </c>
      <c r="D438" s="4" t="s">
        <v>148</v>
      </c>
      <c r="E438" s="4" t="s">
        <v>149</v>
      </c>
    </row>
    <row r="439" spans="1:5" hidden="1" x14ac:dyDescent="0.15">
      <c r="A439" s="6" t="s">
        <v>14</v>
      </c>
      <c r="B439" s="7">
        <v>59056</v>
      </c>
      <c r="C439" s="8">
        <v>5.7000000000000002E-2</v>
      </c>
      <c r="D439" s="4" t="s">
        <v>148</v>
      </c>
      <c r="E439" s="4" t="s">
        <v>149</v>
      </c>
    </row>
    <row r="440" spans="1:5" ht="26" hidden="1" x14ac:dyDescent="0.15">
      <c r="A440" s="6" t="s">
        <v>15</v>
      </c>
      <c r="B440" s="7">
        <v>90228</v>
      </c>
      <c r="C440" s="8">
        <v>8.6999999999999994E-2</v>
      </c>
      <c r="D440" s="4" t="s">
        <v>148</v>
      </c>
      <c r="E440" s="4" t="s">
        <v>149</v>
      </c>
    </row>
    <row r="441" spans="1:5" hidden="1" x14ac:dyDescent="0.15">
      <c r="A441" s="6" t="s">
        <v>16</v>
      </c>
      <c r="B441" s="7">
        <v>56267</v>
      </c>
      <c r="C441" s="8">
        <v>5.4000000000000006E-2</v>
      </c>
      <c r="D441" s="4" t="s">
        <v>148</v>
      </c>
      <c r="E441" s="4" t="s">
        <v>149</v>
      </c>
    </row>
    <row r="442" spans="1:5" ht="26" hidden="1" x14ac:dyDescent="0.15">
      <c r="A442" s="6" t="s">
        <v>17</v>
      </c>
      <c r="B442" s="7">
        <v>20578</v>
      </c>
      <c r="C442" s="8">
        <v>0.02</v>
      </c>
      <c r="D442" s="4" t="s">
        <v>148</v>
      </c>
      <c r="E442" s="4" t="s">
        <v>149</v>
      </c>
    </row>
    <row r="443" spans="1:5" hidden="1" x14ac:dyDescent="0.15">
      <c r="A443" s="6" t="s">
        <v>18</v>
      </c>
      <c r="B443" s="7">
        <v>20438</v>
      </c>
      <c r="C443" s="8">
        <v>0.02</v>
      </c>
      <c r="D443" s="4" t="s">
        <v>148</v>
      </c>
      <c r="E443" s="4" t="s">
        <v>149</v>
      </c>
    </row>
    <row r="444" spans="1:5" hidden="1" x14ac:dyDescent="0.15">
      <c r="A444" s="6" t="s">
        <v>19</v>
      </c>
      <c r="B444" s="7">
        <v>100450</v>
      </c>
      <c r="C444" s="8">
        <v>9.6999999999999989E-2</v>
      </c>
      <c r="D444" s="4" t="s">
        <v>148</v>
      </c>
      <c r="E444" s="4" t="s">
        <v>149</v>
      </c>
    </row>
    <row r="445" spans="1:5" hidden="1" x14ac:dyDescent="0.15">
      <c r="A445" s="6" t="s">
        <v>20</v>
      </c>
      <c r="B445" s="7">
        <v>15602</v>
      </c>
      <c r="C445" s="8">
        <v>1.4999999999999999E-2</v>
      </c>
      <c r="D445" s="4" t="s">
        <v>148</v>
      </c>
      <c r="E445" s="4" t="s">
        <v>149</v>
      </c>
    </row>
    <row r="446" spans="1:5" ht="26" hidden="1" x14ac:dyDescent="0.15">
      <c r="A446" s="6" t="s">
        <v>21</v>
      </c>
      <c r="B446" s="7">
        <v>12984</v>
      </c>
      <c r="C446" s="8">
        <v>1.2E-2</v>
      </c>
      <c r="D446" s="4" t="s">
        <v>148</v>
      </c>
      <c r="E446" s="4" t="s">
        <v>149</v>
      </c>
    </row>
    <row r="447" spans="1:5" ht="26" hidden="1" x14ac:dyDescent="0.15">
      <c r="A447" s="6" t="s">
        <v>22</v>
      </c>
      <c r="B447" s="7">
        <v>14316</v>
      </c>
      <c r="C447" s="8">
        <v>1.3999999999999999E-2</v>
      </c>
      <c r="D447" s="4" t="s">
        <v>148</v>
      </c>
      <c r="E447" s="4" t="s">
        <v>149</v>
      </c>
    </row>
    <row r="448" spans="1:5" ht="26" hidden="1" x14ac:dyDescent="0.15">
      <c r="A448" s="6" t="s">
        <v>23</v>
      </c>
      <c r="B448" s="7">
        <v>17383</v>
      </c>
      <c r="C448" s="8">
        <v>1.7000000000000001E-2</v>
      </c>
      <c r="D448" s="4" t="s">
        <v>148</v>
      </c>
      <c r="E448" s="4" t="s">
        <v>149</v>
      </c>
    </row>
    <row r="449" spans="1:5" ht="26" hidden="1" x14ac:dyDescent="0.15">
      <c r="A449" s="6" t="s">
        <v>24</v>
      </c>
      <c r="B449" s="7">
        <v>4446</v>
      </c>
      <c r="C449" s="8">
        <v>4.0000000000000001E-3</v>
      </c>
      <c r="D449" s="4" t="s">
        <v>148</v>
      </c>
      <c r="E449" s="4" t="s">
        <v>149</v>
      </c>
    </row>
    <row r="450" spans="1:5" ht="26" hidden="1" x14ac:dyDescent="0.15">
      <c r="A450" s="6" t="s">
        <v>25</v>
      </c>
      <c r="B450" s="7">
        <v>51910</v>
      </c>
      <c r="C450" s="8">
        <v>0.05</v>
      </c>
      <c r="D450" s="4" t="s">
        <v>148</v>
      </c>
      <c r="E450" s="4" t="s">
        <v>149</v>
      </c>
    </row>
    <row r="451" spans="1:5" hidden="1" x14ac:dyDescent="0.15">
      <c r="A451" s="6" t="s">
        <v>26</v>
      </c>
      <c r="B451" s="7">
        <v>26300</v>
      </c>
      <c r="C451" s="8">
        <v>2.5000000000000001E-2</v>
      </c>
      <c r="D451" s="4" t="s">
        <v>148</v>
      </c>
      <c r="E451" s="4" t="s">
        <v>149</v>
      </c>
    </row>
    <row r="452" spans="1:5" hidden="1" x14ac:dyDescent="0.15">
      <c r="A452" s="6" t="s">
        <v>27</v>
      </c>
      <c r="B452" s="7">
        <v>102026</v>
      </c>
      <c r="C452" s="8">
        <v>9.8000000000000004E-2</v>
      </c>
      <c r="D452" s="4" t="s">
        <v>148</v>
      </c>
      <c r="E452" s="4" t="s">
        <v>149</v>
      </c>
    </row>
    <row r="453" spans="1:5" hidden="1" x14ac:dyDescent="0.15">
      <c r="A453" s="6" t="s">
        <v>28</v>
      </c>
      <c r="B453" s="7">
        <v>131515</v>
      </c>
      <c r="C453" s="8">
        <v>0.127</v>
      </c>
      <c r="D453" s="4" t="s">
        <v>148</v>
      </c>
      <c r="E453" s="4" t="s">
        <v>149</v>
      </c>
    </row>
    <row r="454" spans="1:5" hidden="1" x14ac:dyDescent="0.15">
      <c r="A454" s="6" t="s">
        <v>29</v>
      </c>
      <c r="B454" s="7">
        <v>269512</v>
      </c>
      <c r="C454" s="8">
        <v>0.25900000000000001</v>
      </c>
      <c r="D454" s="4" t="s">
        <v>148</v>
      </c>
      <c r="E454" s="4" t="s">
        <v>149</v>
      </c>
    </row>
    <row r="455" spans="1:5" hidden="1" x14ac:dyDescent="0.15">
      <c r="A455" s="6" t="s">
        <v>30</v>
      </c>
      <c r="B455" s="7">
        <v>15436</v>
      </c>
      <c r="C455" s="8">
        <v>1.4999999999999999E-2</v>
      </c>
      <c r="D455" s="4" t="s">
        <v>148</v>
      </c>
      <c r="E455" s="4" t="s">
        <v>149</v>
      </c>
    </row>
    <row r="456" spans="1:5" ht="39" hidden="1" x14ac:dyDescent="0.15">
      <c r="A456" s="6" t="s">
        <v>31</v>
      </c>
      <c r="B456" s="7">
        <v>3785</v>
      </c>
      <c r="C456" s="8">
        <v>4.0000000000000001E-3</v>
      </c>
      <c r="D456" s="4" t="s">
        <v>148</v>
      </c>
      <c r="E456" s="4" t="s">
        <v>149</v>
      </c>
    </row>
    <row r="457" spans="1:5" hidden="1" x14ac:dyDescent="0.15">
      <c r="A457" s="6" t="s">
        <v>32</v>
      </c>
      <c r="B457" s="7">
        <v>41039</v>
      </c>
      <c r="C457" s="8">
        <v>3.9E-2</v>
      </c>
      <c r="D457" s="4" t="s">
        <v>148</v>
      </c>
      <c r="E457" s="4" t="s">
        <v>149</v>
      </c>
    </row>
    <row r="458" spans="1:5" hidden="1" x14ac:dyDescent="0.15">
      <c r="A458" s="6" t="s">
        <v>33</v>
      </c>
      <c r="B458" s="7">
        <v>248862</v>
      </c>
      <c r="C458" s="8">
        <v>0.23899999999999999</v>
      </c>
      <c r="D458" s="4" t="s">
        <v>148</v>
      </c>
      <c r="E458" s="4" t="s">
        <v>149</v>
      </c>
    </row>
    <row r="459" spans="1:5" hidden="1" x14ac:dyDescent="0.15">
      <c r="A459" s="6" t="s">
        <v>34</v>
      </c>
      <c r="B459" s="7">
        <v>111357</v>
      </c>
      <c r="C459" s="8">
        <v>0.107</v>
      </c>
      <c r="D459" s="4" t="s">
        <v>148</v>
      </c>
      <c r="E459" s="4" t="s">
        <v>149</v>
      </c>
    </row>
    <row r="460" spans="1:5" hidden="1" x14ac:dyDescent="0.15">
      <c r="A460" s="6" t="s">
        <v>35</v>
      </c>
      <c r="B460" s="7">
        <v>35400</v>
      </c>
      <c r="C460" s="8">
        <v>3.4000000000000002E-2</v>
      </c>
      <c r="D460" s="4" t="s">
        <v>148</v>
      </c>
      <c r="E460" s="4" t="s">
        <v>149</v>
      </c>
    </row>
    <row r="461" spans="1:5" ht="26" hidden="1" x14ac:dyDescent="0.15">
      <c r="A461" s="6" t="s">
        <v>36</v>
      </c>
      <c r="B461" s="7">
        <v>91579</v>
      </c>
      <c r="C461" s="8">
        <v>8.8000000000000009E-2</v>
      </c>
      <c r="D461" s="4" t="s">
        <v>148</v>
      </c>
      <c r="E461" s="4" t="s">
        <v>149</v>
      </c>
    </row>
    <row r="462" spans="1:5" hidden="1" x14ac:dyDescent="0.15">
      <c r="A462" s="6" t="s">
        <v>37</v>
      </c>
      <c r="B462" s="7">
        <v>72053</v>
      </c>
      <c r="C462" s="8">
        <v>6.9000000000000006E-2</v>
      </c>
      <c r="D462" s="4" t="s">
        <v>148</v>
      </c>
      <c r="E462" s="4" t="s">
        <v>149</v>
      </c>
    </row>
    <row r="463" spans="1:5" ht="39" hidden="1" x14ac:dyDescent="0.15">
      <c r="A463" s="6" t="s">
        <v>38</v>
      </c>
      <c r="B463" s="7">
        <v>47835</v>
      </c>
      <c r="C463" s="8">
        <v>4.5999999999999999E-2</v>
      </c>
      <c r="D463" s="4" t="s">
        <v>148</v>
      </c>
      <c r="E463" s="4" t="s">
        <v>149</v>
      </c>
    </row>
    <row r="464" spans="1:5" hidden="1" x14ac:dyDescent="0.15">
      <c r="A464" s="6" t="s">
        <v>39</v>
      </c>
      <c r="B464" s="7">
        <v>70572</v>
      </c>
      <c r="C464" s="8">
        <v>6.8000000000000005E-2</v>
      </c>
      <c r="D464" s="4" t="s">
        <v>148</v>
      </c>
      <c r="E464" s="4" t="s">
        <v>149</v>
      </c>
    </row>
    <row r="465" spans="1:5" hidden="1" x14ac:dyDescent="0.15">
      <c r="A465" s="6" t="s">
        <v>40</v>
      </c>
      <c r="B465" s="7">
        <v>26277</v>
      </c>
      <c r="C465" s="8">
        <v>2.5000000000000001E-2</v>
      </c>
      <c r="D465" s="4" t="s">
        <v>148</v>
      </c>
      <c r="E465" s="4" t="s">
        <v>149</v>
      </c>
    </row>
    <row r="466" spans="1:5" hidden="1" x14ac:dyDescent="0.15">
      <c r="A466" s="6" t="s">
        <v>41</v>
      </c>
      <c r="B466" s="7">
        <v>19587</v>
      </c>
      <c r="C466" s="8">
        <v>1.9E-2</v>
      </c>
      <c r="D466" s="4" t="s">
        <v>148</v>
      </c>
      <c r="E466" s="4" t="s">
        <v>149</v>
      </c>
    </row>
    <row r="467" spans="1:5" hidden="1" x14ac:dyDescent="0.15">
      <c r="A467" s="6" t="s">
        <v>42</v>
      </c>
      <c r="B467" s="7">
        <v>28814</v>
      </c>
      <c r="C467" s="8">
        <v>2.7999999999999997E-2</v>
      </c>
      <c r="D467" s="4" t="s">
        <v>148</v>
      </c>
      <c r="E467" s="4" t="s">
        <v>149</v>
      </c>
    </row>
    <row r="468" spans="1:5" hidden="1" x14ac:dyDescent="0.15">
      <c r="A468" s="6" t="s">
        <v>43</v>
      </c>
      <c r="B468" s="7">
        <v>137420</v>
      </c>
      <c r="C468" s="8">
        <v>0.13200000000000001</v>
      </c>
      <c r="D468" s="4" t="s">
        <v>148</v>
      </c>
      <c r="E468" s="4" t="s">
        <v>149</v>
      </c>
    </row>
    <row r="469" spans="1:5" ht="26" hidden="1" x14ac:dyDescent="0.15">
      <c r="A469" s="6" t="s">
        <v>44</v>
      </c>
      <c r="B469" s="7">
        <v>157722</v>
      </c>
      <c r="C469" s="8">
        <v>0.152</v>
      </c>
      <c r="D469" s="4" t="s">
        <v>148</v>
      </c>
      <c r="E469" s="4" t="s">
        <v>149</v>
      </c>
    </row>
    <row r="470" spans="1:5" hidden="1" x14ac:dyDescent="0.15">
      <c r="A470" s="6" t="s">
        <v>45</v>
      </c>
      <c r="B470" s="7">
        <v>267924</v>
      </c>
      <c r="C470" s="8">
        <v>0.25800000000000001</v>
      </c>
      <c r="D470" s="4" t="s">
        <v>148</v>
      </c>
      <c r="E470" s="4" t="s">
        <v>149</v>
      </c>
    </row>
    <row r="471" spans="1:5" ht="26" hidden="1" x14ac:dyDescent="0.15">
      <c r="A471" s="6" t="s">
        <v>46</v>
      </c>
      <c r="B471" s="7">
        <v>417487</v>
      </c>
      <c r="C471" s="8">
        <v>0.40200000000000002</v>
      </c>
      <c r="D471" s="4" t="s">
        <v>148</v>
      </c>
      <c r="E471" s="4" t="s">
        <v>149</v>
      </c>
    </row>
    <row r="472" spans="1:5" hidden="1" x14ac:dyDescent="0.15">
      <c r="A472" s="6" t="s">
        <v>47</v>
      </c>
      <c r="B472" s="7">
        <v>625212</v>
      </c>
      <c r="C472" s="8">
        <v>0.60099999999999998</v>
      </c>
      <c r="D472" s="4" t="s">
        <v>148</v>
      </c>
      <c r="E472" s="4" t="s">
        <v>149</v>
      </c>
    </row>
    <row r="473" spans="1:5" hidden="1" x14ac:dyDescent="0.15">
      <c r="A473" s="6" t="s">
        <v>48</v>
      </c>
      <c r="B473" s="7">
        <v>85681</v>
      </c>
      <c r="C473" s="8">
        <v>8.199999999999999E-2</v>
      </c>
      <c r="D473" s="4" t="s">
        <v>148</v>
      </c>
      <c r="E473" s="4" t="s">
        <v>149</v>
      </c>
    </row>
    <row r="474" spans="1:5" hidden="1" x14ac:dyDescent="0.15">
      <c r="A474" s="6" t="s">
        <v>49</v>
      </c>
      <c r="B474" s="7">
        <v>107148</v>
      </c>
      <c r="C474" s="8">
        <v>0.10300000000000001</v>
      </c>
      <c r="D474" s="4" t="s">
        <v>148</v>
      </c>
      <c r="E474" s="4" t="s">
        <v>149</v>
      </c>
    </row>
    <row r="475" spans="1:5" ht="26" hidden="1" x14ac:dyDescent="0.15">
      <c r="A475" s="6" t="s">
        <v>50</v>
      </c>
      <c r="B475" s="7">
        <v>203337</v>
      </c>
      <c r="C475" s="8">
        <v>0.19600000000000001</v>
      </c>
      <c r="D475" s="4" t="s">
        <v>148</v>
      </c>
      <c r="E475" s="4" t="s">
        <v>149</v>
      </c>
    </row>
    <row r="476" spans="1:5" hidden="1" x14ac:dyDescent="0.15">
      <c r="A476" s="6" t="s">
        <v>51</v>
      </c>
      <c r="B476" s="7">
        <v>326625</v>
      </c>
      <c r="C476" s="8">
        <v>0.314</v>
      </c>
      <c r="D476" s="4" t="s">
        <v>148</v>
      </c>
      <c r="E476" s="4" t="s">
        <v>149</v>
      </c>
    </row>
    <row r="477" spans="1:5" hidden="1" x14ac:dyDescent="0.15">
      <c r="A477" s="6" t="s">
        <v>52</v>
      </c>
      <c r="B477" s="7">
        <v>141582</v>
      </c>
      <c r="C477" s="8">
        <v>0.13600000000000001</v>
      </c>
      <c r="D477" s="4" t="s">
        <v>148</v>
      </c>
      <c r="E477" s="4" t="s">
        <v>149</v>
      </c>
    </row>
    <row r="478" spans="1:5" ht="26" hidden="1" x14ac:dyDescent="0.15">
      <c r="A478" s="6" t="s">
        <v>53</v>
      </c>
      <c r="B478" s="7">
        <v>112290</v>
      </c>
      <c r="C478" s="8">
        <v>0.10800000000000001</v>
      </c>
      <c r="D478" s="4" t="s">
        <v>148</v>
      </c>
      <c r="E478" s="4" t="s">
        <v>149</v>
      </c>
    </row>
    <row r="479" spans="1:5" hidden="1" x14ac:dyDescent="0.15">
      <c r="A479" s="6" t="s">
        <v>54</v>
      </c>
      <c r="B479" s="7">
        <v>378546</v>
      </c>
      <c r="C479" s="8">
        <v>0.36399999999999999</v>
      </c>
      <c r="D479" s="4" t="s">
        <v>148</v>
      </c>
      <c r="E479" s="4" t="s">
        <v>149</v>
      </c>
    </row>
    <row r="480" spans="1:5" ht="26" hidden="1" x14ac:dyDescent="0.15">
      <c r="A480" s="6" t="s">
        <v>55</v>
      </c>
      <c r="B480" s="7">
        <v>385997</v>
      </c>
      <c r="C480" s="8">
        <v>0.371</v>
      </c>
      <c r="D480" s="4" t="s">
        <v>148</v>
      </c>
      <c r="E480" s="4" t="s">
        <v>149</v>
      </c>
    </row>
    <row r="481" spans="1:5" hidden="1" x14ac:dyDescent="0.15">
      <c r="A481" s="6" t="s">
        <v>56</v>
      </c>
      <c r="B481" s="7">
        <v>288015</v>
      </c>
      <c r="C481" s="8">
        <v>0.27699999999999997</v>
      </c>
      <c r="D481" s="4" t="s">
        <v>148</v>
      </c>
      <c r="E481" s="4" t="s">
        <v>149</v>
      </c>
    </row>
    <row r="482" spans="1:5" hidden="1" x14ac:dyDescent="0.15">
      <c r="A482" s="6" t="s">
        <v>57</v>
      </c>
      <c r="B482" s="7">
        <v>166733</v>
      </c>
      <c r="C482" s="8">
        <v>0.16</v>
      </c>
      <c r="D482" s="4" t="s">
        <v>148</v>
      </c>
      <c r="E482" s="4" t="s">
        <v>149</v>
      </c>
    </row>
    <row r="483" spans="1:5" hidden="1" x14ac:dyDescent="0.15">
      <c r="A483" s="6" t="s">
        <v>58</v>
      </c>
      <c r="B483" s="7">
        <v>136308</v>
      </c>
      <c r="C483" s="8">
        <v>0.13100000000000001</v>
      </c>
      <c r="D483" s="4" t="s">
        <v>148</v>
      </c>
      <c r="E483" s="4" t="s">
        <v>149</v>
      </c>
    </row>
    <row r="484" spans="1:5" hidden="1" x14ac:dyDescent="0.15">
      <c r="A484" s="6" t="s">
        <v>59</v>
      </c>
      <c r="B484" s="7">
        <v>432330</v>
      </c>
      <c r="C484" s="8">
        <v>0.41600000000000004</v>
      </c>
      <c r="D484" s="4" t="s">
        <v>148</v>
      </c>
      <c r="E484" s="4" t="s">
        <v>149</v>
      </c>
    </row>
    <row r="485" spans="1:5" hidden="1" x14ac:dyDescent="0.15">
      <c r="A485" s="6" t="s">
        <v>60</v>
      </c>
      <c r="B485" s="7">
        <v>151788</v>
      </c>
      <c r="C485" s="8">
        <v>0.14599999999999999</v>
      </c>
      <c r="D485" s="4" t="s">
        <v>148</v>
      </c>
      <c r="E485" s="4" t="s">
        <v>149</v>
      </c>
    </row>
    <row r="486" spans="1:5" ht="26" hidden="1" x14ac:dyDescent="0.15">
      <c r="A486" s="6" t="s">
        <v>61</v>
      </c>
      <c r="B486" s="7">
        <v>127996</v>
      </c>
      <c r="C486" s="8">
        <v>0.12300000000000001</v>
      </c>
      <c r="D486" s="4" t="s">
        <v>148</v>
      </c>
      <c r="E486" s="4" t="s">
        <v>149</v>
      </c>
    </row>
    <row r="487" spans="1:5" hidden="1" x14ac:dyDescent="0.15">
      <c r="A487" s="6" t="s">
        <v>62</v>
      </c>
      <c r="B487" s="7">
        <v>86533</v>
      </c>
      <c r="C487" s="8">
        <v>8.3000000000000004E-2</v>
      </c>
      <c r="D487" s="4" t="s">
        <v>148</v>
      </c>
      <c r="E487" s="4" t="s">
        <v>149</v>
      </c>
    </row>
    <row r="488" spans="1:5" ht="26" hidden="1" x14ac:dyDescent="0.15">
      <c r="A488" s="6" t="s">
        <v>63</v>
      </c>
      <c r="B488" s="7">
        <v>193281</v>
      </c>
      <c r="C488" s="8">
        <v>0.18600000000000003</v>
      </c>
      <c r="D488" s="4" t="s">
        <v>148</v>
      </c>
      <c r="E488" s="4" t="s">
        <v>149</v>
      </c>
    </row>
    <row r="489" spans="1:5" ht="26" hidden="1" x14ac:dyDescent="0.15">
      <c r="A489" s="6" t="s">
        <v>64</v>
      </c>
      <c r="B489" s="7">
        <v>67779</v>
      </c>
      <c r="C489" s="8">
        <v>6.5000000000000002E-2</v>
      </c>
      <c r="D489" s="4" t="s">
        <v>148</v>
      </c>
      <c r="E489" s="4" t="s">
        <v>149</v>
      </c>
    </row>
    <row r="490" spans="1:5" hidden="1" x14ac:dyDescent="0.15">
      <c r="A490" s="6" t="s">
        <v>65</v>
      </c>
      <c r="B490" s="7">
        <v>208149</v>
      </c>
      <c r="C490" s="8">
        <v>0.2</v>
      </c>
      <c r="D490" s="4" t="s">
        <v>148</v>
      </c>
      <c r="E490" s="4" t="s">
        <v>149</v>
      </c>
    </row>
    <row r="491" spans="1:5" hidden="1" x14ac:dyDescent="0.15">
      <c r="A491" s="6" t="s">
        <v>66</v>
      </c>
      <c r="B491" s="7">
        <v>129423</v>
      </c>
      <c r="C491" s="8">
        <v>0.124</v>
      </c>
      <c r="D491" s="4" t="s">
        <v>148</v>
      </c>
      <c r="E491" s="4" t="s">
        <v>149</v>
      </c>
    </row>
    <row r="492" spans="1:5" hidden="1" x14ac:dyDescent="0.15">
      <c r="A492" s="6" t="s">
        <v>67</v>
      </c>
      <c r="B492" s="7">
        <v>308353</v>
      </c>
      <c r="C492" s="8">
        <v>0.29699999999999999</v>
      </c>
      <c r="D492" s="4" t="s">
        <v>148</v>
      </c>
      <c r="E492" s="4" t="s">
        <v>149</v>
      </c>
    </row>
    <row r="493" spans="1:5" hidden="1" x14ac:dyDescent="0.15">
      <c r="A493" s="6" t="s">
        <v>68</v>
      </c>
      <c r="B493" s="7">
        <v>444261</v>
      </c>
      <c r="C493" s="8">
        <v>0.42700000000000005</v>
      </c>
      <c r="D493" s="4" t="s">
        <v>148</v>
      </c>
      <c r="E493" s="4" t="s">
        <v>149</v>
      </c>
    </row>
    <row r="494" spans="1:5" hidden="1" x14ac:dyDescent="0.15">
      <c r="A494" s="6" t="s">
        <v>69</v>
      </c>
      <c r="B494" s="7">
        <v>601661</v>
      </c>
      <c r="C494" s="8">
        <v>0.57899999999999996</v>
      </c>
      <c r="D494" s="4" t="s">
        <v>148</v>
      </c>
      <c r="E494" s="4" t="s">
        <v>149</v>
      </c>
    </row>
    <row r="495" spans="1:5" hidden="1" x14ac:dyDescent="0.15">
      <c r="A495" s="6" t="s">
        <v>70</v>
      </c>
      <c r="B495" s="7">
        <v>147905</v>
      </c>
      <c r="C495" s="8">
        <v>0.14199999999999999</v>
      </c>
      <c r="D495" s="4" t="s">
        <v>148</v>
      </c>
      <c r="E495" s="4" t="s">
        <v>149</v>
      </c>
    </row>
    <row r="496" spans="1:5" ht="26" hidden="1" x14ac:dyDescent="0.15">
      <c r="A496" s="6" t="s">
        <v>71</v>
      </c>
      <c r="B496" s="7">
        <v>92436</v>
      </c>
      <c r="C496" s="8">
        <v>8.900000000000001E-2</v>
      </c>
      <c r="D496" s="4" t="s">
        <v>148</v>
      </c>
      <c r="E496" s="4" t="s">
        <v>149</v>
      </c>
    </row>
    <row r="497" spans="1:5" hidden="1" x14ac:dyDescent="0.15">
      <c r="A497" s="6" t="s">
        <v>72</v>
      </c>
      <c r="B497" s="7">
        <v>156355</v>
      </c>
      <c r="C497" s="8">
        <v>0.15</v>
      </c>
      <c r="D497" s="4" t="s">
        <v>148</v>
      </c>
      <c r="E497" s="4" t="s">
        <v>149</v>
      </c>
    </row>
    <row r="498" spans="1:5" hidden="1" x14ac:dyDescent="0.15">
      <c r="A498" s="6" t="s">
        <v>73</v>
      </c>
      <c r="B498" s="7">
        <v>608920</v>
      </c>
      <c r="C498" s="8">
        <v>0.58599999999999997</v>
      </c>
      <c r="D498" s="4" t="s">
        <v>148</v>
      </c>
      <c r="E498" s="4" t="s">
        <v>149</v>
      </c>
    </row>
    <row r="499" spans="1:5" hidden="1" x14ac:dyDescent="0.15">
      <c r="A499" s="6" t="s">
        <v>74</v>
      </c>
      <c r="B499" s="7">
        <v>277773</v>
      </c>
      <c r="C499" s="8">
        <v>0.26700000000000002</v>
      </c>
      <c r="D499" s="4" t="s">
        <v>148</v>
      </c>
      <c r="E499" s="4" t="s">
        <v>149</v>
      </c>
    </row>
    <row r="500" spans="1:5" hidden="1" x14ac:dyDescent="0.15">
      <c r="A500" s="6" t="s">
        <v>75</v>
      </c>
      <c r="B500" s="7">
        <v>199770</v>
      </c>
      <c r="C500" s="8">
        <v>0.192</v>
      </c>
      <c r="D500" s="4" t="s">
        <v>148</v>
      </c>
      <c r="E500" s="4" t="s">
        <v>149</v>
      </c>
    </row>
    <row r="501" spans="1:5" hidden="1" x14ac:dyDescent="0.15">
      <c r="A501" s="6" t="s">
        <v>76</v>
      </c>
      <c r="B501" s="7">
        <v>299262</v>
      </c>
      <c r="C501" s="8">
        <v>0.28800000000000003</v>
      </c>
      <c r="D501" s="4" t="s">
        <v>148</v>
      </c>
      <c r="E501" s="4" t="s">
        <v>149</v>
      </c>
    </row>
    <row r="502" spans="1:5" hidden="1" x14ac:dyDescent="0.15">
      <c r="A502" s="6" t="s">
        <v>77</v>
      </c>
      <c r="B502" s="7">
        <v>265934</v>
      </c>
      <c r="C502" s="8">
        <v>0.25600000000000001</v>
      </c>
      <c r="D502" s="4" t="s">
        <v>148</v>
      </c>
      <c r="E502" s="4" t="s">
        <v>149</v>
      </c>
    </row>
    <row r="503" spans="1:5" ht="26" hidden="1" x14ac:dyDescent="0.15">
      <c r="A503" s="6" t="s">
        <v>78</v>
      </c>
      <c r="B503" s="7">
        <v>163777</v>
      </c>
      <c r="C503" s="8">
        <v>0.158</v>
      </c>
      <c r="D503" s="4" t="s">
        <v>148</v>
      </c>
      <c r="E503" s="4" t="s">
        <v>149</v>
      </c>
    </row>
    <row r="504" spans="1:5" hidden="1" x14ac:dyDescent="0.15">
      <c r="A504" s="6" t="s">
        <v>79</v>
      </c>
      <c r="B504" s="7">
        <v>235776</v>
      </c>
      <c r="C504" s="8">
        <v>0.22699999999999998</v>
      </c>
      <c r="D504" s="4" t="s">
        <v>148</v>
      </c>
      <c r="E504" s="4" t="s">
        <v>149</v>
      </c>
    </row>
    <row r="505" spans="1:5" hidden="1" x14ac:dyDescent="0.15">
      <c r="A505" s="6" t="s">
        <v>80</v>
      </c>
      <c r="B505" s="7">
        <v>180035</v>
      </c>
      <c r="C505" s="8">
        <v>0.17300000000000001</v>
      </c>
      <c r="D505" s="4" t="s">
        <v>148</v>
      </c>
      <c r="E505" s="4" t="s">
        <v>149</v>
      </c>
    </row>
    <row r="506" spans="1:5" ht="26" hidden="1" x14ac:dyDescent="0.15">
      <c r="A506" s="6" t="s">
        <v>81</v>
      </c>
      <c r="B506" s="7">
        <v>126221</v>
      </c>
      <c r="C506" s="8">
        <v>0.121</v>
      </c>
      <c r="D506" s="4" t="s">
        <v>148</v>
      </c>
      <c r="E506" s="4" t="s">
        <v>149</v>
      </c>
    </row>
    <row r="507" spans="1:5" hidden="1" x14ac:dyDescent="0.15">
      <c r="A507" s="6" t="s">
        <v>82</v>
      </c>
      <c r="B507" s="7">
        <v>104280</v>
      </c>
      <c r="C507" s="8">
        <v>0.1</v>
      </c>
      <c r="D507" s="4" t="s">
        <v>148</v>
      </c>
      <c r="E507" s="4" t="s">
        <v>149</v>
      </c>
    </row>
    <row r="508" spans="1:5" hidden="1" x14ac:dyDescent="0.15">
      <c r="A508" s="9"/>
      <c r="B508" s="9"/>
      <c r="C508" s="9"/>
      <c r="D508" s="4" t="s">
        <v>148</v>
      </c>
      <c r="E508" s="4" t="s">
        <v>149</v>
      </c>
    </row>
    <row r="509" spans="1:5" hidden="1" x14ac:dyDescent="0.15">
      <c r="A509" s="10"/>
      <c r="B509" s="10"/>
      <c r="C509" s="10"/>
      <c r="D509" s="4" t="s">
        <v>148</v>
      </c>
      <c r="E509" s="4" t="s">
        <v>149</v>
      </c>
    </row>
    <row r="510" spans="1:5" ht="26" hidden="1" x14ac:dyDescent="0.15">
      <c r="A510" s="6" t="s">
        <v>150</v>
      </c>
      <c r="B510" s="7">
        <v>418177</v>
      </c>
      <c r="C510" s="8">
        <v>0.40200000000000002</v>
      </c>
      <c r="D510" s="4" t="s">
        <v>148</v>
      </c>
      <c r="E510" s="4" t="s">
        <v>149</v>
      </c>
    </row>
    <row r="511" spans="1:5" hidden="1" x14ac:dyDescent="0.15">
      <c r="A511" s="9"/>
      <c r="B511" s="9"/>
      <c r="C511" s="9"/>
      <c r="D511" s="4" t="s">
        <v>148</v>
      </c>
      <c r="E511" s="4" t="s">
        <v>149</v>
      </c>
    </row>
    <row r="512" spans="1:5" hidden="1" x14ac:dyDescent="0.15">
      <c r="A512" s="10"/>
      <c r="B512" s="10"/>
      <c r="C512" s="10"/>
      <c r="D512" s="4" t="s">
        <v>148</v>
      </c>
      <c r="E512" s="4" t="s">
        <v>149</v>
      </c>
    </row>
    <row r="513" spans="1:5" ht="26" hidden="1" x14ac:dyDescent="0.15">
      <c r="A513" s="6" t="s">
        <v>151</v>
      </c>
      <c r="B513" s="7">
        <v>288363</v>
      </c>
      <c r="C513" s="8">
        <v>0.27699999999999997</v>
      </c>
      <c r="D513" s="4" t="s">
        <v>148</v>
      </c>
      <c r="E513" s="4" t="s">
        <v>149</v>
      </c>
    </row>
    <row r="514" spans="1:5" ht="26" hidden="1" x14ac:dyDescent="0.15">
      <c r="A514" s="6" t="s">
        <v>152</v>
      </c>
      <c r="B514" s="7">
        <v>442938</v>
      </c>
      <c r="C514" s="8">
        <v>0.42599999999999999</v>
      </c>
      <c r="D514" s="4" t="s">
        <v>148</v>
      </c>
      <c r="E514" s="4" t="s">
        <v>149</v>
      </c>
    </row>
    <row r="515" spans="1:5" ht="26" hidden="1" x14ac:dyDescent="0.15">
      <c r="A515" s="6" t="s">
        <v>153</v>
      </c>
      <c r="B515" s="7">
        <v>279017</v>
      </c>
      <c r="C515" s="8">
        <v>0.26800000000000002</v>
      </c>
      <c r="D515" s="4" t="s">
        <v>148</v>
      </c>
      <c r="E515" s="4" t="s">
        <v>149</v>
      </c>
    </row>
    <row r="516" spans="1:5" ht="26" hidden="1" x14ac:dyDescent="0.15">
      <c r="A516" s="6" t="s">
        <v>154</v>
      </c>
      <c r="B516" s="7">
        <v>462366</v>
      </c>
      <c r="C516" s="8">
        <v>0.44500000000000001</v>
      </c>
      <c r="D516" s="4" t="s">
        <v>148</v>
      </c>
      <c r="E516" s="4" t="s">
        <v>149</v>
      </c>
    </row>
    <row r="517" spans="1:5" hidden="1" x14ac:dyDescent="0.15">
      <c r="A517" s="6" t="s">
        <v>0</v>
      </c>
      <c r="B517" s="7">
        <v>903496</v>
      </c>
      <c r="C517" s="8">
        <v>1</v>
      </c>
      <c r="D517" s="4" t="s">
        <v>155</v>
      </c>
      <c r="E517" s="4" t="s">
        <v>156</v>
      </c>
    </row>
    <row r="518" spans="1:5" ht="26" hidden="1" x14ac:dyDescent="0.15">
      <c r="A518" s="6" t="s">
        <v>3</v>
      </c>
      <c r="B518" s="7">
        <v>8651</v>
      </c>
      <c r="C518" s="8">
        <v>0.01</v>
      </c>
      <c r="D518" s="4" t="s">
        <v>155</v>
      </c>
      <c r="E518" s="4" t="s">
        <v>156</v>
      </c>
    </row>
    <row r="519" spans="1:5" hidden="1" x14ac:dyDescent="0.15">
      <c r="A519" s="6" t="s">
        <v>4</v>
      </c>
      <c r="B519" s="7">
        <v>6590</v>
      </c>
      <c r="C519" s="8">
        <v>6.9999999999999993E-3</v>
      </c>
      <c r="D519" s="4" t="s">
        <v>155</v>
      </c>
      <c r="E519" s="4" t="s">
        <v>156</v>
      </c>
    </row>
    <row r="520" spans="1:5" ht="26" hidden="1" x14ac:dyDescent="0.15">
      <c r="A520" s="6" t="s">
        <v>5</v>
      </c>
      <c r="B520" s="7">
        <v>43149</v>
      </c>
      <c r="C520" s="8">
        <v>4.8000000000000001E-2</v>
      </c>
      <c r="D520" s="4" t="s">
        <v>155</v>
      </c>
      <c r="E520" s="4" t="s">
        <v>156</v>
      </c>
    </row>
    <row r="521" spans="1:5" ht="26" hidden="1" x14ac:dyDescent="0.15">
      <c r="A521" s="6" t="s">
        <v>6</v>
      </c>
      <c r="B521" s="7">
        <v>143626</v>
      </c>
      <c r="C521" s="8">
        <v>0.159</v>
      </c>
      <c r="D521" s="4" t="s">
        <v>155</v>
      </c>
      <c r="E521" s="4" t="s">
        <v>156</v>
      </c>
    </row>
    <row r="522" spans="1:5" ht="26" hidden="1" x14ac:dyDescent="0.15">
      <c r="A522" s="6" t="s">
        <v>7</v>
      </c>
      <c r="B522" s="7">
        <v>171282</v>
      </c>
      <c r="C522" s="8">
        <v>0.19</v>
      </c>
      <c r="D522" s="4" t="s">
        <v>155</v>
      </c>
      <c r="E522" s="4" t="s">
        <v>156</v>
      </c>
    </row>
    <row r="523" spans="1:5" ht="26" hidden="1" x14ac:dyDescent="0.15">
      <c r="A523" s="6" t="s">
        <v>8</v>
      </c>
      <c r="B523" s="7">
        <v>11311</v>
      </c>
      <c r="C523" s="8">
        <v>1.3000000000000001E-2</v>
      </c>
      <c r="D523" s="4" t="s">
        <v>155</v>
      </c>
      <c r="E523" s="4" t="s">
        <v>156</v>
      </c>
    </row>
    <row r="524" spans="1:5" ht="26" hidden="1" x14ac:dyDescent="0.15">
      <c r="A524" s="6" t="s">
        <v>9</v>
      </c>
      <c r="B524" s="7">
        <v>32885</v>
      </c>
      <c r="C524" s="8">
        <v>3.6000000000000004E-2</v>
      </c>
      <c r="D524" s="4" t="s">
        <v>155</v>
      </c>
      <c r="E524" s="4" t="s">
        <v>156</v>
      </c>
    </row>
    <row r="525" spans="1:5" ht="26" hidden="1" x14ac:dyDescent="0.15">
      <c r="A525" s="6" t="s">
        <v>10</v>
      </c>
      <c r="B525" s="7">
        <v>17476</v>
      </c>
      <c r="C525" s="8">
        <v>1.9E-2</v>
      </c>
      <c r="D525" s="4" t="s">
        <v>155</v>
      </c>
      <c r="E525" s="4" t="s">
        <v>156</v>
      </c>
    </row>
    <row r="526" spans="1:5" ht="26" hidden="1" x14ac:dyDescent="0.15">
      <c r="A526" s="6" t="s">
        <v>11</v>
      </c>
      <c r="B526" s="7">
        <v>67167</v>
      </c>
      <c r="C526" s="8">
        <v>7.400000000000001E-2</v>
      </c>
      <c r="D526" s="4" t="s">
        <v>155</v>
      </c>
      <c r="E526" s="4" t="s">
        <v>156</v>
      </c>
    </row>
    <row r="527" spans="1:5" hidden="1" x14ac:dyDescent="0.15">
      <c r="A527" s="6" t="s">
        <v>12</v>
      </c>
      <c r="B527" s="7">
        <v>17920</v>
      </c>
      <c r="C527" s="8">
        <v>0.02</v>
      </c>
      <c r="D527" s="4" t="s">
        <v>155</v>
      </c>
      <c r="E527" s="4" t="s">
        <v>156</v>
      </c>
    </row>
    <row r="528" spans="1:5" ht="26" hidden="1" x14ac:dyDescent="0.15">
      <c r="A528" s="6" t="s">
        <v>13</v>
      </c>
      <c r="B528" s="7">
        <v>5880</v>
      </c>
      <c r="C528" s="8">
        <v>6.9999999999999993E-3</v>
      </c>
      <c r="D528" s="4" t="s">
        <v>155</v>
      </c>
      <c r="E528" s="4" t="s">
        <v>156</v>
      </c>
    </row>
    <row r="529" spans="1:5" hidden="1" x14ac:dyDescent="0.15">
      <c r="A529" s="6" t="s">
        <v>14</v>
      </c>
      <c r="B529" s="7">
        <v>78558</v>
      </c>
      <c r="C529" s="8">
        <v>8.6999999999999994E-2</v>
      </c>
      <c r="D529" s="4" t="s">
        <v>155</v>
      </c>
      <c r="E529" s="4" t="s">
        <v>156</v>
      </c>
    </row>
    <row r="530" spans="1:5" ht="26" hidden="1" x14ac:dyDescent="0.15">
      <c r="A530" s="6" t="s">
        <v>15</v>
      </c>
      <c r="B530" s="7">
        <v>39099</v>
      </c>
      <c r="C530" s="8">
        <v>4.2999999999999997E-2</v>
      </c>
      <c r="D530" s="4" t="s">
        <v>155</v>
      </c>
      <c r="E530" s="4" t="s">
        <v>156</v>
      </c>
    </row>
    <row r="531" spans="1:5" hidden="1" x14ac:dyDescent="0.15">
      <c r="A531" s="6" t="s">
        <v>16</v>
      </c>
      <c r="B531" s="7">
        <v>41280</v>
      </c>
      <c r="C531" s="8">
        <v>4.5999999999999999E-2</v>
      </c>
      <c r="D531" s="4" t="s">
        <v>155</v>
      </c>
      <c r="E531" s="4" t="s">
        <v>156</v>
      </c>
    </row>
    <row r="532" spans="1:5" ht="26" hidden="1" x14ac:dyDescent="0.15">
      <c r="A532" s="6" t="s">
        <v>17</v>
      </c>
      <c r="B532" s="7">
        <v>19629</v>
      </c>
      <c r="C532" s="8">
        <v>2.2000000000000002E-2</v>
      </c>
      <c r="D532" s="4" t="s">
        <v>155</v>
      </c>
      <c r="E532" s="4" t="s">
        <v>156</v>
      </c>
    </row>
    <row r="533" spans="1:5" hidden="1" x14ac:dyDescent="0.15">
      <c r="A533" s="6" t="s">
        <v>18</v>
      </c>
      <c r="B533" s="7">
        <v>22720</v>
      </c>
      <c r="C533" s="8">
        <v>2.5000000000000001E-2</v>
      </c>
      <c r="D533" s="4" t="s">
        <v>155</v>
      </c>
      <c r="E533" s="4" t="s">
        <v>156</v>
      </c>
    </row>
    <row r="534" spans="1:5" hidden="1" x14ac:dyDescent="0.15">
      <c r="A534" s="6" t="s">
        <v>19</v>
      </c>
      <c r="B534" s="7">
        <v>89808</v>
      </c>
      <c r="C534" s="8">
        <v>9.9000000000000005E-2</v>
      </c>
      <c r="D534" s="4" t="s">
        <v>155</v>
      </c>
      <c r="E534" s="4" t="s">
        <v>156</v>
      </c>
    </row>
    <row r="535" spans="1:5" hidden="1" x14ac:dyDescent="0.15">
      <c r="A535" s="6" t="s">
        <v>20</v>
      </c>
      <c r="B535" s="7">
        <v>31284</v>
      </c>
      <c r="C535" s="8">
        <v>3.5000000000000003E-2</v>
      </c>
      <c r="D535" s="4" t="s">
        <v>155</v>
      </c>
      <c r="E535" s="4" t="s">
        <v>156</v>
      </c>
    </row>
    <row r="536" spans="1:5" ht="26" hidden="1" x14ac:dyDescent="0.15">
      <c r="A536" s="6" t="s">
        <v>21</v>
      </c>
      <c r="B536" s="7">
        <v>29056</v>
      </c>
      <c r="C536" s="8">
        <v>3.2000000000000001E-2</v>
      </c>
      <c r="D536" s="4" t="s">
        <v>155</v>
      </c>
      <c r="E536" s="4" t="s">
        <v>156</v>
      </c>
    </row>
    <row r="537" spans="1:5" ht="26" hidden="1" x14ac:dyDescent="0.15">
      <c r="A537" s="6" t="s">
        <v>22</v>
      </c>
      <c r="B537" s="7">
        <v>26279</v>
      </c>
      <c r="C537" s="8">
        <v>2.8999999999999998E-2</v>
      </c>
      <c r="D537" s="4" t="s">
        <v>155</v>
      </c>
      <c r="E537" s="4" t="s">
        <v>156</v>
      </c>
    </row>
    <row r="538" spans="1:5" ht="26" hidden="1" x14ac:dyDescent="0.15">
      <c r="A538" s="6" t="s">
        <v>23</v>
      </c>
      <c r="B538" s="7">
        <v>16105</v>
      </c>
      <c r="C538" s="8">
        <v>1.8000000000000002E-2</v>
      </c>
      <c r="D538" s="4" t="s">
        <v>155</v>
      </c>
      <c r="E538" s="4" t="s">
        <v>156</v>
      </c>
    </row>
    <row r="539" spans="1:5" ht="26" hidden="1" x14ac:dyDescent="0.15">
      <c r="A539" s="6" t="s">
        <v>24</v>
      </c>
      <c r="B539" s="7">
        <v>2161</v>
      </c>
      <c r="C539" s="8">
        <v>2E-3</v>
      </c>
      <c r="D539" s="4" t="s">
        <v>155</v>
      </c>
      <c r="E539" s="4" t="s">
        <v>156</v>
      </c>
    </row>
    <row r="540" spans="1:5" ht="26" hidden="1" x14ac:dyDescent="0.15">
      <c r="A540" s="6" t="s">
        <v>25</v>
      </c>
      <c r="B540" s="7">
        <v>19506</v>
      </c>
      <c r="C540" s="8">
        <v>2.2000000000000002E-2</v>
      </c>
      <c r="D540" s="4" t="s">
        <v>155</v>
      </c>
      <c r="E540" s="4" t="s">
        <v>156</v>
      </c>
    </row>
    <row r="541" spans="1:5" hidden="1" x14ac:dyDescent="0.15">
      <c r="A541" s="6" t="s">
        <v>26</v>
      </c>
      <c r="B541" s="7">
        <v>8640</v>
      </c>
      <c r="C541" s="8">
        <v>0.01</v>
      </c>
      <c r="D541" s="4" t="s">
        <v>155</v>
      </c>
      <c r="E541" s="4" t="s">
        <v>156</v>
      </c>
    </row>
    <row r="542" spans="1:5" hidden="1" x14ac:dyDescent="0.15">
      <c r="A542" s="6" t="s">
        <v>27</v>
      </c>
      <c r="B542" s="7">
        <v>62933</v>
      </c>
      <c r="C542" s="8">
        <v>7.0000000000000007E-2</v>
      </c>
      <c r="D542" s="4" t="s">
        <v>155</v>
      </c>
      <c r="E542" s="4" t="s">
        <v>156</v>
      </c>
    </row>
    <row r="543" spans="1:5" hidden="1" x14ac:dyDescent="0.15">
      <c r="A543" s="6" t="s">
        <v>28</v>
      </c>
      <c r="B543" s="7">
        <v>74102</v>
      </c>
      <c r="C543" s="8">
        <v>8.199999999999999E-2</v>
      </c>
      <c r="D543" s="4" t="s">
        <v>155</v>
      </c>
      <c r="E543" s="4" t="s">
        <v>156</v>
      </c>
    </row>
    <row r="544" spans="1:5" hidden="1" x14ac:dyDescent="0.15">
      <c r="A544" s="6" t="s">
        <v>29</v>
      </c>
      <c r="B544" s="7">
        <v>216569</v>
      </c>
      <c r="C544" s="8">
        <v>0.24</v>
      </c>
      <c r="D544" s="4" t="s">
        <v>155</v>
      </c>
      <c r="E544" s="4" t="s">
        <v>156</v>
      </c>
    </row>
    <row r="545" spans="1:5" hidden="1" x14ac:dyDescent="0.15">
      <c r="A545" s="6" t="s">
        <v>30</v>
      </c>
      <c r="B545" s="7">
        <v>30601</v>
      </c>
      <c r="C545" s="8">
        <v>3.4000000000000002E-2</v>
      </c>
      <c r="D545" s="4" t="s">
        <v>155</v>
      </c>
      <c r="E545" s="4" t="s">
        <v>156</v>
      </c>
    </row>
    <row r="546" spans="1:5" ht="39" hidden="1" x14ac:dyDescent="0.15">
      <c r="A546" s="6" t="s">
        <v>31</v>
      </c>
      <c r="B546" s="7">
        <v>4994</v>
      </c>
      <c r="C546" s="8">
        <v>6.0000000000000001E-3</v>
      </c>
      <c r="D546" s="4" t="s">
        <v>155</v>
      </c>
      <c r="E546" s="4" t="s">
        <v>156</v>
      </c>
    </row>
    <row r="547" spans="1:5" hidden="1" x14ac:dyDescent="0.15">
      <c r="A547" s="6" t="s">
        <v>32</v>
      </c>
      <c r="B547" s="7">
        <v>36792</v>
      </c>
      <c r="C547" s="8">
        <v>4.0999999999999995E-2</v>
      </c>
      <c r="D547" s="4" t="s">
        <v>155</v>
      </c>
      <c r="E547" s="4" t="s">
        <v>156</v>
      </c>
    </row>
    <row r="548" spans="1:5" hidden="1" x14ac:dyDescent="0.15">
      <c r="A548" s="6" t="s">
        <v>33</v>
      </c>
      <c r="B548" s="7">
        <v>251058</v>
      </c>
      <c r="C548" s="8">
        <v>0.27800000000000002</v>
      </c>
      <c r="D548" s="4" t="s">
        <v>155</v>
      </c>
      <c r="E548" s="4" t="s">
        <v>156</v>
      </c>
    </row>
    <row r="549" spans="1:5" hidden="1" x14ac:dyDescent="0.15">
      <c r="A549" s="6" t="s">
        <v>34</v>
      </c>
      <c r="B549" s="7">
        <v>62359</v>
      </c>
      <c r="C549" s="8">
        <v>6.9000000000000006E-2</v>
      </c>
      <c r="D549" s="4" t="s">
        <v>155</v>
      </c>
      <c r="E549" s="4" t="s">
        <v>156</v>
      </c>
    </row>
    <row r="550" spans="1:5" hidden="1" x14ac:dyDescent="0.15">
      <c r="A550" s="6" t="s">
        <v>35</v>
      </c>
      <c r="B550" s="7">
        <v>57700</v>
      </c>
      <c r="C550" s="8">
        <v>6.4000000000000001E-2</v>
      </c>
      <c r="D550" s="4" t="s">
        <v>155</v>
      </c>
      <c r="E550" s="4" t="s">
        <v>156</v>
      </c>
    </row>
    <row r="551" spans="1:5" ht="26" hidden="1" x14ac:dyDescent="0.15">
      <c r="A551" s="6" t="s">
        <v>36</v>
      </c>
      <c r="B551" s="7">
        <v>33174</v>
      </c>
      <c r="C551" s="8">
        <v>3.7000000000000005E-2</v>
      </c>
      <c r="D551" s="4" t="s">
        <v>155</v>
      </c>
      <c r="E551" s="4" t="s">
        <v>156</v>
      </c>
    </row>
    <row r="552" spans="1:5" hidden="1" x14ac:dyDescent="0.15">
      <c r="A552" s="6" t="s">
        <v>37</v>
      </c>
      <c r="B552" s="7">
        <v>32312</v>
      </c>
      <c r="C552" s="8">
        <v>3.6000000000000004E-2</v>
      </c>
      <c r="D552" s="4" t="s">
        <v>155</v>
      </c>
      <c r="E552" s="4" t="s">
        <v>156</v>
      </c>
    </row>
    <row r="553" spans="1:5" ht="39" hidden="1" x14ac:dyDescent="0.15">
      <c r="A553" s="6" t="s">
        <v>38</v>
      </c>
      <c r="B553" s="7">
        <v>10107</v>
      </c>
      <c r="C553" s="8">
        <v>1.1000000000000001E-2</v>
      </c>
      <c r="D553" s="4" t="s">
        <v>155</v>
      </c>
      <c r="E553" s="4" t="s">
        <v>156</v>
      </c>
    </row>
    <row r="554" spans="1:5" hidden="1" x14ac:dyDescent="0.15">
      <c r="A554" s="6" t="s">
        <v>39</v>
      </c>
      <c r="B554" s="7">
        <v>46483</v>
      </c>
      <c r="C554" s="8">
        <v>5.0999999999999997E-2</v>
      </c>
      <c r="D554" s="4" t="s">
        <v>155</v>
      </c>
      <c r="E554" s="4" t="s">
        <v>156</v>
      </c>
    </row>
    <row r="555" spans="1:5" hidden="1" x14ac:dyDescent="0.15">
      <c r="A555" s="6" t="s">
        <v>40</v>
      </c>
      <c r="B555" s="7">
        <v>7382</v>
      </c>
      <c r="C555" s="8">
        <v>8.0000000000000002E-3</v>
      </c>
      <c r="D555" s="4" t="s">
        <v>155</v>
      </c>
      <c r="E555" s="4" t="s">
        <v>156</v>
      </c>
    </row>
    <row r="556" spans="1:5" hidden="1" x14ac:dyDescent="0.15">
      <c r="A556" s="6" t="s">
        <v>41</v>
      </c>
      <c r="B556" s="7">
        <v>29845</v>
      </c>
      <c r="C556" s="8">
        <v>3.3000000000000002E-2</v>
      </c>
      <c r="D556" s="4" t="s">
        <v>155</v>
      </c>
      <c r="E556" s="4" t="s">
        <v>156</v>
      </c>
    </row>
    <row r="557" spans="1:5" hidden="1" x14ac:dyDescent="0.15">
      <c r="A557" s="6" t="s">
        <v>42</v>
      </c>
      <c r="B557" s="7">
        <v>31604</v>
      </c>
      <c r="C557" s="8">
        <v>3.5000000000000003E-2</v>
      </c>
      <c r="D557" s="4" t="s">
        <v>155</v>
      </c>
      <c r="E557" s="4" t="s">
        <v>156</v>
      </c>
    </row>
    <row r="558" spans="1:5" hidden="1" x14ac:dyDescent="0.15">
      <c r="A558" s="6" t="s">
        <v>43</v>
      </c>
      <c r="B558" s="7">
        <v>61853</v>
      </c>
      <c r="C558" s="8">
        <v>6.8000000000000005E-2</v>
      </c>
      <c r="D558" s="4" t="s">
        <v>155</v>
      </c>
      <c r="E558" s="4" t="s">
        <v>156</v>
      </c>
    </row>
    <row r="559" spans="1:5" ht="26" hidden="1" x14ac:dyDescent="0.15">
      <c r="A559" s="6" t="s">
        <v>44</v>
      </c>
      <c r="B559" s="7">
        <v>85714</v>
      </c>
      <c r="C559" s="8">
        <v>9.5000000000000001E-2</v>
      </c>
      <c r="D559" s="4" t="s">
        <v>155</v>
      </c>
      <c r="E559" s="4" t="s">
        <v>156</v>
      </c>
    </row>
    <row r="560" spans="1:5" hidden="1" x14ac:dyDescent="0.15">
      <c r="A560" s="6" t="s">
        <v>45</v>
      </c>
      <c r="B560" s="7">
        <v>247361</v>
      </c>
      <c r="C560" s="8">
        <v>0.27399999999999997</v>
      </c>
      <c r="D560" s="4" t="s">
        <v>155</v>
      </c>
      <c r="E560" s="4" t="s">
        <v>156</v>
      </c>
    </row>
    <row r="561" spans="1:5" ht="26" hidden="1" x14ac:dyDescent="0.15">
      <c r="A561" s="6" t="s">
        <v>46</v>
      </c>
      <c r="B561" s="7">
        <v>380231</v>
      </c>
      <c r="C561" s="8">
        <v>0.42100000000000004</v>
      </c>
      <c r="D561" s="4" t="s">
        <v>155</v>
      </c>
      <c r="E561" s="4" t="s">
        <v>156</v>
      </c>
    </row>
    <row r="562" spans="1:5" hidden="1" x14ac:dyDescent="0.15">
      <c r="A562" s="6" t="s">
        <v>47</v>
      </c>
      <c r="B562" s="7">
        <v>399089</v>
      </c>
      <c r="C562" s="8">
        <v>0.442</v>
      </c>
      <c r="D562" s="4" t="s">
        <v>155</v>
      </c>
      <c r="E562" s="4" t="s">
        <v>156</v>
      </c>
    </row>
    <row r="563" spans="1:5" hidden="1" x14ac:dyDescent="0.15">
      <c r="A563" s="6" t="s">
        <v>48</v>
      </c>
      <c r="B563" s="7">
        <v>98722</v>
      </c>
      <c r="C563" s="8">
        <v>0.109</v>
      </c>
      <c r="D563" s="4" t="s">
        <v>155</v>
      </c>
      <c r="E563" s="4" t="s">
        <v>156</v>
      </c>
    </row>
    <row r="564" spans="1:5" hidden="1" x14ac:dyDescent="0.15">
      <c r="A564" s="6" t="s">
        <v>49</v>
      </c>
      <c r="B564" s="7">
        <v>135357</v>
      </c>
      <c r="C564" s="8">
        <v>0.15</v>
      </c>
      <c r="D564" s="4" t="s">
        <v>155</v>
      </c>
      <c r="E564" s="4" t="s">
        <v>156</v>
      </c>
    </row>
    <row r="565" spans="1:5" ht="26" hidden="1" x14ac:dyDescent="0.15">
      <c r="A565" s="6" t="s">
        <v>50</v>
      </c>
      <c r="B565" s="7">
        <v>148638</v>
      </c>
      <c r="C565" s="8">
        <v>0.16500000000000001</v>
      </c>
      <c r="D565" s="4" t="s">
        <v>155</v>
      </c>
      <c r="E565" s="4" t="s">
        <v>156</v>
      </c>
    </row>
    <row r="566" spans="1:5" hidden="1" x14ac:dyDescent="0.15">
      <c r="A566" s="6" t="s">
        <v>51</v>
      </c>
      <c r="B566" s="7">
        <v>286560</v>
      </c>
      <c r="C566" s="8">
        <v>0.317</v>
      </c>
      <c r="D566" s="4" t="s">
        <v>155</v>
      </c>
      <c r="E566" s="4" t="s">
        <v>156</v>
      </c>
    </row>
    <row r="567" spans="1:5" hidden="1" x14ac:dyDescent="0.15">
      <c r="A567" s="6" t="s">
        <v>52</v>
      </c>
      <c r="B567" s="7">
        <v>127451</v>
      </c>
      <c r="C567" s="8">
        <v>0.14099999999999999</v>
      </c>
      <c r="D567" s="4" t="s">
        <v>155</v>
      </c>
      <c r="E567" s="4" t="s">
        <v>156</v>
      </c>
    </row>
    <row r="568" spans="1:5" ht="26" hidden="1" x14ac:dyDescent="0.15">
      <c r="A568" s="6" t="s">
        <v>53</v>
      </c>
      <c r="B568" s="7">
        <v>76467</v>
      </c>
      <c r="C568" s="8">
        <v>8.5000000000000006E-2</v>
      </c>
      <c r="D568" s="4" t="s">
        <v>155</v>
      </c>
      <c r="E568" s="4" t="s">
        <v>156</v>
      </c>
    </row>
    <row r="569" spans="1:5" hidden="1" x14ac:dyDescent="0.15">
      <c r="A569" s="6" t="s">
        <v>54</v>
      </c>
      <c r="B569" s="7">
        <v>322749</v>
      </c>
      <c r="C569" s="8">
        <v>0.35700000000000004</v>
      </c>
      <c r="D569" s="4" t="s">
        <v>155</v>
      </c>
      <c r="E569" s="4" t="s">
        <v>156</v>
      </c>
    </row>
    <row r="570" spans="1:5" ht="26" hidden="1" x14ac:dyDescent="0.15">
      <c r="A570" s="6" t="s">
        <v>55</v>
      </c>
      <c r="B570" s="7">
        <v>186568</v>
      </c>
      <c r="C570" s="8">
        <v>0.20600000000000002</v>
      </c>
      <c r="D570" s="4" t="s">
        <v>155</v>
      </c>
      <c r="E570" s="4" t="s">
        <v>156</v>
      </c>
    </row>
    <row r="571" spans="1:5" hidden="1" x14ac:dyDescent="0.15">
      <c r="A571" s="6" t="s">
        <v>56</v>
      </c>
      <c r="B571" s="7">
        <v>208818</v>
      </c>
      <c r="C571" s="8">
        <v>0.23100000000000001</v>
      </c>
      <c r="D571" s="4" t="s">
        <v>155</v>
      </c>
      <c r="E571" s="4" t="s">
        <v>156</v>
      </c>
    </row>
    <row r="572" spans="1:5" hidden="1" x14ac:dyDescent="0.15">
      <c r="A572" s="6" t="s">
        <v>57</v>
      </c>
      <c r="B572" s="7">
        <v>134812</v>
      </c>
      <c r="C572" s="8">
        <v>0.14899999999999999</v>
      </c>
      <c r="D572" s="4" t="s">
        <v>155</v>
      </c>
      <c r="E572" s="4" t="s">
        <v>156</v>
      </c>
    </row>
    <row r="573" spans="1:5" hidden="1" x14ac:dyDescent="0.15">
      <c r="A573" s="6" t="s">
        <v>58</v>
      </c>
      <c r="B573" s="7">
        <v>111707</v>
      </c>
      <c r="C573" s="8">
        <v>0.124</v>
      </c>
      <c r="D573" s="4" t="s">
        <v>155</v>
      </c>
      <c r="E573" s="4" t="s">
        <v>156</v>
      </c>
    </row>
    <row r="574" spans="1:5" hidden="1" x14ac:dyDescent="0.15">
      <c r="A574" s="6" t="s">
        <v>59</v>
      </c>
      <c r="B574" s="7">
        <v>387427</v>
      </c>
      <c r="C574" s="8">
        <v>0.42899999999999999</v>
      </c>
      <c r="D574" s="4" t="s">
        <v>155</v>
      </c>
      <c r="E574" s="4" t="s">
        <v>156</v>
      </c>
    </row>
    <row r="575" spans="1:5" hidden="1" x14ac:dyDescent="0.15">
      <c r="A575" s="6" t="s">
        <v>60</v>
      </c>
      <c r="B575" s="7">
        <v>170971</v>
      </c>
      <c r="C575" s="8">
        <v>0.18899999999999997</v>
      </c>
      <c r="D575" s="4" t="s">
        <v>155</v>
      </c>
      <c r="E575" s="4" t="s">
        <v>156</v>
      </c>
    </row>
    <row r="576" spans="1:5" ht="26" hidden="1" x14ac:dyDescent="0.15">
      <c r="A576" s="6" t="s">
        <v>61</v>
      </c>
      <c r="B576" s="7">
        <v>136493</v>
      </c>
      <c r="C576" s="8">
        <v>0.151</v>
      </c>
      <c r="D576" s="4" t="s">
        <v>155</v>
      </c>
      <c r="E576" s="4" t="s">
        <v>156</v>
      </c>
    </row>
    <row r="577" spans="1:5" hidden="1" x14ac:dyDescent="0.15">
      <c r="A577" s="6" t="s">
        <v>62</v>
      </c>
      <c r="B577" s="7">
        <v>134786</v>
      </c>
      <c r="C577" s="8">
        <v>0.14899999999999999</v>
      </c>
      <c r="D577" s="4" t="s">
        <v>155</v>
      </c>
      <c r="E577" s="4" t="s">
        <v>156</v>
      </c>
    </row>
    <row r="578" spans="1:5" ht="26" hidden="1" x14ac:dyDescent="0.15">
      <c r="A578" s="6" t="s">
        <v>63</v>
      </c>
      <c r="B578" s="7">
        <v>143304</v>
      </c>
      <c r="C578" s="8">
        <v>0.159</v>
      </c>
      <c r="D578" s="4" t="s">
        <v>155</v>
      </c>
      <c r="E578" s="4" t="s">
        <v>156</v>
      </c>
    </row>
    <row r="579" spans="1:5" ht="26" hidden="1" x14ac:dyDescent="0.15">
      <c r="A579" s="6" t="s">
        <v>64</v>
      </c>
      <c r="B579" s="7">
        <v>38303</v>
      </c>
      <c r="C579" s="8">
        <v>4.2000000000000003E-2</v>
      </c>
      <c r="D579" s="4" t="s">
        <v>155</v>
      </c>
      <c r="E579" s="4" t="s">
        <v>156</v>
      </c>
    </row>
    <row r="580" spans="1:5" hidden="1" x14ac:dyDescent="0.15">
      <c r="A580" s="6" t="s">
        <v>65</v>
      </c>
      <c r="B580" s="7">
        <v>119181</v>
      </c>
      <c r="C580" s="8">
        <v>0.13200000000000001</v>
      </c>
      <c r="D580" s="4" t="s">
        <v>155</v>
      </c>
      <c r="E580" s="4" t="s">
        <v>156</v>
      </c>
    </row>
    <row r="581" spans="1:5" hidden="1" x14ac:dyDescent="0.15">
      <c r="A581" s="6" t="s">
        <v>66</v>
      </c>
      <c r="B581" s="7">
        <v>67189</v>
      </c>
      <c r="C581" s="8">
        <v>7.400000000000001E-2</v>
      </c>
      <c r="D581" s="4" t="s">
        <v>155</v>
      </c>
      <c r="E581" s="4" t="s">
        <v>156</v>
      </c>
    </row>
    <row r="582" spans="1:5" hidden="1" x14ac:dyDescent="0.15">
      <c r="A582" s="6" t="s">
        <v>67</v>
      </c>
      <c r="B582" s="7">
        <v>201962</v>
      </c>
      <c r="C582" s="8">
        <v>0.22399999999999998</v>
      </c>
      <c r="D582" s="4" t="s">
        <v>155</v>
      </c>
      <c r="E582" s="4" t="s">
        <v>156</v>
      </c>
    </row>
    <row r="583" spans="1:5" hidden="1" x14ac:dyDescent="0.15">
      <c r="A583" s="6" t="s">
        <v>68</v>
      </c>
      <c r="B583" s="7">
        <v>318029</v>
      </c>
      <c r="C583" s="8">
        <v>0.35200000000000004</v>
      </c>
      <c r="D583" s="4" t="s">
        <v>155</v>
      </c>
      <c r="E583" s="4" t="s">
        <v>156</v>
      </c>
    </row>
    <row r="584" spans="1:5" hidden="1" x14ac:dyDescent="0.15">
      <c r="A584" s="6" t="s">
        <v>69</v>
      </c>
      <c r="B584" s="7">
        <v>499783</v>
      </c>
      <c r="C584" s="8">
        <v>0.55299999999999994</v>
      </c>
      <c r="D584" s="4" t="s">
        <v>155</v>
      </c>
      <c r="E584" s="4" t="s">
        <v>156</v>
      </c>
    </row>
    <row r="585" spans="1:5" hidden="1" x14ac:dyDescent="0.15">
      <c r="A585" s="6" t="s">
        <v>70</v>
      </c>
      <c r="B585" s="7">
        <v>147075</v>
      </c>
      <c r="C585" s="8">
        <v>0.16300000000000001</v>
      </c>
      <c r="D585" s="4" t="s">
        <v>155</v>
      </c>
      <c r="E585" s="4" t="s">
        <v>156</v>
      </c>
    </row>
    <row r="586" spans="1:5" ht="26" hidden="1" x14ac:dyDescent="0.15">
      <c r="A586" s="6" t="s">
        <v>71</v>
      </c>
      <c r="B586" s="7">
        <v>59577</v>
      </c>
      <c r="C586" s="8">
        <v>6.6000000000000003E-2</v>
      </c>
      <c r="D586" s="4" t="s">
        <v>155</v>
      </c>
      <c r="E586" s="4" t="s">
        <v>156</v>
      </c>
    </row>
    <row r="587" spans="1:5" hidden="1" x14ac:dyDescent="0.15">
      <c r="A587" s="6" t="s">
        <v>72</v>
      </c>
      <c r="B587" s="7">
        <v>134067</v>
      </c>
      <c r="C587" s="8">
        <v>0.14800000000000002</v>
      </c>
      <c r="D587" s="4" t="s">
        <v>155</v>
      </c>
      <c r="E587" s="4" t="s">
        <v>156</v>
      </c>
    </row>
    <row r="588" spans="1:5" hidden="1" x14ac:dyDescent="0.15">
      <c r="A588" s="6" t="s">
        <v>73</v>
      </c>
      <c r="B588" s="7">
        <v>539523</v>
      </c>
      <c r="C588" s="8">
        <v>0.59699999999999998</v>
      </c>
      <c r="D588" s="4" t="s">
        <v>155</v>
      </c>
      <c r="E588" s="4" t="s">
        <v>156</v>
      </c>
    </row>
    <row r="589" spans="1:5" hidden="1" x14ac:dyDescent="0.15">
      <c r="A589" s="6" t="s">
        <v>74</v>
      </c>
      <c r="B589" s="7">
        <v>226303</v>
      </c>
      <c r="C589" s="8">
        <v>0.25</v>
      </c>
      <c r="D589" s="4" t="s">
        <v>155</v>
      </c>
      <c r="E589" s="4" t="s">
        <v>156</v>
      </c>
    </row>
    <row r="590" spans="1:5" hidden="1" x14ac:dyDescent="0.15">
      <c r="A590" s="6" t="s">
        <v>75</v>
      </c>
      <c r="B590" s="7">
        <v>205135</v>
      </c>
      <c r="C590" s="8">
        <v>0.22699999999999998</v>
      </c>
      <c r="D590" s="4" t="s">
        <v>155</v>
      </c>
      <c r="E590" s="4" t="s">
        <v>156</v>
      </c>
    </row>
    <row r="591" spans="1:5" hidden="1" x14ac:dyDescent="0.15">
      <c r="A591" s="6" t="s">
        <v>76</v>
      </c>
      <c r="B591" s="7">
        <v>166345</v>
      </c>
      <c r="C591" s="8">
        <v>0.184</v>
      </c>
      <c r="D591" s="4" t="s">
        <v>155</v>
      </c>
      <c r="E591" s="4" t="s">
        <v>156</v>
      </c>
    </row>
    <row r="592" spans="1:5" hidden="1" x14ac:dyDescent="0.15">
      <c r="A592" s="6" t="s">
        <v>77</v>
      </c>
      <c r="B592" s="7">
        <v>185844</v>
      </c>
      <c r="C592" s="8">
        <v>0.20600000000000002</v>
      </c>
      <c r="D592" s="4" t="s">
        <v>155</v>
      </c>
      <c r="E592" s="4" t="s">
        <v>156</v>
      </c>
    </row>
    <row r="593" spans="1:5" ht="26" hidden="1" x14ac:dyDescent="0.15">
      <c r="A593" s="6" t="s">
        <v>78</v>
      </c>
      <c r="B593" s="7">
        <v>84051</v>
      </c>
      <c r="C593" s="8">
        <v>9.3000000000000013E-2</v>
      </c>
      <c r="D593" s="4" t="s">
        <v>155</v>
      </c>
      <c r="E593" s="4" t="s">
        <v>156</v>
      </c>
    </row>
    <row r="594" spans="1:5" hidden="1" x14ac:dyDescent="0.15">
      <c r="A594" s="6" t="s">
        <v>79</v>
      </c>
      <c r="B594" s="7">
        <v>160098</v>
      </c>
      <c r="C594" s="8">
        <v>0.17699999999999999</v>
      </c>
      <c r="D594" s="4" t="s">
        <v>155</v>
      </c>
      <c r="E594" s="4" t="s">
        <v>156</v>
      </c>
    </row>
    <row r="595" spans="1:5" hidden="1" x14ac:dyDescent="0.15">
      <c r="A595" s="6" t="s">
        <v>80</v>
      </c>
      <c r="B595" s="7">
        <v>100506</v>
      </c>
      <c r="C595" s="8">
        <v>0.111</v>
      </c>
      <c r="D595" s="4" t="s">
        <v>155</v>
      </c>
      <c r="E595" s="4" t="s">
        <v>156</v>
      </c>
    </row>
    <row r="596" spans="1:5" ht="26" hidden="1" x14ac:dyDescent="0.15">
      <c r="A596" s="6" t="s">
        <v>81</v>
      </c>
      <c r="B596" s="7">
        <v>148396</v>
      </c>
      <c r="C596" s="8">
        <v>0.16399999999999998</v>
      </c>
      <c r="D596" s="4" t="s">
        <v>155</v>
      </c>
      <c r="E596" s="4" t="s">
        <v>156</v>
      </c>
    </row>
    <row r="597" spans="1:5" hidden="1" x14ac:dyDescent="0.15">
      <c r="A597" s="6" t="s">
        <v>82</v>
      </c>
      <c r="B597" s="7">
        <v>96230</v>
      </c>
      <c r="C597" s="8">
        <v>0.107</v>
      </c>
      <c r="D597" s="4" t="s">
        <v>155</v>
      </c>
      <c r="E597" s="4" t="s">
        <v>156</v>
      </c>
    </row>
    <row r="598" spans="1:5" hidden="1" x14ac:dyDescent="0.15">
      <c r="A598" s="9"/>
      <c r="B598" s="9"/>
      <c r="C598" s="9"/>
      <c r="D598" s="4" t="s">
        <v>155</v>
      </c>
      <c r="E598" s="4" t="s">
        <v>156</v>
      </c>
    </row>
    <row r="599" spans="1:5" hidden="1" x14ac:dyDescent="0.15">
      <c r="A599" s="10"/>
      <c r="B599" s="10"/>
      <c r="C599" s="10"/>
      <c r="D599" s="4" t="s">
        <v>155</v>
      </c>
      <c r="E599" s="4" t="s">
        <v>156</v>
      </c>
    </row>
    <row r="600" spans="1:5" ht="26" hidden="1" x14ac:dyDescent="0.15">
      <c r="A600" s="6" t="s">
        <v>157</v>
      </c>
      <c r="B600" s="7">
        <v>267623</v>
      </c>
      <c r="C600" s="8">
        <v>0.29600000000000004</v>
      </c>
      <c r="D600" s="4" t="s">
        <v>155</v>
      </c>
      <c r="E600" s="4" t="s">
        <v>156</v>
      </c>
    </row>
    <row r="601" spans="1:5" hidden="1" x14ac:dyDescent="0.15">
      <c r="A601" s="9"/>
      <c r="B601" s="9"/>
      <c r="C601" s="9"/>
      <c r="D601" s="4" t="s">
        <v>155</v>
      </c>
      <c r="E601" s="4" t="s">
        <v>156</v>
      </c>
    </row>
    <row r="602" spans="1:5" hidden="1" x14ac:dyDescent="0.15">
      <c r="A602" s="10"/>
      <c r="B602" s="10"/>
      <c r="C602" s="10"/>
      <c r="D602" s="4" t="s">
        <v>155</v>
      </c>
      <c r="E602" s="4" t="s">
        <v>156</v>
      </c>
    </row>
    <row r="603" spans="1:5" hidden="1" x14ac:dyDescent="0.15">
      <c r="A603" s="6" t="s">
        <v>158</v>
      </c>
      <c r="B603" s="7">
        <v>141558</v>
      </c>
      <c r="C603" s="8">
        <v>0.157</v>
      </c>
      <c r="D603" s="4" t="s">
        <v>155</v>
      </c>
      <c r="E603" s="4" t="s">
        <v>156</v>
      </c>
    </row>
    <row r="604" spans="1:5" hidden="1" x14ac:dyDescent="0.15">
      <c r="A604" s="9"/>
      <c r="B604" s="9"/>
      <c r="C604" s="9"/>
      <c r="D604" s="4" t="s">
        <v>155</v>
      </c>
      <c r="E604" s="4" t="s">
        <v>156</v>
      </c>
    </row>
    <row r="605" spans="1:5" hidden="1" x14ac:dyDescent="0.15">
      <c r="A605" s="10"/>
      <c r="B605" s="10"/>
      <c r="C605" s="10"/>
      <c r="D605" s="4" t="s">
        <v>155</v>
      </c>
      <c r="E605" s="4" t="s">
        <v>156</v>
      </c>
    </row>
    <row r="606" spans="1:5" ht="26" hidden="1" x14ac:dyDescent="0.15">
      <c r="A606" s="6" t="s">
        <v>159</v>
      </c>
      <c r="B606" s="7">
        <v>248633</v>
      </c>
      <c r="C606" s="8">
        <v>0.27500000000000002</v>
      </c>
      <c r="D606" s="4" t="s">
        <v>155</v>
      </c>
      <c r="E606" s="4" t="s">
        <v>156</v>
      </c>
    </row>
    <row r="607" spans="1:5" hidden="1" x14ac:dyDescent="0.15">
      <c r="A607" s="9"/>
      <c r="B607" s="9"/>
      <c r="C607" s="9"/>
      <c r="D607" s="4" t="s">
        <v>155</v>
      </c>
      <c r="E607" s="4" t="s">
        <v>156</v>
      </c>
    </row>
    <row r="608" spans="1:5" hidden="1" x14ac:dyDescent="0.15">
      <c r="A608" s="10"/>
      <c r="B608" s="10"/>
      <c r="C608" s="10"/>
      <c r="D608" s="4" t="s">
        <v>155</v>
      </c>
      <c r="E608" s="4" t="s">
        <v>156</v>
      </c>
    </row>
    <row r="609" spans="1:5" hidden="1" x14ac:dyDescent="0.15">
      <c r="A609" s="6" t="s">
        <v>160</v>
      </c>
      <c r="B609" s="7">
        <v>46494</v>
      </c>
      <c r="C609" s="8">
        <v>5.0999999999999997E-2</v>
      </c>
      <c r="D609" s="4" t="s">
        <v>155</v>
      </c>
      <c r="E609" s="4" t="s">
        <v>156</v>
      </c>
    </row>
    <row r="610" spans="1:5" hidden="1" x14ac:dyDescent="0.15">
      <c r="A610" s="9"/>
      <c r="B610" s="9"/>
      <c r="C610" s="9"/>
      <c r="D610" s="4" t="s">
        <v>155</v>
      </c>
      <c r="E610" s="4" t="s">
        <v>156</v>
      </c>
    </row>
    <row r="611" spans="1:5" hidden="1" x14ac:dyDescent="0.15">
      <c r="A611" s="10"/>
      <c r="B611" s="10"/>
      <c r="C611" s="10"/>
      <c r="D611" s="4" t="s">
        <v>155</v>
      </c>
      <c r="E611" s="4" t="s">
        <v>156</v>
      </c>
    </row>
    <row r="612" spans="1:5" ht="26" hidden="1" x14ac:dyDescent="0.15">
      <c r="A612" s="6" t="s">
        <v>161</v>
      </c>
      <c r="B612" s="7">
        <v>45646</v>
      </c>
      <c r="C612" s="8">
        <v>5.0999999999999997E-2</v>
      </c>
      <c r="D612" s="4" t="s">
        <v>155</v>
      </c>
      <c r="E612" s="4" t="s">
        <v>156</v>
      </c>
    </row>
    <row r="613" spans="1:5" ht="26" hidden="1" x14ac:dyDescent="0.15">
      <c r="A613" s="6" t="s">
        <v>162</v>
      </c>
      <c r="B613" s="7">
        <v>68524</v>
      </c>
      <c r="C613" s="8">
        <v>7.5999999999999998E-2</v>
      </c>
      <c r="D613" s="4" t="s">
        <v>155</v>
      </c>
      <c r="E613" s="4" t="s">
        <v>156</v>
      </c>
    </row>
    <row r="614" spans="1:5" hidden="1" x14ac:dyDescent="0.15">
      <c r="A614" s="6" t="s">
        <v>163</v>
      </c>
      <c r="B614" s="7">
        <v>150017</v>
      </c>
      <c r="C614" s="8">
        <v>0.16600000000000001</v>
      </c>
      <c r="D614" s="4" t="s">
        <v>155</v>
      </c>
      <c r="E614" s="4" t="s">
        <v>156</v>
      </c>
    </row>
    <row r="615" spans="1:5" ht="26" hidden="1" x14ac:dyDescent="0.15">
      <c r="A615" s="6" t="s">
        <v>164</v>
      </c>
      <c r="B615" s="7">
        <v>313239</v>
      </c>
      <c r="C615" s="8">
        <v>0.34700000000000003</v>
      </c>
      <c r="D615" s="4" t="s">
        <v>155</v>
      </c>
      <c r="E615" s="4" t="s">
        <v>156</v>
      </c>
    </row>
    <row r="616" spans="1:5" ht="26" hidden="1" x14ac:dyDescent="0.15">
      <c r="A616" s="6" t="s">
        <v>165</v>
      </c>
      <c r="B616" s="7">
        <v>67382</v>
      </c>
      <c r="C616" s="8">
        <v>7.4999999999999997E-2</v>
      </c>
      <c r="D616" s="4" t="s">
        <v>155</v>
      </c>
      <c r="E616" s="4" t="s">
        <v>156</v>
      </c>
    </row>
    <row r="617" spans="1:5" hidden="1" x14ac:dyDescent="0.15">
      <c r="A617" s="6" t="s">
        <v>166</v>
      </c>
      <c r="B617" s="7">
        <v>338128</v>
      </c>
      <c r="C617" s="8">
        <v>0.374</v>
      </c>
      <c r="D617" s="4" t="s">
        <v>155</v>
      </c>
      <c r="E617" s="4" t="s">
        <v>156</v>
      </c>
    </row>
    <row r="618" spans="1:5" hidden="1" x14ac:dyDescent="0.15">
      <c r="A618" s="1" t="s">
        <v>0</v>
      </c>
      <c r="B618" s="2">
        <v>845306</v>
      </c>
      <c r="C618" s="3">
        <v>1</v>
      </c>
      <c r="D618" s="4" t="s">
        <v>167</v>
      </c>
      <c r="E618" s="4" t="s">
        <v>168</v>
      </c>
    </row>
    <row r="619" spans="1:5" ht="26" hidden="1" x14ac:dyDescent="0.15">
      <c r="A619" s="1" t="s">
        <v>3</v>
      </c>
      <c r="B619" s="2">
        <v>10228</v>
      </c>
      <c r="C619" s="3">
        <v>1.2E-2</v>
      </c>
      <c r="D619" s="4" t="s">
        <v>167</v>
      </c>
      <c r="E619" s="4" t="s">
        <v>168</v>
      </c>
    </row>
    <row r="620" spans="1:5" hidden="1" x14ac:dyDescent="0.15">
      <c r="A620" s="1" t="s">
        <v>4</v>
      </c>
      <c r="B620" s="2">
        <v>5295</v>
      </c>
      <c r="C620" s="3">
        <v>6.0000000000000001E-3</v>
      </c>
      <c r="D620" s="4" t="s">
        <v>167</v>
      </c>
      <c r="E620" s="4" t="s">
        <v>168</v>
      </c>
    </row>
    <row r="621" spans="1:5" ht="26" hidden="1" x14ac:dyDescent="0.15">
      <c r="A621" s="1" t="s">
        <v>5</v>
      </c>
      <c r="B621" s="2">
        <v>20945</v>
      </c>
      <c r="C621" s="3">
        <v>2.5000000000000001E-2</v>
      </c>
      <c r="D621" s="4" t="s">
        <v>167</v>
      </c>
      <c r="E621" s="4" t="s">
        <v>168</v>
      </c>
    </row>
    <row r="622" spans="1:5" ht="26" hidden="1" x14ac:dyDescent="0.15">
      <c r="A622" s="1" t="s">
        <v>6</v>
      </c>
      <c r="B622" s="2">
        <v>119395</v>
      </c>
      <c r="C622" s="3">
        <v>0.14099999999999999</v>
      </c>
      <c r="D622" s="4" t="s">
        <v>167</v>
      </c>
      <c r="E622" s="4" t="s">
        <v>168</v>
      </c>
    </row>
    <row r="623" spans="1:5" ht="26" hidden="1" x14ac:dyDescent="0.15">
      <c r="A623" s="1" t="s">
        <v>7</v>
      </c>
      <c r="B623" s="2">
        <v>271991</v>
      </c>
      <c r="C623" s="3">
        <v>0.32200000000000001</v>
      </c>
      <c r="D623" s="4" t="s">
        <v>167</v>
      </c>
      <c r="E623" s="4" t="s">
        <v>168</v>
      </c>
    </row>
    <row r="624" spans="1:5" ht="26" hidden="1" x14ac:dyDescent="0.15">
      <c r="A624" s="1" t="s">
        <v>8</v>
      </c>
      <c r="B624" s="2">
        <v>13577</v>
      </c>
      <c r="C624" s="3">
        <v>1.6E-2</v>
      </c>
      <c r="D624" s="4" t="s">
        <v>167</v>
      </c>
      <c r="E624" s="4" t="s">
        <v>168</v>
      </c>
    </row>
    <row r="625" spans="1:5" ht="26" hidden="1" x14ac:dyDescent="0.15">
      <c r="A625" s="1" t="s">
        <v>9</v>
      </c>
      <c r="B625" s="2">
        <v>14154</v>
      </c>
      <c r="C625" s="3">
        <v>1.7000000000000001E-2</v>
      </c>
      <c r="D625" s="4" t="s">
        <v>167</v>
      </c>
      <c r="E625" s="4" t="s">
        <v>168</v>
      </c>
    </row>
    <row r="626" spans="1:5" ht="26" hidden="1" x14ac:dyDescent="0.15">
      <c r="A626" s="1" t="s">
        <v>10</v>
      </c>
      <c r="B626" s="2">
        <v>12808</v>
      </c>
      <c r="C626" s="3">
        <v>1.4999999999999999E-2</v>
      </c>
      <c r="D626" s="4" t="s">
        <v>167</v>
      </c>
      <c r="E626" s="4" t="s">
        <v>168</v>
      </c>
    </row>
    <row r="627" spans="1:5" ht="26" hidden="1" x14ac:dyDescent="0.15">
      <c r="A627" s="1" t="s">
        <v>11</v>
      </c>
      <c r="B627" s="2">
        <v>51741</v>
      </c>
      <c r="C627" s="3">
        <v>6.0999999999999999E-2</v>
      </c>
      <c r="D627" s="4" t="s">
        <v>167</v>
      </c>
      <c r="E627" s="4" t="s">
        <v>168</v>
      </c>
    </row>
    <row r="628" spans="1:5" ht="26" hidden="1" x14ac:dyDescent="0.15">
      <c r="A628" s="1" t="s">
        <v>12</v>
      </c>
      <c r="B628" s="2">
        <v>11529</v>
      </c>
      <c r="C628" s="3">
        <v>1.3999999999999999E-2</v>
      </c>
      <c r="D628" s="4" t="s">
        <v>167</v>
      </c>
      <c r="E628" s="4" t="s">
        <v>168</v>
      </c>
    </row>
    <row r="629" spans="1:5" ht="26" hidden="1" x14ac:dyDescent="0.15">
      <c r="A629" s="1" t="s">
        <v>13</v>
      </c>
      <c r="B629" s="2">
        <v>9691</v>
      </c>
      <c r="C629" s="3">
        <v>1.1000000000000001E-2</v>
      </c>
      <c r="D629" s="4" t="s">
        <v>167</v>
      </c>
      <c r="E629" s="4" t="s">
        <v>168</v>
      </c>
    </row>
    <row r="630" spans="1:5" hidden="1" x14ac:dyDescent="0.15">
      <c r="A630" s="1" t="s">
        <v>14</v>
      </c>
      <c r="B630" s="2">
        <v>46303</v>
      </c>
      <c r="C630" s="3">
        <v>5.5E-2</v>
      </c>
      <c r="D630" s="4" t="s">
        <v>167</v>
      </c>
      <c r="E630" s="4" t="s">
        <v>168</v>
      </c>
    </row>
    <row r="631" spans="1:5" ht="26" hidden="1" x14ac:dyDescent="0.15">
      <c r="A631" s="1" t="s">
        <v>15</v>
      </c>
      <c r="B631" s="2">
        <v>83726</v>
      </c>
      <c r="C631" s="3">
        <v>9.9000000000000005E-2</v>
      </c>
      <c r="D631" s="4" t="s">
        <v>167</v>
      </c>
      <c r="E631" s="4" t="s">
        <v>168</v>
      </c>
    </row>
    <row r="632" spans="1:5" ht="26" hidden="1" x14ac:dyDescent="0.15">
      <c r="A632" s="1" t="s">
        <v>16</v>
      </c>
      <c r="B632" s="2">
        <v>25847</v>
      </c>
      <c r="C632" s="3">
        <v>3.1E-2</v>
      </c>
      <c r="D632" s="4" t="s">
        <v>167</v>
      </c>
      <c r="E632" s="4" t="s">
        <v>168</v>
      </c>
    </row>
    <row r="633" spans="1:5" ht="26" hidden="1" x14ac:dyDescent="0.15">
      <c r="A633" s="1" t="s">
        <v>17</v>
      </c>
      <c r="B633" s="2">
        <v>20680</v>
      </c>
      <c r="C633" s="3">
        <v>2.4E-2</v>
      </c>
      <c r="D633" s="4" t="s">
        <v>167</v>
      </c>
      <c r="E633" s="4" t="s">
        <v>168</v>
      </c>
    </row>
    <row r="634" spans="1:5" hidden="1" x14ac:dyDescent="0.15">
      <c r="A634" s="1" t="s">
        <v>18</v>
      </c>
      <c r="B634" s="2">
        <v>13522</v>
      </c>
      <c r="C634" s="3">
        <v>1.6E-2</v>
      </c>
      <c r="D634" s="4" t="s">
        <v>167</v>
      </c>
      <c r="E634" s="4" t="s">
        <v>168</v>
      </c>
    </row>
    <row r="635" spans="1:5" hidden="1" x14ac:dyDescent="0.15">
      <c r="A635" s="1" t="s">
        <v>19</v>
      </c>
      <c r="B635" s="2">
        <v>135477</v>
      </c>
      <c r="C635" s="3">
        <v>0.16</v>
      </c>
      <c r="D635" s="4" t="s">
        <v>167</v>
      </c>
      <c r="E635" s="4" t="s">
        <v>168</v>
      </c>
    </row>
    <row r="636" spans="1:5" hidden="1" x14ac:dyDescent="0.15">
      <c r="A636" s="1" t="s">
        <v>20</v>
      </c>
      <c r="B636" s="2">
        <v>9884</v>
      </c>
      <c r="C636" s="3">
        <v>1.2E-2</v>
      </c>
      <c r="D636" s="4" t="s">
        <v>167</v>
      </c>
      <c r="E636" s="4" t="s">
        <v>168</v>
      </c>
    </row>
    <row r="637" spans="1:5" ht="26" hidden="1" x14ac:dyDescent="0.15">
      <c r="A637" s="1" t="s">
        <v>21</v>
      </c>
      <c r="B637" s="2">
        <v>21358</v>
      </c>
      <c r="C637" s="3">
        <v>2.5000000000000001E-2</v>
      </c>
      <c r="D637" s="4" t="s">
        <v>167</v>
      </c>
      <c r="E637" s="4" t="s">
        <v>168</v>
      </c>
    </row>
    <row r="638" spans="1:5" ht="26" hidden="1" x14ac:dyDescent="0.15">
      <c r="A638" s="1" t="s">
        <v>22</v>
      </c>
      <c r="B638" s="2">
        <v>7567</v>
      </c>
      <c r="C638" s="3">
        <v>9.0000000000000011E-3</v>
      </c>
      <c r="D638" s="4" t="s">
        <v>167</v>
      </c>
      <c r="E638" s="4" t="s">
        <v>168</v>
      </c>
    </row>
    <row r="639" spans="1:5" ht="26" hidden="1" x14ac:dyDescent="0.15">
      <c r="A639" s="1" t="s">
        <v>23</v>
      </c>
      <c r="B639" s="2">
        <v>30681</v>
      </c>
      <c r="C639" s="3">
        <v>3.6000000000000004E-2</v>
      </c>
      <c r="D639" s="4" t="s">
        <v>167</v>
      </c>
      <c r="E639" s="4" t="s">
        <v>168</v>
      </c>
    </row>
    <row r="640" spans="1:5" ht="26" hidden="1" x14ac:dyDescent="0.15">
      <c r="A640" s="1" t="s">
        <v>24</v>
      </c>
      <c r="B640" s="2">
        <v>15905</v>
      </c>
      <c r="C640" s="3">
        <v>1.9E-2</v>
      </c>
      <c r="D640" s="4" t="s">
        <v>167</v>
      </c>
      <c r="E640" s="4" t="s">
        <v>168</v>
      </c>
    </row>
    <row r="641" spans="1:5" ht="26" hidden="1" x14ac:dyDescent="0.15">
      <c r="A641" s="1" t="s">
        <v>25</v>
      </c>
      <c r="B641" s="2">
        <v>16490</v>
      </c>
      <c r="C641" s="3">
        <v>0.02</v>
      </c>
      <c r="D641" s="4" t="s">
        <v>167</v>
      </c>
      <c r="E641" s="4" t="s">
        <v>168</v>
      </c>
    </row>
    <row r="642" spans="1:5" hidden="1" x14ac:dyDescent="0.15">
      <c r="A642" s="1" t="s">
        <v>26</v>
      </c>
      <c r="B642" s="2">
        <v>8554</v>
      </c>
      <c r="C642" s="3">
        <v>0.01</v>
      </c>
      <c r="D642" s="4" t="s">
        <v>167</v>
      </c>
      <c r="E642" s="4" t="s">
        <v>168</v>
      </c>
    </row>
    <row r="643" spans="1:5" hidden="1" x14ac:dyDescent="0.15">
      <c r="A643" s="1" t="s">
        <v>27</v>
      </c>
      <c r="B643" s="2">
        <v>106016</v>
      </c>
      <c r="C643" s="3">
        <v>0.125</v>
      </c>
      <c r="D643" s="4" t="s">
        <v>167</v>
      </c>
      <c r="E643" s="4" t="s">
        <v>168</v>
      </c>
    </row>
    <row r="644" spans="1:5" hidden="1" x14ac:dyDescent="0.15">
      <c r="A644" s="1" t="s">
        <v>28</v>
      </c>
      <c r="B644" s="2">
        <v>65402</v>
      </c>
      <c r="C644" s="3">
        <v>7.6999999999999999E-2</v>
      </c>
      <c r="D644" s="4" t="s">
        <v>167</v>
      </c>
      <c r="E644" s="4" t="s">
        <v>168</v>
      </c>
    </row>
    <row r="645" spans="1:5" hidden="1" x14ac:dyDescent="0.15">
      <c r="A645" s="1" t="s">
        <v>29</v>
      </c>
      <c r="B645" s="2">
        <v>256107</v>
      </c>
      <c r="C645" s="3">
        <v>0.30299999999999999</v>
      </c>
      <c r="D645" s="4" t="s">
        <v>167</v>
      </c>
      <c r="E645" s="4" t="s">
        <v>168</v>
      </c>
    </row>
    <row r="646" spans="1:5" hidden="1" x14ac:dyDescent="0.15">
      <c r="A646" s="1" t="s">
        <v>30</v>
      </c>
      <c r="B646" s="2">
        <v>55769</v>
      </c>
      <c r="C646" s="3">
        <v>6.6000000000000003E-2</v>
      </c>
      <c r="D646" s="4" t="s">
        <v>167</v>
      </c>
      <c r="E646" s="4" t="s">
        <v>168</v>
      </c>
    </row>
    <row r="647" spans="1:5" ht="39" hidden="1" x14ac:dyDescent="0.15">
      <c r="A647" s="1" t="s">
        <v>31</v>
      </c>
      <c r="B647" s="2">
        <v>5060</v>
      </c>
      <c r="C647" s="3">
        <v>6.0000000000000001E-3</v>
      </c>
      <c r="D647" s="4" t="s">
        <v>167</v>
      </c>
      <c r="E647" s="4" t="s">
        <v>168</v>
      </c>
    </row>
    <row r="648" spans="1:5" hidden="1" x14ac:dyDescent="0.15">
      <c r="A648" s="1" t="s">
        <v>32</v>
      </c>
      <c r="B648" s="2">
        <v>27528</v>
      </c>
      <c r="C648" s="3">
        <v>3.3000000000000002E-2</v>
      </c>
      <c r="D648" s="4" t="s">
        <v>167</v>
      </c>
      <c r="E648" s="4" t="s">
        <v>168</v>
      </c>
    </row>
    <row r="649" spans="1:5" hidden="1" x14ac:dyDescent="0.15">
      <c r="A649" s="1" t="s">
        <v>33</v>
      </c>
      <c r="B649" s="2">
        <v>198971</v>
      </c>
      <c r="C649" s="3">
        <v>0.23499999999999999</v>
      </c>
      <c r="D649" s="4" t="s">
        <v>167</v>
      </c>
      <c r="E649" s="4" t="s">
        <v>168</v>
      </c>
    </row>
    <row r="650" spans="1:5" hidden="1" x14ac:dyDescent="0.15">
      <c r="A650" s="1" t="s">
        <v>34</v>
      </c>
      <c r="B650" s="2">
        <v>53767</v>
      </c>
      <c r="C650" s="3">
        <v>6.4000000000000001E-2</v>
      </c>
      <c r="D650" s="4" t="s">
        <v>167</v>
      </c>
      <c r="E650" s="4" t="s">
        <v>168</v>
      </c>
    </row>
    <row r="651" spans="1:5" hidden="1" x14ac:dyDescent="0.15">
      <c r="A651" s="1" t="s">
        <v>35</v>
      </c>
      <c r="B651" s="2">
        <v>23353</v>
      </c>
      <c r="C651" s="3">
        <v>2.7999999999999997E-2</v>
      </c>
      <c r="D651" s="4" t="s">
        <v>167</v>
      </c>
      <c r="E651" s="4" t="s">
        <v>168</v>
      </c>
    </row>
    <row r="652" spans="1:5" ht="26" hidden="1" x14ac:dyDescent="0.15">
      <c r="A652" s="1" t="s">
        <v>36</v>
      </c>
      <c r="B652" s="2">
        <v>16947</v>
      </c>
      <c r="C652" s="3">
        <v>0.02</v>
      </c>
      <c r="D652" s="4" t="s">
        <v>167</v>
      </c>
      <c r="E652" s="4" t="s">
        <v>168</v>
      </c>
    </row>
    <row r="653" spans="1:5" hidden="1" x14ac:dyDescent="0.15">
      <c r="A653" s="1" t="s">
        <v>37</v>
      </c>
      <c r="B653" s="2">
        <v>13666</v>
      </c>
      <c r="C653" s="3">
        <v>1.6E-2</v>
      </c>
      <c r="D653" s="4" t="s">
        <v>167</v>
      </c>
      <c r="E653" s="4" t="s">
        <v>168</v>
      </c>
    </row>
    <row r="654" spans="1:5" ht="39" hidden="1" x14ac:dyDescent="0.15">
      <c r="A654" s="1" t="s">
        <v>38</v>
      </c>
      <c r="B654" s="2">
        <v>12400</v>
      </c>
      <c r="C654" s="3">
        <v>1.4999999999999999E-2</v>
      </c>
      <c r="D654" s="4" t="s">
        <v>167</v>
      </c>
      <c r="E654" s="4" t="s">
        <v>168</v>
      </c>
    </row>
    <row r="655" spans="1:5" hidden="1" x14ac:dyDescent="0.15">
      <c r="A655" s="1" t="s">
        <v>39</v>
      </c>
      <c r="B655" s="2">
        <v>50624</v>
      </c>
      <c r="C655" s="3">
        <v>0.06</v>
      </c>
      <c r="D655" s="4" t="s">
        <v>167</v>
      </c>
      <c r="E655" s="4" t="s">
        <v>168</v>
      </c>
    </row>
    <row r="656" spans="1:5" hidden="1" x14ac:dyDescent="0.15">
      <c r="A656" s="1" t="s">
        <v>40</v>
      </c>
      <c r="B656" s="2">
        <v>16208</v>
      </c>
      <c r="C656" s="3">
        <v>1.9E-2</v>
      </c>
      <c r="D656" s="4" t="s">
        <v>167</v>
      </c>
      <c r="E656" s="4" t="s">
        <v>168</v>
      </c>
    </row>
    <row r="657" spans="1:5" hidden="1" x14ac:dyDescent="0.15">
      <c r="A657" s="1" t="s">
        <v>41</v>
      </c>
      <c r="B657" s="2">
        <v>22212</v>
      </c>
      <c r="C657" s="3">
        <v>2.6000000000000002E-2</v>
      </c>
      <c r="D657" s="4" t="s">
        <v>167</v>
      </c>
      <c r="E657" s="4" t="s">
        <v>168</v>
      </c>
    </row>
    <row r="658" spans="1:5" hidden="1" x14ac:dyDescent="0.15">
      <c r="A658" s="1" t="s">
        <v>42</v>
      </c>
      <c r="B658" s="2">
        <v>24965</v>
      </c>
      <c r="C658" s="3">
        <v>0.03</v>
      </c>
      <c r="D658" s="4" t="s">
        <v>167</v>
      </c>
      <c r="E658" s="4" t="s">
        <v>168</v>
      </c>
    </row>
    <row r="659" spans="1:5" hidden="1" x14ac:dyDescent="0.15">
      <c r="A659" s="1" t="s">
        <v>43</v>
      </c>
      <c r="B659" s="2">
        <v>64574</v>
      </c>
      <c r="C659" s="3">
        <v>7.5999999999999998E-2</v>
      </c>
      <c r="D659" s="4" t="s">
        <v>167</v>
      </c>
      <c r="E659" s="4" t="s">
        <v>168</v>
      </c>
    </row>
    <row r="660" spans="1:5" ht="26" hidden="1" x14ac:dyDescent="0.15">
      <c r="A660" s="1" t="s">
        <v>44</v>
      </c>
      <c r="B660" s="2">
        <v>76565</v>
      </c>
      <c r="C660" s="3">
        <v>9.0999999999999998E-2</v>
      </c>
      <c r="D660" s="4" t="s">
        <v>167</v>
      </c>
      <c r="E660" s="4" t="s">
        <v>168</v>
      </c>
    </row>
    <row r="661" spans="1:5" hidden="1" x14ac:dyDescent="0.15">
      <c r="A661" s="1" t="s">
        <v>45</v>
      </c>
      <c r="B661" s="2">
        <v>155874</v>
      </c>
      <c r="C661" s="3">
        <v>0.184</v>
      </c>
      <c r="D661" s="4" t="s">
        <v>167</v>
      </c>
      <c r="E661" s="4" t="s">
        <v>168</v>
      </c>
    </row>
    <row r="662" spans="1:5" ht="26" hidden="1" x14ac:dyDescent="0.15">
      <c r="A662" s="1" t="s">
        <v>46</v>
      </c>
      <c r="B662" s="2">
        <v>349918</v>
      </c>
      <c r="C662" s="3">
        <v>0.41399999999999998</v>
      </c>
      <c r="D662" s="4" t="s">
        <v>167</v>
      </c>
      <c r="E662" s="4" t="s">
        <v>168</v>
      </c>
    </row>
    <row r="663" spans="1:5" hidden="1" x14ac:dyDescent="0.15">
      <c r="A663" s="1" t="s">
        <v>47</v>
      </c>
      <c r="B663" s="2">
        <v>528517</v>
      </c>
      <c r="C663" s="3">
        <v>0.625</v>
      </c>
      <c r="D663" s="4" t="s">
        <v>167</v>
      </c>
      <c r="E663" s="4" t="s">
        <v>168</v>
      </c>
    </row>
    <row r="664" spans="1:5" hidden="1" x14ac:dyDescent="0.15">
      <c r="A664" s="1" t="s">
        <v>48</v>
      </c>
      <c r="B664" s="2">
        <v>131006</v>
      </c>
      <c r="C664" s="3">
        <v>0.155</v>
      </c>
      <c r="D664" s="4" t="s">
        <v>167</v>
      </c>
      <c r="E664" s="4" t="s">
        <v>168</v>
      </c>
    </row>
    <row r="665" spans="1:5" hidden="1" x14ac:dyDescent="0.15">
      <c r="A665" s="1" t="s">
        <v>49</v>
      </c>
      <c r="B665" s="2">
        <v>45884</v>
      </c>
      <c r="C665" s="3">
        <v>5.4000000000000006E-2</v>
      </c>
      <c r="D665" s="4" t="s">
        <v>167</v>
      </c>
      <c r="E665" s="4" t="s">
        <v>168</v>
      </c>
    </row>
    <row r="666" spans="1:5" ht="26" hidden="1" x14ac:dyDescent="0.15">
      <c r="A666" s="1" t="s">
        <v>50</v>
      </c>
      <c r="B666" s="2">
        <v>119840</v>
      </c>
      <c r="C666" s="3">
        <v>0.14199999999999999</v>
      </c>
      <c r="D666" s="4" t="s">
        <v>167</v>
      </c>
      <c r="E666" s="4" t="s">
        <v>168</v>
      </c>
    </row>
    <row r="667" spans="1:5" hidden="1" x14ac:dyDescent="0.15">
      <c r="A667" s="1" t="s">
        <v>51</v>
      </c>
      <c r="B667" s="2">
        <v>279732</v>
      </c>
      <c r="C667" s="3">
        <v>0.33100000000000002</v>
      </c>
      <c r="D667" s="4" t="s">
        <v>167</v>
      </c>
      <c r="E667" s="4" t="s">
        <v>168</v>
      </c>
    </row>
    <row r="668" spans="1:5" hidden="1" x14ac:dyDescent="0.15">
      <c r="A668" s="1" t="s">
        <v>52</v>
      </c>
      <c r="B668" s="2">
        <v>92346</v>
      </c>
      <c r="C668" s="3">
        <v>0.109</v>
      </c>
      <c r="D668" s="4" t="s">
        <v>167</v>
      </c>
      <c r="E668" s="4" t="s">
        <v>168</v>
      </c>
    </row>
    <row r="669" spans="1:5" ht="26" hidden="1" x14ac:dyDescent="0.15">
      <c r="A669" s="1" t="s">
        <v>53</v>
      </c>
      <c r="B669" s="2">
        <v>58891</v>
      </c>
      <c r="C669" s="3">
        <v>7.0000000000000007E-2</v>
      </c>
      <c r="D669" s="4" t="s">
        <v>167</v>
      </c>
      <c r="E669" s="4" t="s">
        <v>168</v>
      </c>
    </row>
    <row r="670" spans="1:5" hidden="1" x14ac:dyDescent="0.15">
      <c r="A670" s="1" t="s">
        <v>54</v>
      </c>
      <c r="B670" s="2">
        <v>268674</v>
      </c>
      <c r="C670" s="3">
        <v>0.318</v>
      </c>
      <c r="D670" s="4" t="s">
        <v>167</v>
      </c>
      <c r="E670" s="4" t="s">
        <v>168</v>
      </c>
    </row>
    <row r="671" spans="1:5" ht="26" hidden="1" x14ac:dyDescent="0.15">
      <c r="A671" s="1" t="s">
        <v>55</v>
      </c>
      <c r="B671" s="2">
        <v>352137</v>
      </c>
      <c r="C671" s="3">
        <v>0.41700000000000004</v>
      </c>
      <c r="D671" s="4" t="s">
        <v>167</v>
      </c>
      <c r="E671" s="4" t="s">
        <v>168</v>
      </c>
    </row>
    <row r="672" spans="1:5" hidden="1" x14ac:dyDescent="0.15">
      <c r="A672" s="1" t="s">
        <v>56</v>
      </c>
      <c r="B672" s="2">
        <v>186031</v>
      </c>
      <c r="C672" s="3">
        <v>0.22</v>
      </c>
      <c r="D672" s="4" t="s">
        <v>167</v>
      </c>
      <c r="E672" s="4" t="s">
        <v>168</v>
      </c>
    </row>
    <row r="673" spans="1:5" hidden="1" x14ac:dyDescent="0.15">
      <c r="A673" s="1" t="s">
        <v>57</v>
      </c>
      <c r="B673" s="2">
        <v>153268</v>
      </c>
      <c r="C673" s="3">
        <v>0.18100000000000002</v>
      </c>
      <c r="D673" s="4" t="s">
        <v>167</v>
      </c>
      <c r="E673" s="4" t="s">
        <v>168</v>
      </c>
    </row>
    <row r="674" spans="1:5" hidden="1" x14ac:dyDescent="0.15">
      <c r="A674" s="1" t="s">
        <v>58</v>
      </c>
      <c r="B674" s="2">
        <v>126366</v>
      </c>
      <c r="C674" s="3">
        <v>0.14899999999999999</v>
      </c>
      <c r="D674" s="4" t="s">
        <v>167</v>
      </c>
      <c r="E674" s="4" t="s">
        <v>168</v>
      </c>
    </row>
    <row r="675" spans="1:5" hidden="1" x14ac:dyDescent="0.15">
      <c r="A675" s="1" t="s">
        <v>59</v>
      </c>
      <c r="B675" s="2">
        <v>430001</v>
      </c>
      <c r="C675" s="3">
        <v>0.50900000000000001</v>
      </c>
      <c r="D675" s="4" t="s">
        <v>167</v>
      </c>
      <c r="E675" s="4" t="s">
        <v>168</v>
      </c>
    </row>
    <row r="676" spans="1:5" hidden="1" x14ac:dyDescent="0.15">
      <c r="A676" s="1" t="s">
        <v>60</v>
      </c>
      <c r="B676" s="2">
        <v>79352</v>
      </c>
      <c r="C676" s="3">
        <v>9.4E-2</v>
      </c>
      <c r="D676" s="4" t="s">
        <v>167</v>
      </c>
      <c r="E676" s="4" t="s">
        <v>168</v>
      </c>
    </row>
    <row r="677" spans="1:5" ht="26" hidden="1" x14ac:dyDescent="0.15">
      <c r="A677" s="1" t="s">
        <v>61</v>
      </c>
      <c r="B677" s="2">
        <v>114604</v>
      </c>
      <c r="C677" s="3">
        <v>0.13600000000000001</v>
      </c>
      <c r="D677" s="4" t="s">
        <v>167</v>
      </c>
      <c r="E677" s="4" t="s">
        <v>168</v>
      </c>
    </row>
    <row r="678" spans="1:5" hidden="1" x14ac:dyDescent="0.15">
      <c r="A678" s="1" t="s">
        <v>62</v>
      </c>
      <c r="B678" s="2">
        <v>28073</v>
      </c>
      <c r="C678" s="3">
        <v>3.3000000000000002E-2</v>
      </c>
      <c r="D678" s="4" t="s">
        <v>167</v>
      </c>
      <c r="E678" s="4" t="s">
        <v>168</v>
      </c>
    </row>
    <row r="679" spans="1:5" ht="26" hidden="1" x14ac:dyDescent="0.15">
      <c r="A679" s="1" t="s">
        <v>63</v>
      </c>
      <c r="B679" s="2">
        <v>209480</v>
      </c>
      <c r="C679" s="3">
        <v>0.248</v>
      </c>
      <c r="D679" s="4" t="s">
        <v>167</v>
      </c>
      <c r="E679" s="4" t="s">
        <v>168</v>
      </c>
    </row>
    <row r="680" spans="1:5" ht="26" hidden="1" x14ac:dyDescent="0.15">
      <c r="A680" s="1" t="s">
        <v>64</v>
      </c>
      <c r="B680" s="2">
        <v>96385</v>
      </c>
      <c r="C680" s="3">
        <v>0.114</v>
      </c>
      <c r="D680" s="4" t="s">
        <v>167</v>
      </c>
      <c r="E680" s="4" t="s">
        <v>168</v>
      </c>
    </row>
    <row r="681" spans="1:5" hidden="1" x14ac:dyDescent="0.15">
      <c r="A681" s="1" t="s">
        <v>65</v>
      </c>
      <c r="B681" s="2">
        <v>130087</v>
      </c>
      <c r="C681" s="3">
        <v>0.154</v>
      </c>
      <c r="D681" s="4" t="s">
        <v>167</v>
      </c>
      <c r="E681" s="4" t="s">
        <v>168</v>
      </c>
    </row>
    <row r="682" spans="1:5" hidden="1" x14ac:dyDescent="0.15">
      <c r="A682" s="1" t="s">
        <v>66</v>
      </c>
      <c r="B682" s="2">
        <v>64493</v>
      </c>
      <c r="C682" s="3">
        <v>7.5999999999999998E-2</v>
      </c>
      <c r="D682" s="4" t="s">
        <v>167</v>
      </c>
      <c r="E682" s="4" t="s">
        <v>168</v>
      </c>
    </row>
    <row r="683" spans="1:5" hidden="1" x14ac:dyDescent="0.15">
      <c r="A683" s="1" t="s">
        <v>67</v>
      </c>
      <c r="B683" s="2">
        <v>279050</v>
      </c>
      <c r="C683" s="3">
        <v>0.33</v>
      </c>
      <c r="D683" s="4" t="s">
        <v>167</v>
      </c>
      <c r="E683" s="4" t="s">
        <v>168</v>
      </c>
    </row>
    <row r="684" spans="1:5" hidden="1" x14ac:dyDescent="0.15">
      <c r="A684" s="1" t="s">
        <v>68</v>
      </c>
      <c r="B684" s="2">
        <v>278546</v>
      </c>
      <c r="C684" s="3">
        <v>0.33</v>
      </c>
      <c r="D684" s="4" t="s">
        <v>167</v>
      </c>
      <c r="E684" s="4" t="s">
        <v>168</v>
      </c>
    </row>
    <row r="685" spans="1:5" hidden="1" x14ac:dyDescent="0.15">
      <c r="A685" s="1" t="s">
        <v>69</v>
      </c>
      <c r="B685" s="2">
        <v>560051</v>
      </c>
      <c r="C685" s="3">
        <v>0.66299999999999992</v>
      </c>
      <c r="D685" s="4" t="s">
        <v>167</v>
      </c>
      <c r="E685" s="4" t="s">
        <v>168</v>
      </c>
    </row>
    <row r="686" spans="1:5" hidden="1" x14ac:dyDescent="0.15">
      <c r="A686" s="1" t="s">
        <v>70</v>
      </c>
      <c r="B686" s="2">
        <v>244363</v>
      </c>
      <c r="C686" s="3">
        <v>0.28899999999999998</v>
      </c>
      <c r="D686" s="4" t="s">
        <v>167</v>
      </c>
      <c r="E686" s="4" t="s">
        <v>168</v>
      </c>
    </row>
    <row r="687" spans="1:5" ht="26" hidden="1" x14ac:dyDescent="0.15">
      <c r="A687" s="1" t="s">
        <v>71</v>
      </c>
      <c r="B687" s="2">
        <v>36967</v>
      </c>
      <c r="C687" s="3">
        <v>4.4000000000000004E-2</v>
      </c>
      <c r="D687" s="4" t="s">
        <v>167</v>
      </c>
      <c r="E687" s="4" t="s">
        <v>168</v>
      </c>
    </row>
    <row r="688" spans="1:5" hidden="1" x14ac:dyDescent="0.15">
      <c r="A688" s="1" t="s">
        <v>72</v>
      </c>
      <c r="B688" s="2">
        <v>100849</v>
      </c>
      <c r="C688" s="3">
        <v>0.11900000000000001</v>
      </c>
      <c r="D688" s="4" t="s">
        <v>167</v>
      </c>
      <c r="E688" s="4" t="s">
        <v>168</v>
      </c>
    </row>
    <row r="689" spans="1:5" hidden="1" x14ac:dyDescent="0.15">
      <c r="A689" s="1" t="s">
        <v>73</v>
      </c>
      <c r="B689" s="2">
        <v>474395</v>
      </c>
      <c r="C689" s="3">
        <v>0.56100000000000005</v>
      </c>
      <c r="D689" s="4" t="s">
        <v>167</v>
      </c>
      <c r="E689" s="4" t="s">
        <v>168</v>
      </c>
    </row>
    <row r="690" spans="1:5" hidden="1" x14ac:dyDescent="0.15">
      <c r="A690" s="1" t="s">
        <v>74</v>
      </c>
      <c r="B690" s="2">
        <v>221782</v>
      </c>
      <c r="C690" s="3">
        <v>0.26200000000000001</v>
      </c>
      <c r="D690" s="4" t="s">
        <v>167</v>
      </c>
      <c r="E690" s="4" t="s">
        <v>168</v>
      </c>
    </row>
    <row r="691" spans="1:5" hidden="1" x14ac:dyDescent="0.15">
      <c r="A691" s="1" t="s">
        <v>75</v>
      </c>
      <c r="B691" s="2">
        <v>116842</v>
      </c>
      <c r="C691" s="3">
        <v>0.13800000000000001</v>
      </c>
      <c r="D691" s="4" t="s">
        <v>167</v>
      </c>
      <c r="E691" s="4" t="s">
        <v>168</v>
      </c>
    </row>
    <row r="692" spans="1:5" hidden="1" x14ac:dyDescent="0.15">
      <c r="A692" s="1" t="s">
        <v>76</v>
      </c>
      <c r="B692" s="2">
        <v>128525</v>
      </c>
      <c r="C692" s="3">
        <v>0.152</v>
      </c>
      <c r="D692" s="4" t="s">
        <v>167</v>
      </c>
      <c r="E692" s="4" t="s">
        <v>168</v>
      </c>
    </row>
    <row r="693" spans="1:5" hidden="1" x14ac:dyDescent="0.15">
      <c r="A693" s="1" t="s">
        <v>77</v>
      </c>
      <c r="B693" s="2">
        <v>89999</v>
      </c>
      <c r="C693" s="3">
        <v>0.106</v>
      </c>
      <c r="D693" s="4" t="s">
        <v>167</v>
      </c>
      <c r="E693" s="4" t="s">
        <v>168</v>
      </c>
    </row>
    <row r="694" spans="1:5" ht="26" hidden="1" x14ac:dyDescent="0.15">
      <c r="A694" s="1" t="s">
        <v>78</v>
      </c>
      <c r="B694" s="2">
        <v>96124</v>
      </c>
      <c r="C694" s="3">
        <v>0.114</v>
      </c>
      <c r="D694" s="4" t="s">
        <v>167</v>
      </c>
      <c r="E694" s="4" t="s">
        <v>168</v>
      </c>
    </row>
    <row r="695" spans="1:5" hidden="1" x14ac:dyDescent="0.15">
      <c r="A695" s="1" t="s">
        <v>79</v>
      </c>
      <c r="B695" s="2">
        <v>148272</v>
      </c>
      <c r="C695" s="3">
        <v>0.17499999999999999</v>
      </c>
      <c r="D695" s="4" t="s">
        <v>167</v>
      </c>
      <c r="E695" s="4" t="s">
        <v>168</v>
      </c>
    </row>
    <row r="696" spans="1:5" hidden="1" x14ac:dyDescent="0.15">
      <c r="A696" s="1" t="s">
        <v>80</v>
      </c>
      <c r="B696" s="2">
        <v>97241</v>
      </c>
      <c r="C696" s="3">
        <v>0.115</v>
      </c>
      <c r="D696" s="4" t="s">
        <v>167</v>
      </c>
      <c r="E696" s="4" t="s">
        <v>168</v>
      </c>
    </row>
    <row r="697" spans="1:5" ht="26" hidden="1" x14ac:dyDescent="0.15">
      <c r="A697" s="1" t="s">
        <v>81</v>
      </c>
      <c r="B697" s="2">
        <v>121115</v>
      </c>
      <c r="C697" s="3">
        <v>0.14300000000000002</v>
      </c>
      <c r="D697" s="4" t="s">
        <v>167</v>
      </c>
      <c r="E697" s="4" t="s">
        <v>168</v>
      </c>
    </row>
    <row r="698" spans="1:5" hidden="1" x14ac:dyDescent="0.15">
      <c r="A698" s="1" t="s">
        <v>82</v>
      </c>
      <c r="B698" s="2">
        <v>87882</v>
      </c>
      <c r="C698" s="3">
        <v>0.10400000000000001</v>
      </c>
      <c r="D698" s="4" t="s">
        <v>167</v>
      </c>
      <c r="E698" s="4" t="s">
        <v>168</v>
      </c>
    </row>
    <row r="699" spans="1:5" hidden="1" x14ac:dyDescent="0.15">
      <c r="A699" s="4"/>
      <c r="B699" s="4"/>
      <c r="C699" s="4"/>
      <c r="D699" s="4" t="s">
        <v>167</v>
      </c>
      <c r="E699" s="4" t="s">
        <v>168</v>
      </c>
    </row>
    <row r="700" spans="1:5" hidden="1" x14ac:dyDescent="0.15">
      <c r="A700" s="5"/>
      <c r="B700" s="5"/>
      <c r="C700" s="5"/>
      <c r="D700" s="4" t="s">
        <v>167</v>
      </c>
      <c r="E700" s="4" t="s">
        <v>168</v>
      </c>
    </row>
    <row r="701" spans="1:5" ht="26" hidden="1" x14ac:dyDescent="0.15">
      <c r="A701" s="1" t="s">
        <v>169</v>
      </c>
      <c r="B701" s="2">
        <v>198205</v>
      </c>
      <c r="C701" s="3">
        <v>0.23399999999999999</v>
      </c>
      <c r="D701" s="4" t="s">
        <v>167</v>
      </c>
      <c r="E701" s="4" t="s">
        <v>168</v>
      </c>
    </row>
    <row r="702" spans="1:5" hidden="1" x14ac:dyDescent="0.15">
      <c r="A702" s="1" t="s">
        <v>170</v>
      </c>
      <c r="B702" s="2">
        <v>298494</v>
      </c>
      <c r="C702" s="3">
        <v>0.35299999999999998</v>
      </c>
      <c r="D702" s="4" t="s">
        <v>167</v>
      </c>
      <c r="E702" s="4" t="s">
        <v>168</v>
      </c>
    </row>
    <row r="703" spans="1:5" hidden="1" x14ac:dyDescent="0.15">
      <c r="A703" s="4"/>
      <c r="B703" s="4"/>
      <c r="C703" s="4"/>
      <c r="D703" s="4" t="s">
        <v>167</v>
      </c>
      <c r="E703" s="4" t="s">
        <v>168</v>
      </c>
    </row>
    <row r="704" spans="1:5" hidden="1" x14ac:dyDescent="0.15">
      <c r="A704" s="5"/>
      <c r="B704" s="5"/>
      <c r="C704" s="5"/>
      <c r="D704" s="4" t="s">
        <v>167</v>
      </c>
      <c r="E704" s="4" t="s">
        <v>168</v>
      </c>
    </row>
    <row r="705" spans="1:5" hidden="1" x14ac:dyDescent="0.15">
      <c r="A705" s="1" t="s">
        <v>171</v>
      </c>
      <c r="B705" s="2">
        <v>94236</v>
      </c>
      <c r="C705" s="3">
        <v>0.111</v>
      </c>
      <c r="D705" s="4" t="s">
        <v>167</v>
      </c>
      <c r="E705" s="4" t="s">
        <v>168</v>
      </c>
    </row>
    <row r="706" spans="1:5" hidden="1" x14ac:dyDescent="0.15">
      <c r="A706" s="4"/>
      <c r="B706" s="4"/>
      <c r="C706" s="4"/>
      <c r="D706" s="4" t="s">
        <v>167</v>
      </c>
      <c r="E706" s="4" t="s">
        <v>168</v>
      </c>
    </row>
    <row r="707" spans="1:5" hidden="1" x14ac:dyDescent="0.15">
      <c r="A707" s="5"/>
      <c r="B707" s="5"/>
      <c r="C707" s="5"/>
      <c r="D707" s="4" t="s">
        <v>167</v>
      </c>
      <c r="E707" s="4" t="s">
        <v>168</v>
      </c>
    </row>
    <row r="708" spans="1:5" ht="26" hidden="1" x14ac:dyDescent="0.15">
      <c r="A708" s="1" t="s">
        <v>172</v>
      </c>
      <c r="B708" s="2">
        <v>258362</v>
      </c>
      <c r="C708" s="3">
        <v>0.30599999999999999</v>
      </c>
      <c r="D708" s="4" t="s">
        <v>167</v>
      </c>
      <c r="E708" s="4" t="s">
        <v>168</v>
      </c>
    </row>
    <row r="709" spans="1:5" hidden="1" x14ac:dyDescent="0.15">
      <c r="A709" s="1" t="s">
        <v>173</v>
      </c>
      <c r="B709" s="2">
        <v>266435</v>
      </c>
      <c r="C709" s="3">
        <v>0.315</v>
      </c>
      <c r="D709" s="4" t="s">
        <v>167</v>
      </c>
      <c r="E709" s="4" t="s">
        <v>168</v>
      </c>
    </row>
    <row r="710" spans="1:5" hidden="1" x14ac:dyDescent="0.15">
      <c r="A710" s="4"/>
      <c r="B710" s="4"/>
      <c r="C710" s="4"/>
      <c r="D710" s="4" t="s">
        <v>167</v>
      </c>
      <c r="E710" s="4" t="s">
        <v>168</v>
      </c>
    </row>
    <row r="711" spans="1:5" hidden="1" x14ac:dyDescent="0.15">
      <c r="A711" s="5"/>
      <c r="B711" s="5"/>
      <c r="C711" s="5"/>
      <c r="D711" s="4" t="s">
        <v>167</v>
      </c>
      <c r="E711" s="4" t="s">
        <v>168</v>
      </c>
    </row>
    <row r="712" spans="1:5" ht="26" hidden="1" x14ac:dyDescent="0.15">
      <c r="A712" s="1" t="s">
        <v>174</v>
      </c>
      <c r="B712" s="2">
        <v>36015</v>
      </c>
      <c r="C712" s="3">
        <v>4.2999999999999997E-2</v>
      </c>
      <c r="D712" s="4" t="s">
        <v>167</v>
      </c>
      <c r="E712" s="4" t="s">
        <v>168</v>
      </c>
    </row>
    <row r="713" spans="1:5" ht="26" hidden="1" x14ac:dyDescent="0.15">
      <c r="A713" s="1" t="s">
        <v>175</v>
      </c>
      <c r="B713" s="2">
        <v>156941</v>
      </c>
      <c r="C713" s="3">
        <v>0.18600000000000003</v>
      </c>
      <c r="D713" s="4" t="s">
        <v>167</v>
      </c>
      <c r="E713" s="4" t="s">
        <v>168</v>
      </c>
    </row>
    <row r="714" spans="1:5" hidden="1" x14ac:dyDescent="0.15">
      <c r="A714" s="4"/>
      <c r="B714" s="4"/>
      <c r="C714" s="4"/>
      <c r="D714" s="4" t="s">
        <v>167</v>
      </c>
      <c r="E714" s="4" t="s">
        <v>168</v>
      </c>
    </row>
    <row r="715" spans="1:5" hidden="1" x14ac:dyDescent="0.15">
      <c r="A715" s="5"/>
      <c r="B715" s="5"/>
      <c r="C715" s="5"/>
      <c r="D715" s="4" t="s">
        <v>167</v>
      </c>
      <c r="E715" s="4" t="s">
        <v>168</v>
      </c>
    </row>
    <row r="716" spans="1:5" ht="26" hidden="1" x14ac:dyDescent="0.15">
      <c r="A716" s="1" t="s">
        <v>176</v>
      </c>
      <c r="B716" s="2">
        <v>57010</v>
      </c>
      <c r="C716" s="3">
        <v>6.7000000000000004E-2</v>
      </c>
      <c r="D716" s="4" t="s">
        <v>167</v>
      </c>
      <c r="E716" s="4" t="s">
        <v>168</v>
      </c>
    </row>
    <row r="717" spans="1:5" ht="26" hidden="1" x14ac:dyDescent="0.15">
      <c r="A717" s="1" t="s">
        <v>177</v>
      </c>
      <c r="B717" s="2">
        <v>83684</v>
      </c>
      <c r="C717" s="3">
        <v>9.9000000000000005E-2</v>
      </c>
      <c r="D717" s="4" t="s">
        <v>167</v>
      </c>
      <c r="E717" s="4" t="s">
        <v>168</v>
      </c>
    </row>
    <row r="718" spans="1:5" ht="26" hidden="1" x14ac:dyDescent="0.15">
      <c r="A718" s="1" t="s">
        <v>178</v>
      </c>
      <c r="B718" s="2">
        <v>69926</v>
      </c>
      <c r="C718" s="3">
        <v>8.3000000000000004E-2</v>
      </c>
      <c r="D718" s="4" t="s">
        <v>167</v>
      </c>
      <c r="E718" s="4" t="s">
        <v>168</v>
      </c>
    </row>
    <row r="719" spans="1:5" ht="26" hidden="1" x14ac:dyDescent="0.15">
      <c r="A719" s="1" t="s">
        <v>179</v>
      </c>
      <c r="B719" s="2">
        <v>109033</v>
      </c>
      <c r="C719" s="3">
        <v>0.129</v>
      </c>
      <c r="D719" s="4" t="s">
        <v>167</v>
      </c>
      <c r="E719" s="4" t="s">
        <v>168</v>
      </c>
    </row>
    <row r="720" spans="1:5" ht="26" hidden="1" x14ac:dyDescent="0.15">
      <c r="A720" s="1" t="s">
        <v>180</v>
      </c>
      <c r="B720" s="2">
        <v>208588</v>
      </c>
      <c r="C720" s="3">
        <v>0.247</v>
      </c>
      <c r="D720" s="4" t="s">
        <v>167</v>
      </c>
      <c r="E720" s="4" t="s">
        <v>168</v>
      </c>
    </row>
    <row r="721" spans="1:5" ht="26" hidden="1" x14ac:dyDescent="0.15">
      <c r="A721" s="1" t="s">
        <v>181</v>
      </c>
      <c r="B721" s="2">
        <v>118801</v>
      </c>
      <c r="C721" s="3">
        <v>0.14099999999999999</v>
      </c>
      <c r="D721" s="4" t="s">
        <v>167</v>
      </c>
      <c r="E721" s="4" t="s">
        <v>168</v>
      </c>
    </row>
    <row r="722" spans="1:5" ht="26" hidden="1" x14ac:dyDescent="0.15">
      <c r="A722" s="1" t="s">
        <v>182</v>
      </c>
      <c r="B722" s="2">
        <v>366856</v>
      </c>
      <c r="C722" s="3">
        <v>0.434</v>
      </c>
      <c r="D722" s="4" t="s">
        <v>167</v>
      </c>
      <c r="E722" s="4" t="s">
        <v>168</v>
      </c>
    </row>
    <row r="723" spans="1:5" ht="39" hidden="1" x14ac:dyDescent="0.15">
      <c r="A723" s="1" t="s">
        <v>183</v>
      </c>
      <c r="B723" s="2">
        <v>109930</v>
      </c>
      <c r="C723" s="3">
        <v>0.13</v>
      </c>
      <c r="D723" s="4" t="s">
        <v>167</v>
      </c>
      <c r="E723" s="4" t="s">
        <v>168</v>
      </c>
    </row>
    <row r="724" spans="1:5" ht="26" hidden="1" x14ac:dyDescent="0.15">
      <c r="A724" s="1" t="s">
        <v>184</v>
      </c>
      <c r="B724" s="2">
        <v>193160</v>
      </c>
      <c r="C724" s="3">
        <v>0.22899999999999998</v>
      </c>
      <c r="D724" s="4" t="s">
        <v>167</v>
      </c>
      <c r="E724" s="4" t="s">
        <v>168</v>
      </c>
    </row>
    <row r="725" spans="1:5" hidden="1" x14ac:dyDescent="0.15">
      <c r="A725" s="11" t="s">
        <v>0</v>
      </c>
      <c r="B725" s="12">
        <v>3523333</v>
      </c>
      <c r="C725" s="13">
        <v>1</v>
      </c>
      <c r="D725" s="4" t="s">
        <v>185</v>
      </c>
      <c r="E725" s="4" t="s">
        <v>106</v>
      </c>
    </row>
    <row r="726" spans="1:5" ht="26" hidden="1" x14ac:dyDescent="0.15">
      <c r="A726" s="11" t="s">
        <v>3</v>
      </c>
      <c r="B726" s="12">
        <v>43037</v>
      </c>
      <c r="C726" s="13">
        <v>1.2E-2</v>
      </c>
      <c r="D726" s="4" t="s">
        <v>185</v>
      </c>
      <c r="E726" s="4" t="s">
        <v>106</v>
      </c>
    </row>
    <row r="727" spans="1:5" hidden="1" x14ac:dyDescent="0.15">
      <c r="A727" s="11" t="s">
        <v>4</v>
      </c>
      <c r="B727" s="12">
        <v>49450</v>
      </c>
      <c r="C727" s="13">
        <v>1.3999999999999999E-2</v>
      </c>
      <c r="D727" s="4" t="s">
        <v>185</v>
      </c>
      <c r="E727" s="4" t="s">
        <v>106</v>
      </c>
    </row>
    <row r="728" spans="1:5" ht="26" hidden="1" x14ac:dyDescent="0.15">
      <c r="A728" s="11" t="s">
        <v>5</v>
      </c>
      <c r="B728" s="12">
        <v>77906</v>
      </c>
      <c r="C728" s="13">
        <v>2.2000000000000002E-2</v>
      </c>
      <c r="D728" s="4" t="s">
        <v>185</v>
      </c>
      <c r="E728" s="4" t="s">
        <v>106</v>
      </c>
    </row>
    <row r="729" spans="1:5" ht="26" hidden="1" x14ac:dyDescent="0.15">
      <c r="A729" s="11" t="s">
        <v>6</v>
      </c>
      <c r="B729" s="12">
        <v>275307</v>
      </c>
      <c r="C729" s="13">
        <v>7.8E-2</v>
      </c>
      <c r="D729" s="4" t="s">
        <v>185</v>
      </c>
      <c r="E729" s="4" t="s">
        <v>106</v>
      </c>
    </row>
    <row r="730" spans="1:5" ht="26" hidden="1" x14ac:dyDescent="0.15">
      <c r="A730" s="11" t="s">
        <v>7</v>
      </c>
      <c r="B730" s="12">
        <v>742856</v>
      </c>
      <c r="C730" s="13">
        <v>0.21100000000000002</v>
      </c>
      <c r="D730" s="4" t="s">
        <v>185</v>
      </c>
      <c r="E730" s="4" t="s">
        <v>106</v>
      </c>
    </row>
    <row r="731" spans="1:5" ht="26" hidden="1" x14ac:dyDescent="0.15">
      <c r="A731" s="11" t="s">
        <v>8</v>
      </c>
      <c r="B731" s="12">
        <v>39907</v>
      </c>
      <c r="C731" s="13">
        <v>1.1000000000000001E-2</v>
      </c>
      <c r="D731" s="4" t="s">
        <v>185</v>
      </c>
      <c r="E731" s="4" t="s">
        <v>106</v>
      </c>
    </row>
    <row r="732" spans="1:5" ht="26" hidden="1" x14ac:dyDescent="0.15">
      <c r="A732" s="11" t="s">
        <v>9</v>
      </c>
      <c r="B732" s="12">
        <v>94284</v>
      </c>
      <c r="C732" s="13">
        <v>2.7000000000000003E-2</v>
      </c>
      <c r="D732" s="4" t="s">
        <v>185</v>
      </c>
      <c r="E732" s="4" t="s">
        <v>106</v>
      </c>
    </row>
    <row r="733" spans="1:5" ht="26" hidden="1" x14ac:dyDescent="0.15">
      <c r="A733" s="11" t="s">
        <v>10</v>
      </c>
      <c r="B733" s="12">
        <v>63630</v>
      </c>
      <c r="C733" s="13">
        <v>1.8000000000000002E-2</v>
      </c>
      <c r="D733" s="4" t="s">
        <v>185</v>
      </c>
      <c r="E733" s="4" t="s">
        <v>106</v>
      </c>
    </row>
    <row r="734" spans="1:5" ht="26" hidden="1" x14ac:dyDescent="0.15">
      <c r="A734" s="11" t="s">
        <v>11</v>
      </c>
      <c r="B734" s="12">
        <v>233567</v>
      </c>
      <c r="C734" s="13">
        <v>6.6000000000000003E-2</v>
      </c>
      <c r="D734" s="4" t="s">
        <v>185</v>
      </c>
      <c r="E734" s="4" t="s">
        <v>106</v>
      </c>
    </row>
    <row r="735" spans="1:5" hidden="1" x14ac:dyDescent="0.15">
      <c r="A735" s="11" t="s">
        <v>12</v>
      </c>
      <c r="B735" s="12">
        <v>56356</v>
      </c>
      <c r="C735" s="13">
        <v>1.6E-2</v>
      </c>
      <c r="D735" s="4" t="s">
        <v>185</v>
      </c>
      <c r="E735" s="4" t="s">
        <v>106</v>
      </c>
    </row>
    <row r="736" spans="1:5" ht="26" hidden="1" x14ac:dyDescent="0.15">
      <c r="A736" s="11" t="s">
        <v>13</v>
      </c>
      <c r="B736" s="12">
        <v>31357</v>
      </c>
      <c r="C736" s="13">
        <v>9.0000000000000011E-3</v>
      </c>
      <c r="D736" s="4" t="s">
        <v>185</v>
      </c>
      <c r="E736" s="4" t="s">
        <v>106</v>
      </c>
    </row>
    <row r="737" spans="1:5" hidden="1" x14ac:dyDescent="0.15">
      <c r="A737" s="11" t="s">
        <v>14</v>
      </c>
      <c r="B737" s="12">
        <v>272493</v>
      </c>
      <c r="C737" s="13">
        <v>7.6999999999999999E-2</v>
      </c>
      <c r="D737" s="4" t="s">
        <v>185</v>
      </c>
      <c r="E737" s="4" t="s">
        <v>106</v>
      </c>
    </row>
    <row r="738" spans="1:5" ht="26" hidden="1" x14ac:dyDescent="0.15">
      <c r="A738" s="11" t="s">
        <v>15</v>
      </c>
      <c r="B738" s="12">
        <v>128842</v>
      </c>
      <c r="C738" s="13">
        <v>3.7000000000000005E-2</v>
      </c>
      <c r="D738" s="4" t="s">
        <v>185</v>
      </c>
      <c r="E738" s="4" t="s">
        <v>106</v>
      </c>
    </row>
    <row r="739" spans="1:5" hidden="1" x14ac:dyDescent="0.15">
      <c r="A739" s="11" t="s">
        <v>16</v>
      </c>
      <c r="B739" s="12">
        <v>134761</v>
      </c>
      <c r="C739" s="13">
        <v>3.7999999999999999E-2</v>
      </c>
      <c r="D739" s="4" t="s">
        <v>185</v>
      </c>
      <c r="E739" s="4" t="s">
        <v>106</v>
      </c>
    </row>
    <row r="740" spans="1:5" ht="26" hidden="1" x14ac:dyDescent="0.15">
      <c r="A740" s="11" t="s">
        <v>17</v>
      </c>
      <c r="B740" s="12">
        <v>123123</v>
      </c>
      <c r="C740" s="13">
        <v>3.5000000000000003E-2</v>
      </c>
      <c r="D740" s="4" t="s">
        <v>185</v>
      </c>
      <c r="E740" s="4" t="s">
        <v>106</v>
      </c>
    </row>
    <row r="741" spans="1:5" hidden="1" x14ac:dyDescent="0.15">
      <c r="A741" s="11" t="s">
        <v>18</v>
      </c>
      <c r="B741" s="12">
        <v>96753</v>
      </c>
      <c r="C741" s="13">
        <v>2.7000000000000003E-2</v>
      </c>
      <c r="D741" s="4" t="s">
        <v>185</v>
      </c>
      <c r="E741" s="4" t="s">
        <v>106</v>
      </c>
    </row>
    <row r="742" spans="1:5" hidden="1" x14ac:dyDescent="0.15">
      <c r="A742" s="11" t="s">
        <v>19</v>
      </c>
      <c r="B742" s="12">
        <v>720218</v>
      </c>
      <c r="C742" s="13">
        <v>0.20399999999999999</v>
      </c>
      <c r="D742" s="4" t="s">
        <v>185</v>
      </c>
      <c r="E742" s="4" t="s">
        <v>106</v>
      </c>
    </row>
    <row r="743" spans="1:5" hidden="1" x14ac:dyDescent="0.15">
      <c r="A743" s="11" t="s">
        <v>20</v>
      </c>
      <c r="B743" s="12">
        <v>69464</v>
      </c>
      <c r="C743" s="13">
        <v>0.02</v>
      </c>
      <c r="D743" s="4" t="s">
        <v>185</v>
      </c>
      <c r="E743" s="4" t="s">
        <v>106</v>
      </c>
    </row>
    <row r="744" spans="1:5" ht="26" hidden="1" x14ac:dyDescent="0.15">
      <c r="A744" s="11" t="s">
        <v>21</v>
      </c>
      <c r="B744" s="12">
        <v>149530</v>
      </c>
      <c r="C744" s="13">
        <v>4.2000000000000003E-2</v>
      </c>
      <c r="D744" s="4" t="s">
        <v>185</v>
      </c>
      <c r="E744" s="4" t="s">
        <v>106</v>
      </c>
    </row>
    <row r="745" spans="1:5" ht="26" hidden="1" x14ac:dyDescent="0.15">
      <c r="A745" s="11" t="s">
        <v>22</v>
      </c>
      <c r="B745" s="12">
        <v>22853</v>
      </c>
      <c r="C745" s="13">
        <v>6.0000000000000001E-3</v>
      </c>
      <c r="D745" s="4" t="s">
        <v>185</v>
      </c>
      <c r="E745" s="4" t="s">
        <v>106</v>
      </c>
    </row>
    <row r="746" spans="1:5" ht="26" hidden="1" x14ac:dyDescent="0.15">
      <c r="A746" s="11" t="s">
        <v>23</v>
      </c>
      <c r="B746" s="12">
        <v>57528</v>
      </c>
      <c r="C746" s="13">
        <v>1.6E-2</v>
      </c>
      <c r="D746" s="4" t="s">
        <v>185</v>
      </c>
      <c r="E746" s="4" t="s">
        <v>106</v>
      </c>
    </row>
    <row r="747" spans="1:5" ht="26" hidden="1" x14ac:dyDescent="0.15">
      <c r="A747" s="11" t="s">
        <v>24</v>
      </c>
      <c r="B747" s="12">
        <v>10307</v>
      </c>
      <c r="C747" s="13">
        <v>3.0000000000000001E-3</v>
      </c>
      <c r="D747" s="4" t="s">
        <v>185</v>
      </c>
      <c r="E747" s="4" t="s">
        <v>106</v>
      </c>
    </row>
    <row r="748" spans="1:5" ht="26" hidden="1" x14ac:dyDescent="0.15">
      <c r="A748" s="11" t="s">
        <v>25</v>
      </c>
      <c r="B748" s="12">
        <v>77349</v>
      </c>
      <c r="C748" s="13">
        <v>2.2000000000000002E-2</v>
      </c>
      <c r="D748" s="4" t="s">
        <v>185</v>
      </c>
      <c r="E748" s="4" t="s">
        <v>106</v>
      </c>
    </row>
    <row r="749" spans="1:5" hidden="1" x14ac:dyDescent="0.15">
      <c r="A749" s="11" t="s">
        <v>26</v>
      </c>
      <c r="B749" s="12">
        <v>37568</v>
      </c>
      <c r="C749" s="13">
        <v>1.1000000000000001E-2</v>
      </c>
      <c r="D749" s="4" t="s">
        <v>185</v>
      </c>
      <c r="E749" s="4" t="s">
        <v>106</v>
      </c>
    </row>
    <row r="750" spans="1:5" hidden="1" x14ac:dyDescent="0.15">
      <c r="A750" s="11" t="s">
        <v>27</v>
      </c>
      <c r="B750" s="12">
        <v>387142</v>
      </c>
      <c r="C750" s="13">
        <v>0.11</v>
      </c>
      <c r="D750" s="4" t="s">
        <v>185</v>
      </c>
      <c r="E750" s="4" t="s">
        <v>106</v>
      </c>
    </row>
    <row r="751" spans="1:5" hidden="1" x14ac:dyDescent="0.15">
      <c r="A751" s="11" t="s">
        <v>28</v>
      </c>
      <c r="B751" s="12">
        <v>229575</v>
      </c>
      <c r="C751" s="13">
        <v>6.5000000000000002E-2</v>
      </c>
      <c r="D751" s="4" t="s">
        <v>185</v>
      </c>
      <c r="E751" s="4" t="s">
        <v>106</v>
      </c>
    </row>
    <row r="752" spans="1:5" hidden="1" x14ac:dyDescent="0.15">
      <c r="A752" s="11" t="s">
        <v>29</v>
      </c>
      <c r="B752" s="12">
        <v>1115812</v>
      </c>
      <c r="C752" s="13">
        <v>0.317</v>
      </c>
      <c r="D752" s="4" t="s">
        <v>185</v>
      </c>
      <c r="E752" s="4" t="s">
        <v>106</v>
      </c>
    </row>
    <row r="753" spans="1:5" hidden="1" x14ac:dyDescent="0.15">
      <c r="A753" s="11" t="s">
        <v>30</v>
      </c>
      <c r="B753" s="12">
        <v>247239</v>
      </c>
      <c r="C753" s="13">
        <v>7.0000000000000007E-2</v>
      </c>
      <c r="D753" s="4" t="s">
        <v>185</v>
      </c>
      <c r="E753" s="4" t="s">
        <v>106</v>
      </c>
    </row>
    <row r="754" spans="1:5" ht="39" hidden="1" x14ac:dyDescent="0.15">
      <c r="A754" s="11" t="s">
        <v>31</v>
      </c>
      <c r="B754" s="12">
        <v>24535</v>
      </c>
      <c r="C754" s="13">
        <v>6.9999999999999993E-3</v>
      </c>
      <c r="D754" s="4" t="s">
        <v>185</v>
      </c>
      <c r="E754" s="4" t="s">
        <v>106</v>
      </c>
    </row>
    <row r="755" spans="1:5" hidden="1" x14ac:dyDescent="0.15">
      <c r="A755" s="11" t="s">
        <v>32</v>
      </c>
      <c r="B755" s="12">
        <v>101320</v>
      </c>
      <c r="C755" s="13">
        <v>2.8999999999999998E-2</v>
      </c>
      <c r="D755" s="4" t="s">
        <v>185</v>
      </c>
      <c r="E755" s="4" t="s">
        <v>106</v>
      </c>
    </row>
    <row r="756" spans="1:5" hidden="1" x14ac:dyDescent="0.15">
      <c r="A756" s="11" t="s">
        <v>33</v>
      </c>
      <c r="B756" s="12">
        <v>1001133</v>
      </c>
      <c r="C756" s="13">
        <v>0.28399999999999997</v>
      </c>
      <c r="D756" s="4" t="s">
        <v>185</v>
      </c>
      <c r="E756" s="4" t="s">
        <v>106</v>
      </c>
    </row>
    <row r="757" spans="1:5" hidden="1" x14ac:dyDescent="0.15">
      <c r="A757" s="11" t="s">
        <v>34</v>
      </c>
      <c r="B757" s="12">
        <v>367750</v>
      </c>
      <c r="C757" s="13">
        <v>0.10400000000000001</v>
      </c>
      <c r="D757" s="4" t="s">
        <v>185</v>
      </c>
      <c r="E757" s="4" t="s">
        <v>106</v>
      </c>
    </row>
    <row r="758" spans="1:5" hidden="1" x14ac:dyDescent="0.15">
      <c r="A758" s="11" t="s">
        <v>35</v>
      </c>
      <c r="B758" s="12">
        <v>193698</v>
      </c>
      <c r="C758" s="13">
        <v>5.5E-2</v>
      </c>
      <c r="D758" s="4" t="s">
        <v>185</v>
      </c>
      <c r="E758" s="4" t="s">
        <v>106</v>
      </c>
    </row>
    <row r="759" spans="1:5" ht="26" hidden="1" x14ac:dyDescent="0.15">
      <c r="A759" s="11" t="s">
        <v>36</v>
      </c>
      <c r="B759" s="12">
        <v>44586</v>
      </c>
      <c r="C759" s="13">
        <v>1.3000000000000001E-2</v>
      </c>
      <c r="D759" s="4" t="s">
        <v>185</v>
      </c>
      <c r="E759" s="4" t="s">
        <v>106</v>
      </c>
    </row>
    <row r="760" spans="1:5" hidden="1" x14ac:dyDescent="0.15">
      <c r="A760" s="11" t="s">
        <v>37</v>
      </c>
      <c r="B760" s="12">
        <v>31378</v>
      </c>
      <c r="C760" s="13">
        <v>9.0000000000000011E-3</v>
      </c>
      <c r="D760" s="4" t="s">
        <v>185</v>
      </c>
      <c r="E760" s="4" t="s">
        <v>106</v>
      </c>
    </row>
    <row r="761" spans="1:5" ht="39" hidden="1" x14ac:dyDescent="0.15">
      <c r="A761" s="11" t="s">
        <v>38</v>
      </c>
      <c r="B761" s="12">
        <v>52482</v>
      </c>
      <c r="C761" s="13">
        <v>1.4999999999999999E-2</v>
      </c>
      <c r="D761" s="4" t="s">
        <v>185</v>
      </c>
      <c r="E761" s="4" t="s">
        <v>106</v>
      </c>
    </row>
    <row r="762" spans="1:5" hidden="1" x14ac:dyDescent="0.15">
      <c r="A762" s="11" t="s">
        <v>39</v>
      </c>
      <c r="B762" s="12">
        <v>186432</v>
      </c>
      <c r="C762" s="13">
        <v>5.2999999999999999E-2</v>
      </c>
      <c r="D762" s="4" t="s">
        <v>185</v>
      </c>
      <c r="E762" s="4" t="s">
        <v>106</v>
      </c>
    </row>
    <row r="763" spans="1:5" hidden="1" x14ac:dyDescent="0.15">
      <c r="A763" s="11" t="s">
        <v>40</v>
      </c>
      <c r="B763" s="12">
        <v>28202</v>
      </c>
      <c r="C763" s="13">
        <v>8.0000000000000002E-3</v>
      </c>
      <c r="D763" s="4" t="s">
        <v>185</v>
      </c>
      <c r="E763" s="4" t="s">
        <v>106</v>
      </c>
    </row>
    <row r="764" spans="1:5" hidden="1" x14ac:dyDescent="0.15">
      <c r="A764" s="11" t="s">
        <v>41</v>
      </c>
      <c r="B764" s="12">
        <v>136451</v>
      </c>
      <c r="C764" s="13">
        <v>3.9E-2</v>
      </c>
      <c r="D764" s="4" t="s">
        <v>185</v>
      </c>
      <c r="E764" s="4" t="s">
        <v>106</v>
      </c>
    </row>
    <row r="765" spans="1:5" hidden="1" x14ac:dyDescent="0.15">
      <c r="A765" s="11" t="s">
        <v>42</v>
      </c>
      <c r="B765" s="12">
        <v>115388</v>
      </c>
      <c r="C765" s="13">
        <v>3.3000000000000002E-2</v>
      </c>
      <c r="D765" s="4" t="s">
        <v>185</v>
      </c>
      <c r="E765" s="4" t="s">
        <v>106</v>
      </c>
    </row>
    <row r="766" spans="1:5" hidden="1" x14ac:dyDescent="0.15">
      <c r="A766" s="11" t="s">
        <v>43</v>
      </c>
      <c r="B766" s="12">
        <v>294671</v>
      </c>
      <c r="C766" s="13">
        <v>8.4000000000000005E-2</v>
      </c>
      <c r="D766" s="4" t="s">
        <v>185</v>
      </c>
      <c r="E766" s="4" t="s">
        <v>106</v>
      </c>
    </row>
    <row r="767" spans="1:5" ht="26" hidden="1" x14ac:dyDescent="0.15">
      <c r="A767" s="11" t="s">
        <v>44</v>
      </c>
      <c r="B767" s="12">
        <v>561807</v>
      </c>
      <c r="C767" s="13">
        <v>0.159</v>
      </c>
      <c r="D767" s="4" t="s">
        <v>185</v>
      </c>
      <c r="E767" s="4" t="s">
        <v>106</v>
      </c>
    </row>
    <row r="768" spans="1:5" hidden="1" x14ac:dyDescent="0.15">
      <c r="A768" s="11" t="s">
        <v>45</v>
      </c>
      <c r="B768" s="12">
        <v>655666</v>
      </c>
      <c r="C768" s="13">
        <v>0.18600000000000003</v>
      </c>
      <c r="D768" s="4" t="s">
        <v>185</v>
      </c>
      <c r="E768" s="4" t="s">
        <v>106</v>
      </c>
    </row>
    <row r="769" spans="1:5" ht="26" hidden="1" x14ac:dyDescent="0.15">
      <c r="A769" s="11" t="s">
        <v>46</v>
      </c>
      <c r="B769" s="12">
        <v>998746</v>
      </c>
      <c r="C769" s="13">
        <v>0.28300000000000003</v>
      </c>
      <c r="D769" s="4" t="s">
        <v>185</v>
      </c>
      <c r="E769" s="4" t="s">
        <v>106</v>
      </c>
    </row>
    <row r="770" spans="1:5" hidden="1" x14ac:dyDescent="0.15">
      <c r="A770" s="11" t="s">
        <v>47</v>
      </c>
      <c r="B770" s="12">
        <v>1591326</v>
      </c>
      <c r="C770" s="13">
        <v>0.45200000000000001</v>
      </c>
      <c r="D770" s="4" t="s">
        <v>185</v>
      </c>
      <c r="E770" s="4" t="s">
        <v>106</v>
      </c>
    </row>
    <row r="771" spans="1:5" hidden="1" x14ac:dyDescent="0.15">
      <c r="A771" s="11" t="s">
        <v>48</v>
      </c>
      <c r="B771" s="12">
        <v>345524</v>
      </c>
      <c r="C771" s="13">
        <v>9.8000000000000004E-2</v>
      </c>
      <c r="D771" s="4" t="s">
        <v>185</v>
      </c>
      <c r="E771" s="4" t="s">
        <v>106</v>
      </c>
    </row>
    <row r="772" spans="1:5" hidden="1" x14ac:dyDescent="0.15">
      <c r="A772" s="11" t="s">
        <v>49</v>
      </c>
      <c r="B772" s="12">
        <v>443325</v>
      </c>
      <c r="C772" s="13">
        <v>0.126</v>
      </c>
      <c r="D772" s="4" t="s">
        <v>185</v>
      </c>
      <c r="E772" s="4" t="s">
        <v>106</v>
      </c>
    </row>
    <row r="773" spans="1:5" ht="26" hidden="1" x14ac:dyDescent="0.15">
      <c r="A773" s="11" t="s">
        <v>50</v>
      </c>
      <c r="B773" s="12">
        <v>591426</v>
      </c>
      <c r="C773" s="13">
        <v>0.16800000000000001</v>
      </c>
      <c r="D773" s="4" t="s">
        <v>185</v>
      </c>
      <c r="E773" s="4" t="s">
        <v>106</v>
      </c>
    </row>
    <row r="774" spans="1:5" hidden="1" x14ac:dyDescent="0.15">
      <c r="A774" s="11" t="s">
        <v>51</v>
      </c>
      <c r="B774" s="12">
        <v>1192988</v>
      </c>
      <c r="C774" s="13">
        <v>0.33899999999999997</v>
      </c>
      <c r="D774" s="4" t="s">
        <v>185</v>
      </c>
      <c r="E774" s="4" t="s">
        <v>106</v>
      </c>
    </row>
    <row r="775" spans="1:5" hidden="1" x14ac:dyDescent="0.15">
      <c r="A775" s="11" t="s">
        <v>52</v>
      </c>
      <c r="B775" s="12">
        <v>486839</v>
      </c>
      <c r="C775" s="13">
        <v>0.13800000000000001</v>
      </c>
      <c r="D775" s="4" t="s">
        <v>185</v>
      </c>
      <c r="E775" s="4" t="s">
        <v>106</v>
      </c>
    </row>
    <row r="776" spans="1:5" ht="26" hidden="1" x14ac:dyDescent="0.15">
      <c r="A776" s="11" t="s">
        <v>53</v>
      </c>
      <c r="B776" s="12">
        <v>330075</v>
      </c>
      <c r="C776" s="13">
        <v>9.4E-2</v>
      </c>
      <c r="D776" s="4" t="s">
        <v>185</v>
      </c>
      <c r="E776" s="4" t="s">
        <v>106</v>
      </c>
    </row>
    <row r="777" spans="1:5" hidden="1" x14ac:dyDescent="0.15">
      <c r="A777" s="11" t="s">
        <v>54</v>
      </c>
      <c r="B777" s="12">
        <v>1318738</v>
      </c>
      <c r="C777" s="13">
        <v>0.374</v>
      </c>
      <c r="D777" s="4" t="s">
        <v>185</v>
      </c>
      <c r="E777" s="4" t="s">
        <v>106</v>
      </c>
    </row>
    <row r="778" spans="1:5" ht="26" hidden="1" x14ac:dyDescent="0.15">
      <c r="A778" s="11" t="s">
        <v>55</v>
      </c>
      <c r="B778" s="12">
        <v>793684</v>
      </c>
      <c r="C778" s="13">
        <v>0.22500000000000001</v>
      </c>
      <c r="D778" s="4" t="s">
        <v>185</v>
      </c>
      <c r="E778" s="4" t="s">
        <v>106</v>
      </c>
    </row>
    <row r="779" spans="1:5" hidden="1" x14ac:dyDescent="0.15">
      <c r="A779" s="11" t="s">
        <v>56</v>
      </c>
      <c r="B779" s="12">
        <v>811599</v>
      </c>
      <c r="C779" s="13">
        <v>0.23</v>
      </c>
      <c r="D779" s="4" t="s">
        <v>185</v>
      </c>
      <c r="E779" s="4" t="s">
        <v>106</v>
      </c>
    </row>
    <row r="780" spans="1:5" hidden="1" x14ac:dyDescent="0.15">
      <c r="A780" s="11" t="s">
        <v>57</v>
      </c>
      <c r="B780" s="12">
        <v>612781</v>
      </c>
      <c r="C780" s="13">
        <v>0.17399999999999999</v>
      </c>
      <c r="D780" s="4" t="s">
        <v>185</v>
      </c>
      <c r="E780" s="4" t="s">
        <v>106</v>
      </c>
    </row>
    <row r="781" spans="1:5" hidden="1" x14ac:dyDescent="0.15">
      <c r="A781" s="11" t="s">
        <v>58</v>
      </c>
      <c r="B781" s="12">
        <v>544764</v>
      </c>
      <c r="C781" s="13">
        <v>0.155</v>
      </c>
      <c r="D781" s="4" t="s">
        <v>185</v>
      </c>
      <c r="E781" s="4" t="s">
        <v>106</v>
      </c>
    </row>
    <row r="782" spans="1:5" hidden="1" x14ac:dyDescent="0.15">
      <c r="A782" s="11" t="s">
        <v>59</v>
      </c>
      <c r="B782" s="12">
        <v>1802839</v>
      </c>
      <c r="C782" s="13">
        <v>0.51200000000000001</v>
      </c>
      <c r="D782" s="4" t="s">
        <v>185</v>
      </c>
      <c r="E782" s="4" t="s">
        <v>106</v>
      </c>
    </row>
    <row r="783" spans="1:5" hidden="1" x14ac:dyDescent="0.15">
      <c r="A783" s="11" t="s">
        <v>60</v>
      </c>
      <c r="B783" s="12">
        <v>553593</v>
      </c>
      <c r="C783" s="13">
        <v>0.157</v>
      </c>
      <c r="D783" s="4" t="s">
        <v>185</v>
      </c>
      <c r="E783" s="4" t="s">
        <v>106</v>
      </c>
    </row>
    <row r="784" spans="1:5" ht="26" hidden="1" x14ac:dyDescent="0.15">
      <c r="A784" s="11" t="s">
        <v>61</v>
      </c>
      <c r="B784" s="12">
        <v>642984</v>
      </c>
      <c r="C784" s="13">
        <v>0.182</v>
      </c>
      <c r="D784" s="4" t="s">
        <v>185</v>
      </c>
      <c r="E784" s="4" t="s">
        <v>106</v>
      </c>
    </row>
    <row r="785" spans="1:5" hidden="1" x14ac:dyDescent="0.15">
      <c r="A785" s="11" t="s">
        <v>62</v>
      </c>
      <c r="B785" s="12">
        <v>247259</v>
      </c>
      <c r="C785" s="13">
        <v>7.0000000000000007E-2</v>
      </c>
      <c r="D785" s="4" t="s">
        <v>185</v>
      </c>
      <c r="E785" s="4" t="s">
        <v>106</v>
      </c>
    </row>
    <row r="786" spans="1:5" ht="26" hidden="1" x14ac:dyDescent="0.15">
      <c r="A786" s="11" t="s">
        <v>63</v>
      </c>
      <c r="B786" s="12">
        <v>458432</v>
      </c>
      <c r="C786" s="13">
        <v>0.13</v>
      </c>
      <c r="D786" s="4" t="s">
        <v>185</v>
      </c>
      <c r="E786" s="4" t="s">
        <v>106</v>
      </c>
    </row>
    <row r="787" spans="1:5" ht="26" hidden="1" x14ac:dyDescent="0.15">
      <c r="A787" s="11" t="s">
        <v>64</v>
      </c>
      <c r="B787" s="12">
        <v>186175</v>
      </c>
      <c r="C787" s="13">
        <v>5.2999999999999999E-2</v>
      </c>
      <c r="D787" s="4" t="s">
        <v>185</v>
      </c>
      <c r="E787" s="4" t="s">
        <v>106</v>
      </c>
    </row>
    <row r="788" spans="1:5" hidden="1" x14ac:dyDescent="0.15">
      <c r="A788" s="11" t="s">
        <v>65</v>
      </c>
      <c r="B788" s="12">
        <v>603629</v>
      </c>
      <c r="C788" s="13">
        <v>0.17100000000000001</v>
      </c>
      <c r="D788" s="4" t="s">
        <v>185</v>
      </c>
      <c r="E788" s="4" t="s">
        <v>106</v>
      </c>
    </row>
    <row r="789" spans="1:5" hidden="1" x14ac:dyDescent="0.15">
      <c r="A789" s="11" t="s">
        <v>66</v>
      </c>
      <c r="B789" s="12">
        <v>268958</v>
      </c>
      <c r="C789" s="13">
        <v>7.5999999999999998E-2</v>
      </c>
      <c r="D789" s="4" t="s">
        <v>185</v>
      </c>
      <c r="E789" s="4" t="s">
        <v>106</v>
      </c>
    </row>
    <row r="790" spans="1:5" hidden="1" x14ac:dyDescent="0.15">
      <c r="A790" s="11" t="s">
        <v>67</v>
      </c>
      <c r="B790" s="12">
        <v>1057848</v>
      </c>
      <c r="C790" s="13">
        <v>0.3</v>
      </c>
      <c r="D790" s="4" t="s">
        <v>185</v>
      </c>
      <c r="E790" s="4" t="s">
        <v>106</v>
      </c>
    </row>
    <row r="791" spans="1:5" hidden="1" x14ac:dyDescent="0.15">
      <c r="A791" s="11" t="s">
        <v>68</v>
      </c>
      <c r="B791" s="12">
        <v>1041899</v>
      </c>
      <c r="C791" s="13">
        <v>0.29600000000000004</v>
      </c>
      <c r="D791" s="4" t="s">
        <v>185</v>
      </c>
      <c r="E791" s="4" t="s">
        <v>106</v>
      </c>
    </row>
    <row r="792" spans="1:5" hidden="1" x14ac:dyDescent="0.15">
      <c r="A792" s="11" t="s">
        <v>69</v>
      </c>
      <c r="B792" s="12">
        <v>2231479</v>
      </c>
      <c r="C792" s="13">
        <v>0.63300000000000001</v>
      </c>
      <c r="D792" s="4" t="s">
        <v>185</v>
      </c>
      <c r="E792" s="4" t="s">
        <v>106</v>
      </c>
    </row>
    <row r="793" spans="1:5" hidden="1" x14ac:dyDescent="0.15">
      <c r="A793" s="11" t="s">
        <v>70</v>
      </c>
      <c r="B793" s="12">
        <v>1028468</v>
      </c>
      <c r="C793" s="13">
        <v>0.29199999999999998</v>
      </c>
      <c r="D793" s="4" t="s">
        <v>185</v>
      </c>
      <c r="E793" s="4" t="s">
        <v>106</v>
      </c>
    </row>
    <row r="794" spans="1:5" ht="26" hidden="1" x14ac:dyDescent="0.15">
      <c r="A794" s="11" t="s">
        <v>71</v>
      </c>
      <c r="B794" s="12">
        <v>186308</v>
      </c>
      <c r="C794" s="13">
        <v>5.2999999999999999E-2</v>
      </c>
      <c r="D794" s="4" t="s">
        <v>185</v>
      </c>
      <c r="E794" s="4" t="s">
        <v>106</v>
      </c>
    </row>
    <row r="795" spans="1:5" hidden="1" x14ac:dyDescent="0.15">
      <c r="A795" s="11" t="s">
        <v>72</v>
      </c>
      <c r="B795" s="12">
        <v>497488</v>
      </c>
      <c r="C795" s="13">
        <v>0.14099999999999999</v>
      </c>
      <c r="D795" s="4" t="s">
        <v>185</v>
      </c>
      <c r="E795" s="4" t="s">
        <v>106</v>
      </c>
    </row>
    <row r="796" spans="1:5" hidden="1" x14ac:dyDescent="0.15">
      <c r="A796" s="11" t="s">
        <v>73</v>
      </c>
      <c r="B796" s="12">
        <v>2191004</v>
      </c>
      <c r="C796" s="13">
        <v>0.622</v>
      </c>
      <c r="D796" s="4" t="s">
        <v>185</v>
      </c>
      <c r="E796" s="4" t="s">
        <v>106</v>
      </c>
    </row>
    <row r="797" spans="1:5" hidden="1" x14ac:dyDescent="0.15">
      <c r="A797" s="11" t="s">
        <v>74</v>
      </c>
      <c r="B797" s="12">
        <v>1040160</v>
      </c>
      <c r="C797" s="13">
        <v>0.29499999999999998</v>
      </c>
      <c r="D797" s="4" t="s">
        <v>185</v>
      </c>
      <c r="E797" s="4" t="s">
        <v>106</v>
      </c>
    </row>
    <row r="798" spans="1:5" hidden="1" x14ac:dyDescent="0.15">
      <c r="A798" s="11" t="s">
        <v>75</v>
      </c>
      <c r="B798" s="12">
        <v>809110</v>
      </c>
      <c r="C798" s="13">
        <v>0.23</v>
      </c>
      <c r="D798" s="4" t="s">
        <v>185</v>
      </c>
      <c r="E798" s="4" t="s">
        <v>106</v>
      </c>
    </row>
    <row r="799" spans="1:5" hidden="1" x14ac:dyDescent="0.15">
      <c r="A799" s="11" t="s">
        <v>76</v>
      </c>
      <c r="B799" s="12">
        <v>454885</v>
      </c>
      <c r="C799" s="13">
        <v>0.129</v>
      </c>
      <c r="D799" s="4" t="s">
        <v>185</v>
      </c>
      <c r="E799" s="4" t="s">
        <v>106</v>
      </c>
    </row>
    <row r="800" spans="1:5" hidden="1" x14ac:dyDescent="0.15">
      <c r="A800" s="11" t="s">
        <v>77</v>
      </c>
      <c r="B800" s="12">
        <v>421852</v>
      </c>
      <c r="C800" s="13">
        <v>0.12</v>
      </c>
      <c r="D800" s="4" t="s">
        <v>185</v>
      </c>
      <c r="E800" s="4" t="s">
        <v>106</v>
      </c>
    </row>
    <row r="801" spans="1:5" ht="26" hidden="1" x14ac:dyDescent="0.15">
      <c r="A801" s="11" t="s">
        <v>78</v>
      </c>
      <c r="B801" s="12">
        <v>366784</v>
      </c>
      <c r="C801" s="13">
        <v>0.10400000000000001</v>
      </c>
      <c r="D801" s="4" t="s">
        <v>185</v>
      </c>
      <c r="E801" s="4" t="s">
        <v>106</v>
      </c>
    </row>
    <row r="802" spans="1:5" hidden="1" x14ac:dyDescent="0.15">
      <c r="A802" s="11" t="s">
        <v>79</v>
      </c>
      <c r="B802" s="12">
        <v>602995</v>
      </c>
      <c r="C802" s="13">
        <v>0.17100000000000001</v>
      </c>
      <c r="D802" s="4" t="s">
        <v>185</v>
      </c>
      <c r="E802" s="4" t="s">
        <v>106</v>
      </c>
    </row>
    <row r="803" spans="1:5" hidden="1" x14ac:dyDescent="0.15">
      <c r="A803" s="11" t="s">
        <v>80</v>
      </c>
      <c r="B803" s="12">
        <v>374088</v>
      </c>
      <c r="C803" s="13">
        <v>0.106</v>
      </c>
      <c r="D803" s="4" t="s">
        <v>185</v>
      </c>
      <c r="E803" s="4" t="s">
        <v>106</v>
      </c>
    </row>
    <row r="804" spans="1:5" ht="26" hidden="1" x14ac:dyDescent="0.15">
      <c r="A804" s="11" t="s">
        <v>81</v>
      </c>
      <c r="B804" s="12">
        <v>600907</v>
      </c>
      <c r="C804" s="13">
        <v>0.17100000000000001</v>
      </c>
      <c r="D804" s="4" t="s">
        <v>185</v>
      </c>
      <c r="E804" s="4" t="s">
        <v>106</v>
      </c>
    </row>
    <row r="805" spans="1:5" hidden="1" x14ac:dyDescent="0.15">
      <c r="A805" s="11" t="s">
        <v>82</v>
      </c>
      <c r="B805" s="12">
        <v>415993</v>
      </c>
      <c r="C805" s="13">
        <v>0.11800000000000001</v>
      </c>
      <c r="D805" s="4" t="s">
        <v>185</v>
      </c>
      <c r="E805" s="4" t="s">
        <v>106</v>
      </c>
    </row>
    <row r="806" spans="1:5" hidden="1" x14ac:dyDescent="0.15">
      <c r="A806" s="14"/>
      <c r="B806" s="14"/>
      <c r="C806" s="14"/>
      <c r="D806" s="4" t="s">
        <v>185</v>
      </c>
      <c r="E806" s="4" t="s">
        <v>106</v>
      </c>
    </row>
    <row r="807" spans="1:5" hidden="1" x14ac:dyDescent="0.15">
      <c r="A807" s="15"/>
      <c r="B807" s="15"/>
      <c r="C807" s="15"/>
      <c r="D807" s="4" t="s">
        <v>185</v>
      </c>
      <c r="E807" s="4" t="s">
        <v>106</v>
      </c>
    </row>
    <row r="808" spans="1:5" hidden="1" x14ac:dyDescent="0.15">
      <c r="A808" s="11" t="s">
        <v>186</v>
      </c>
      <c r="B808" s="12">
        <v>249960</v>
      </c>
      <c r="C808" s="13">
        <v>7.0999999999999994E-2</v>
      </c>
      <c r="D808" s="4" t="s">
        <v>185</v>
      </c>
      <c r="E808" s="4" t="s">
        <v>106</v>
      </c>
    </row>
    <row r="809" spans="1:5" hidden="1" x14ac:dyDescent="0.15">
      <c r="A809" s="11" t="s">
        <v>107</v>
      </c>
      <c r="B809" s="12">
        <v>249960</v>
      </c>
      <c r="C809" s="13">
        <v>7.0999999999999994E-2</v>
      </c>
      <c r="D809" s="4" t="s">
        <v>185</v>
      </c>
      <c r="E809" s="4" t="s">
        <v>106</v>
      </c>
    </row>
    <row r="810" spans="1:5" hidden="1" x14ac:dyDescent="0.15">
      <c r="A810" s="11" t="s">
        <v>108</v>
      </c>
      <c r="B810" s="12">
        <v>1555990</v>
      </c>
      <c r="C810" s="13">
        <v>0.442</v>
      </c>
      <c r="D810" s="4" t="s">
        <v>185</v>
      </c>
      <c r="E810" s="4" t="s">
        <v>106</v>
      </c>
    </row>
    <row r="811" spans="1:5" hidden="1" x14ac:dyDescent="0.15">
      <c r="A811" s="14"/>
      <c r="B811" s="14"/>
      <c r="C811" s="14"/>
      <c r="D811" s="4" t="s">
        <v>185</v>
      </c>
      <c r="E811" s="4" t="s">
        <v>106</v>
      </c>
    </row>
    <row r="812" spans="1:5" hidden="1" x14ac:dyDescent="0.15">
      <c r="A812" s="15"/>
      <c r="B812" s="15"/>
      <c r="C812" s="15"/>
      <c r="D812" s="4" t="s">
        <v>185</v>
      </c>
      <c r="E812" s="4" t="s">
        <v>106</v>
      </c>
    </row>
    <row r="813" spans="1:5" hidden="1" x14ac:dyDescent="0.15">
      <c r="A813" s="11" t="s">
        <v>109</v>
      </c>
      <c r="B813" s="12">
        <v>451031</v>
      </c>
      <c r="C813" s="13">
        <v>0.128</v>
      </c>
      <c r="D813" s="4" t="s">
        <v>185</v>
      </c>
      <c r="E813" s="4" t="s">
        <v>106</v>
      </c>
    </row>
    <row r="814" spans="1:5" hidden="1" x14ac:dyDescent="0.15">
      <c r="A814" s="11" t="s">
        <v>110</v>
      </c>
      <c r="B814" s="12">
        <v>457137</v>
      </c>
      <c r="C814" s="13">
        <v>0.13</v>
      </c>
      <c r="D814" s="4" t="s">
        <v>185</v>
      </c>
      <c r="E814" s="4" t="s">
        <v>106</v>
      </c>
    </row>
    <row r="815" spans="1:5" hidden="1" x14ac:dyDescent="0.15">
      <c r="A815" s="14"/>
      <c r="B815" s="14"/>
      <c r="C815" s="14"/>
      <c r="D815" s="4" t="s">
        <v>185</v>
      </c>
      <c r="E815" s="4" t="s">
        <v>106</v>
      </c>
    </row>
    <row r="816" spans="1:5" hidden="1" x14ac:dyDescent="0.15">
      <c r="A816" s="15"/>
      <c r="B816" s="15"/>
      <c r="C816" s="15"/>
      <c r="D816" s="4" t="s">
        <v>185</v>
      </c>
      <c r="E816" s="4" t="s">
        <v>106</v>
      </c>
    </row>
    <row r="817" spans="1:5" ht="26" hidden="1" x14ac:dyDescent="0.15">
      <c r="A817" s="11" t="s">
        <v>111</v>
      </c>
      <c r="B817" s="12">
        <v>374055</v>
      </c>
      <c r="C817" s="13">
        <v>0.106</v>
      </c>
      <c r="D817" s="4" t="s">
        <v>185</v>
      </c>
      <c r="E817" s="4" t="s">
        <v>106</v>
      </c>
    </row>
    <row r="818" spans="1:5" hidden="1" x14ac:dyDescent="0.15">
      <c r="A818" s="11" t="s">
        <v>112</v>
      </c>
      <c r="B818" s="12">
        <v>601154</v>
      </c>
      <c r="C818" s="13">
        <v>0.17100000000000001</v>
      </c>
      <c r="D818" s="4" t="s">
        <v>185</v>
      </c>
      <c r="E818" s="4" t="s">
        <v>106</v>
      </c>
    </row>
    <row r="819" spans="1:5" ht="26" hidden="1" x14ac:dyDescent="0.15">
      <c r="A819" s="11" t="s">
        <v>113</v>
      </c>
      <c r="B819" s="12">
        <v>1590811</v>
      </c>
      <c r="C819" s="13">
        <v>0.45200000000000001</v>
      </c>
      <c r="D819" s="4" t="s">
        <v>185</v>
      </c>
      <c r="E819" s="4" t="s">
        <v>106</v>
      </c>
    </row>
    <row r="820" spans="1:5" hidden="1" x14ac:dyDescent="0.15">
      <c r="A820" s="14"/>
      <c r="B820" s="14"/>
      <c r="C820" s="14"/>
      <c r="D820" s="4" t="s">
        <v>185</v>
      </c>
      <c r="E820" s="4" t="s">
        <v>106</v>
      </c>
    </row>
    <row r="821" spans="1:5" hidden="1" x14ac:dyDescent="0.15">
      <c r="A821" s="15"/>
      <c r="B821" s="15"/>
      <c r="C821" s="15"/>
      <c r="D821" s="4" t="s">
        <v>185</v>
      </c>
      <c r="E821" s="4" t="s">
        <v>106</v>
      </c>
    </row>
    <row r="822" spans="1:5" hidden="1" x14ac:dyDescent="0.15">
      <c r="A822" s="11" t="s">
        <v>114</v>
      </c>
      <c r="B822" s="12">
        <v>61823</v>
      </c>
      <c r="C822" s="13">
        <v>1.8000000000000002E-2</v>
      </c>
      <c r="D822" s="4" t="s">
        <v>185</v>
      </c>
      <c r="E822" s="4" t="s">
        <v>106</v>
      </c>
    </row>
    <row r="823" spans="1:5" ht="26" hidden="1" x14ac:dyDescent="0.15">
      <c r="A823" s="11" t="s">
        <v>187</v>
      </c>
      <c r="B823" s="12">
        <v>687906</v>
      </c>
      <c r="C823" s="13">
        <v>0.19500000000000001</v>
      </c>
      <c r="D823" s="4" t="s">
        <v>185</v>
      </c>
      <c r="E823" s="4" t="s">
        <v>106</v>
      </c>
    </row>
    <row r="824" spans="1:5" hidden="1" x14ac:dyDescent="0.15">
      <c r="A824" s="14"/>
      <c r="B824" s="14"/>
      <c r="C824" s="14"/>
      <c r="D824" s="4" t="s">
        <v>185</v>
      </c>
      <c r="E824" s="4" t="s">
        <v>106</v>
      </c>
    </row>
    <row r="825" spans="1:5" hidden="1" x14ac:dyDescent="0.15">
      <c r="A825" s="15"/>
      <c r="B825" s="15"/>
      <c r="C825" s="15"/>
      <c r="D825" s="4" t="s">
        <v>185</v>
      </c>
      <c r="E825" s="4" t="s">
        <v>106</v>
      </c>
    </row>
    <row r="826" spans="1:5" ht="26" hidden="1" x14ac:dyDescent="0.15">
      <c r="A826" s="11" t="s">
        <v>121</v>
      </c>
      <c r="B826" s="12">
        <v>588413</v>
      </c>
      <c r="C826" s="13">
        <v>0.16699999999999998</v>
      </c>
      <c r="D826" s="4" t="s">
        <v>185</v>
      </c>
      <c r="E826" s="4" t="s">
        <v>106</v>
      </c>
    </row>
    <row r="827" spans="1:5" ht="26" hidden="1" x14ac:dyDescent="0.15">
      <c r="A827" s="11" t="s">
        <v>123</v>
      </c>
      <c r="B827" s="12">
        <v>1005329</v>
      </c>
      <c r="C827" s="13">
        <v>0.28499999999999998</v>
      </c>
      <c r="D827" s="4" t="s">
        <v>185</v>
      </c>
      <c r="E827" s="4" t="s">
        <v>106</v>
      </c>
    </row>
    <row r="828" spans="1:5" ht="39" hidden="1" x14ac:dyDescent="0.15">
      <c r="A828" s="11" t="s">
        <v>127</v>
      </c>
      <c r="B828" s="12">
        <v>755322</v>
      </c>
      <c r="C828" s="13">
        <v>0.214</v>
      </c>
      <c r="D828" s="4" t="s">
        <v>185</v>
      </c>
      <c r="E828" s="4" t="s">
        <v>106</v>
      </c>
    </row>
    <row r="829" spans="1:5" ht="26" hidden="1" x14ac:dyDescent="0.15">
      <c r="A829" s="11" t="s">
        <v>132</v>
      </c>
      <c r="B829" s="12">
        <v>383468</v>
      </c>
      <c r="C829" s="13">
        <v>0.109</v>
      </c>
      <c r="D829" s="4" t="s">
        <v>185</v>
      </c>
      <c r="E829" s="4" t="s">
        <v>106</v>
      </c>
    </row>
    <row r="830" spans="1:5" ht="39" hidden="1" x14ac:dyDescent="0.15">
      <c r="A830" s="11" t="s">
        <v>188</v>
      </c>
      <c r="B830" s="12">
        <v>466119</v>
      </c>
      <c r="C830" s="13">
        <v>0.13200000000000001</v>
      </c>
      <c r="D830" s="4" t="s">
        <v>185</v>
      </c>
      <c r="E830" s="4" t="s">
        <v>106</v>
      </c>
    </row>
    <row r="831" spans="1:5" ht="26" hidden="1" x14ac:dyDescent="0.15">
      <c r="A831" s="11" t="s">
        <v>189</v>
      </c>
      <c r="B831" s="12">
        <v>722653</v>
      </c>
      <c r="C831" s="13">
        <v>0.20499999999999999</v>
      </c>
      <c r="D831" s="4" t="s">
        <v>185</v>
      </c>
      <c r="E831" s="4" t="s">
        <v>106</v>
      </c>
    </row>
    <row r="832" spans="1:5" hidden="1" x14ac:dyDescent="0.15">
      <c r="A832" s="1" t="s">
        <v>0</v>
      </c>
      <c r="B832" s="2">
        <v>731362</v>
      </c>
      <c r="C832" s="3">
        <v>1</v>
      </c>
      <c r="D832" s="4" t="s">
        <v>190</v>
      </c>
      <c r="E832" s="4" t="s">
        <v>191</v>
      </c>
    </row>
    <row r="833" spans="1:5" ht="26" hidden="1" x14ac:dyDescent="0.15">
      <c r="A833" s="1" t="s">
        <v>3</v>
      </c>
      <c r="B833" s="2">
        <v>4808</v>
      </c>
      <c r="C833" s="3">
        <v>6.9999999999999993E-3</v>
      </c>
      <c r="D833" s="4" t="s">
        <v>190</v>
      </c>
      <c r="E833" s="4" t="s">
        <v>191</v>
      </c>
    </row>
    <row r="834" spans="1:5" hidden="1" x14ac:dyDescent="0.15">
      <c r="A834" s="1" t="s">
        <v>4</v>
      </c>
      <c r="B834" s="2">
        <v>1345</v>
      </c>
      <c r="C834" s="3">
        <v>2E-3</v>
      </c>
      <c r="D834" s="4" t="s">
        <v>190</v>
      </c>
      <c r="E834" s="4" t="s">
        <v>191</v>
      </c>
    </row>
    <row r="835" spans="1:5" ht="26" hidden="1" x14ac:dyDescent="0.15">
      <c r="A835" s="1" t="s">
        <v>5</v>
      </c>
      <c r="B835" s="2">
        <v>18967</v>
      </c>
      <c r="C835" s="3">
        <v>2.6000000000000002E-2</v>
      </c>
      <c r="D835" s="4" t="s">
        <v>190</v>
      </c>
      <c r="E835" s="4" t="s">
        <v>191</v>
      </c>
    </row>
    <row r="836" spans="1:5" ht="26" hidden="1" x14ac:dyDescent="0.15">
      <c r="A836" s="1" t="s">
        <v>6</v>
      </c>
      <c r="B836" s="2">
        <v>214396</v>
      </c>
      <c r="C836" s="3">
        <v>0.29299999999999998</v>
      </c>
      <c r="D836" s="4" t="s">
        <v>190</v>
      </c>
      <c r="E836" s="4" t="s">
        <v>191</v>
      </c>
    </row>
    <row r="837" spans="1:5" ht="26" hidden="1" x14ac:dyDescent="0.15">
      <c r="A837" s="1" t="s">
        <v>7</v>
      </c>
      <c r="B837" s="2">
        <v>144574</v>
      </c>
      <c r="C837" s="3">
        <v>0.19800000000000001</v>
      </c>
      <c r="D837" s="4" t="s">
        <v>190</v>
      </c>
      <c r="E837" s="4" t="s">
        <v>191</v>
      </c>
    </row>
    <row r="838" spans="1:5" ht="26" hidden="1" x14ac:dyDescent="0.15">
      <c r="A838" s="1" t="s">
        <v>8</v>
      </c>
      <c r="B838" s="2">
        <v>14036</v>
      </c>
      <c r="C838" s="3">
        <v>1.9E-2</v>
      </c>
      <c r="D838" s="4" t="s">
        <v>190</v>
      </c>
      <c r="E838" s="4" t="s">
        <v>191</v>
      </c>
    </row>
    <row r="839" spans="1:5" ht="26" hidden="1" x14ac:dyDescent="0.15">
      <c r="A839" s="1" t="s">
        <v>9</v>
      </c>
      <c r="B839" s="2">
        <v>13806</v>
      </c>
      <c r="C839" s="3">
        <v>1.9E-2</v>
      </c>
      <c r="D839" s="4" t="s">
        <v>190</v>
      </c>
      <c r="E839" s="4" t="s">
        <v>191</v>
      </c>
    </row>
    <row r="840" spans="1:5" ht="26" hidden="1" x14ac:dyDescent="0.15">
      <c r="A840" s="1" t="s">
        <v>10</v>
      </c>
      <c r="B840" s="2">
        <v>27603</v>
      </c>
      <c r="C840" s="3">
        <v>3.7999999999999999E-2</v>
      </c>
      <c r="D840" s="4" t="s">
        <v>190</v>
      </c>
      <c r="E840" s="4" t="s">
        <v>191</v>
      </c>
    </row>
    <row r="841" spans="1:5" ht="26" hidden="1" x14ac:dyDescent="0.15">
      <c r="A841" s="1" t="s">
        <v>11</v>
      </c>
      <c r="B841" s="2">
        <v>33011</v>
      </c>
      <c r="C841" s="3">
        <v>4.4999999999999998E-2</v>
      </c>
      <c r="D841" s="4" t="s">
        <v>190</v>
      </c>
      <c r="E841" s="4" t="s">
        <v>191</v>
      </c>
    </row>
    <row r="842" spans="1:5" ht="26" hidden="1" x14ac:dyDescent="0.15">
      <c r="A842" s="1" t="s">
        <v>12</v>
      </c>
      <c r="B842" s="2">
        <v>6576</v>
      </c>
      <c r="C842" s="3">
        <v>9.0000000000000011E-3</v>
      </c>
      <c r="D842" s="4" t="s">
        <v>190</v>
      </c>
      <c r="E842" s="4" t="s">
        <v>191</v>
      </c>
    </row>
    <row r="843" spans="1:5" ht="26" hidden="1" x14ac:dyDescent="0.15">
      <c r="A843" s="1" t="s">
        <v>13</v>
      </c>
      <c r="B843" s="2">
        <v>15845</v>
      </c>
      <c r="C843" s="3">
        <v>2.2000000000000002E-2</v>
      </c>
      <c r="D843" s="4" t="s">
        <v>190</v>
      </c>
      <c r="E843" s="4" t="s">
        <v>191</v>
      </c>
    </row>
    <row r="844" spans="1:5" hidden="1" x14ac:dyDescent="0.15">
      <c r="A844" s="1" t="s">
        <v>14</v>
      </c>
      <c r="B844" s="2">
        <v>38891</v>
      </c>
      <c r="C844" s="3">
        <v>5.2999999999999999E-2</v>
      </c>
      <c r="D844" s="4" t="s">
        <v>190</v>
      </c>
      <c r="E844" s="4" t="s">
        <v>191</v>
      </c>
    </row>
    <row r="845" spans="1:5" ht="26" hidden="1" x14ac:dyDescent="0.15">
      <c r="A845" s="1" t="s">
        <v>15</v>
      </c>
      <c r="B845" s="2">
        <v>41634</v>
      </c>
      <c r="C845" s="3">
        <v>5.7000000000000002E-2</v>
      </c>
      <c r="D845" s="4" t="s">
        <v>190</v>
      </c>
      <c r="E845" s="4" t="s">
        <v>191</v>
      </c>
    </row>
    <row r="846" spans="1:5" ht="26" hidden="1" x14ac:dyDescent="0.15">
      <c r="A846" s="1" t="s">
        <v>16</v>
      </c>
      <c r="B846" s="2">
        <v>24561</v>
      </c>
      <c r="C846" s="3">
        <v>3.4000000000000002E-2</v>
      </c>
      <c r="D846" s="4" t="s">
        <v>190</v>
      </c>
      <c r="E846" s="4" t="s">
        <v>191</v>
      </c>
    </row>
    <row r="847" spans="1:5" ht="26" hidden="1" x14ac:dyDescent="0.15">
      <c r="A847" s="1" t="s">
        <v>17</v>
      </c>
      <c r="B847" s="2">
        <v>23721</v>
      </c>
      <c r="C847" s="3">
        <v>3.2000000000000001E-2</v>
      </c>
      <c r="D847" s="4" t="s">
        <v>190</v>
      </c>
      <c r="E847" s="4" t="s">
        <v>191</v>
      </c>
    </row>
    <row r="848" spans="1:5" hidden="1" x14ac:dyDescent="0.15">
      <c r="A848" s="1" t="s">
        <v>18</v>
      </c>
      <c r="B848" s="2">
        <v>12839</v>
      </c>
      <c r="C848" s="3">
        <v>1.8000000000000002E-2</v>
      </c>
      <c r="D848" s="4" t="s">
        <v>190</v>
      </c>
      <c r="E848" s="4" t="s">
        <v>191</v>
      </c>
    </row>
    <row r="849" spans="1:5" hidden="1" x14ac:dyDescent="0.15">
      <c r="A849" s="1" t="s">
        <v>19</v>
      </c>
      <c r="B849" s="2">
        <v>106815</v>
      </c>
      <c r="C849" s="3">
        <v>0.14599999999999999</v>
      </c>
      <c r="D849" s="4" t="s">
        <v>190</v>
      </c>
      <c r="E849" s="4" t="s">
        <v>191</v>
      </c>
    </row>
    <row r="850" spans="1:5" hidden="1" x14ac:dyDescent="0.15">
      <c r="A850" s="1" t="s">
        <v>20</v>
      </c>
      <c r="B850" s="2">
        <v>3310</v>
      </c>
      <c r="C850" s="3">
        <v>5.0000000000000001E-3</v>
      </c>
      <c r="D850" s="4" t="s">
        <v>190</v>
      </c>
      <c r="E850" s="4" t="s">
        <v>191</v>
      </c>
    </row>
    <row r="851" spans="1:5" ht="26" hidden="1" x14ac:dyDescent="0.15">
      <c r="A851" s="1" t="s">
        <v>21</v>
      </c>
      <c r="B851" s="2">
        <v>15239</v>
      </c>
      <c r="C851" s="3">
        <v>2.1000000000000001E-2</v>
      </c>
      <c r="D851" s="4" t="s">
        <v>190</v>
      </c>
      <c r="E851" s="4" t="s">
        <v>191</v>
      </c>
    </row>
    <row r="852" spans="1:5" ht="26" hidden="1" x14ac:dyDescent="0.15">
      <c r="A852" s="1" t="s">
        <v>22</v>
      </c>
      <c r="B852" s="2">
        <v>2915</v>
      </c>
      <c r="C852" s="3">
        <v>4.0000000000000001E-3</v>
      </c>
      <c r="D852" s="4" t="s">
        <v>190</v>
      </c>
      <c r="E852" s="4" t="s">
        <v>191</v>
      </c>
    </row>
    <row r="853" spans="1:5" ht="26" hidden="1" x14ac:dyDescent="0.15">
      <c r="A853" s="1" t="s">
        <v>23</v>
      </c>
      <c r="B853" s="2">
        <v>12773</v>
      </c>
      <c r="C853" s="3">
        <v>1.7000000000000001E-2</v>
      </c>
      <c r="D853" s="4" t="s">
        <v>190</v>
      </c>
      <c r="E853" s="4" t="s">
        <v>191</v>
      </c>
    </row>
    <row r="854" spans="1:5" ht="26" hidden="1" x14ac:dyDescent="0.15">
      <c r="A854" s="1" t="s">
        <v>24</v>
      </c>
      <c r="B854" s="2">
        <v>5628</v>
      </c>
      <c r="C854" s="3">
        <v>8.0000000000000002E-3</v>
      </c>
      <c r="D854" s="4" t="s">
        <v>190</v>
      </c>
      <c r="E854" s="4" t="s">
        <v>191</v>
      </c>
    </row>
    <row r="855" spans="1:5" ht="26" hidden="1" x14ac:dyDescent="0.15">
      <c r="A855" s="1" t="s">
        <v>25</v>
      </c>
      <c r="B855" s="2">
        <v>21213</v>
      </c>
      <c r="C855" s="3">
        <v>2.8999999999999998E-2</v>
      </c>
      <c r="D855" s="4" t="s">
        <v>190</v>
      </c>
      <c r="E855" s="4" t="s">
        <v>191</v>
      </c>
    </row>
    <row r="856" spans="1:5" hidden="1" x14ac:dyDescent="0.15">
      <c r="A856" s="1" t="s">
        <v>26</v>
      </c>
      <c r="B856" s="2">
        <v>1747</v>
      </c>
      <c r="C856" s="3">
        <v>2E-3</v>
      </c>
      <c r="D856" s="4" t="s">
        <v>190</v>
      </c>
      <c r="E856" s="4" t="s">
        <v>191</v>
      </c>
    </row>
    <row r="857" spans="1:5" hidden="1" x14ac:dyDescent="0.15">
      <c r="A857" s="1" t="s">
        <v>27</v>
      </c>
      <c r="B857" s="2">
        <v>68264</v>
      </c>
      <c r="C857" s="3">
        <v>9.3000000000000013E-2</v>
      </c>
      <c r="D857" s="4" t="s">
        <v>190</v>
      </c>
      <c r="E857" s="4" t="s">
        <v>191</v>
      </c>
    </row>
    <row r="858" spans="1:5" hidden="1" x14ac:dyDescent="0.15">
      <c r="A858" s="1" t="s">
        <v>28</v>
      </c>
      <c r="B858" s="2">
        <v>51463</v>
      </c>
      <c r="C858" s="3">
        <v>7.0000000000000007E-2</v>
      </c>
      <c r="D858" s="4" t="s">
        <v>190</v>
      </c>
      <c r="E858" s="4" t="s">
        <v>191</v>
      </c>
    </row>
    <row r="859" spans="1:5" hidden="1" x14ac:dyDescent="0.15">
      <c r="A859" s="1" t="s">
        <v>29</v>
      </c>
      <c r="B859" s="2">
        <v>208331</v>
      </c>
      <c r="C859" s="3">
        <v>0.28499999999999998</v>
      </c>
      <c r="D859" s="4" t="s">
        <v>190</v>
      </c>
      <c r="E859" s="4" t="s">
        <v>191</v>
      </c>
    </row>
    <row r="860" spans="1:5" hidden="1" x14ac:dyDescent="0.15">
      <c r="A860" s="1" t="s">
        <v>30</v>
      </c>
      <c r="B860" s="2">
        <v>39209</v>
      </c>
      <c r="C860" s="3">
        <v>5.4000000000000006E-2</v>
      </c>
      <c r="D860" s="4" t="s">
        <v>190</v>
      </c>
      <c r="E860" s="4" t="s">
        <v>191</v>
      </c>
    </row>
    <row r="861" spans="1:5" ht="39" hidden="1" x14ac:dyDescent="0.15">
      <c r="A861" s="1" t="s">
        <v>31</v>
      </c>
      <c r="B861" s="2">
        <v>12173</v>
      </c>
      <c r="C861" s="3">
        <v>1.7000000000000001E-2</v>
      </c>
      <c r="D861" s="4" t="s">
        <v>190</v>
      </c>
      <c r="E861" s="4" t="s">
        <v>191</v>
      </c>
    </row>
    <row r="862" spans="1:5" hidden="1" x14ac:dyDescent="0.15">
      <c r="A862" s="1" t="s">
        <v>32</v>
      </c>
      <c r="B862" s="2">
        <v>20613</v>
      </c>
      <c r="C862" s="3">
        <v>2.7999999999999997E-2</v>
      </c>
      <c r="D862" s="4" t="s">
        <v>190</v>
      </c>
      <c r="E862" s="4" t="s">
        <v>191</v>
      </c>
    </row>
    <row r="863" spans="1:5" hidden="1" x14ac:dyDescent="0.15">
      <c r="A863" s="1" t="s">
        <v>33</v>
      </c>
      <c r="B863" s="2">
        <v>172172</v>
      </c>
      <c r="C863" s="3">
        <v>0.23499999999999999</v>
      </c>
      <c r="D863" s="4" t="s">
        <v>190</v>
      </c>
      <c r="E863" s="4" t="s">
        <v>191</v>
      </c>
    </row>
    <row r="864" spans="1:5" hidden="1" x14ac:dyDescent="0.15">
      <c r="A864" s="1" t="s">
        <v>34</v>
      </c>
      <c r="B864" s="2">
        <v>57989</v>
      </c>
      <c r="C864" s="3">
        <v>7.9000000000000001E-2</v>
      </c>
      <c r="D864" s="4" t="s">
        <v>190</v>
      </c>
      <c r="E864" s="4" t="s">
        <v>191</v>
      </c>
    </row>
    <row r="865" spans="1:5" hidden="1" x14ac:dyDescent="0.15">
      <c r="A865" s="1" t="s">
        <v>35</v>
      </c>
      <c r="B865" s="2">
        <v>22362</v>
      </c>
      <c r="C865" s="3">
        <v>3.1E-2</v>
      </c>
      <c r="D865" s="4" t="s">
        <v>190</v>
      </c>
      <c r="E865" s="4" t="s">
        <v>191</v>
      </c>
    </row>
    <row r="866" spans="1:5" ht="26" hidden="1" x14ac:dyDescent="0.15">
      <c r="A866" s="1" t="s">
        <v>36</v>
      </c>
      <c r="B866" s="2">
        <v>8707</v>
      </c>
      <c r="C866" s="3">
        <v>1.2E-2</v>
      </c>
      <c r="D866" s="4" t="s">
        <v>190</v>
      </c>
      <c r="E866" s="4" t="s">
        <v>191</v>
      </c>
    </row>
    <row r="867" spans="1:5" hidden="1" x14ac:dyDescent="0.15">
      <c r="A867" s="1" t="s">
        <v>37</v>
      </c>
      <c r="B867" s="2">
        <v>18482</v>
      </c>
      <c r="C867" s="3">
        <v>2.5000000000000001E-2</v>
      </c>
      <c r="D867" s="4" t="s">
        <v>190</v>
      </c>
      <c r="E867" s="4" t="s">
        <v>191</v>
      </c>
    </row>
    <row r="868" spans="1:5" ht="39" hidden="1" x14ac:dyDescent="0.15">
      <c r="A868" s="1" t="s">
        <v>38</v>
      </c>
      <c r="B868" s="2">
        <v>7484</v>
      </c>
      <c r="C868" s="3">
        <v>0.01</v>
      </c>
      <c r="D868" s="4" t="s">
        <v>190</v>
      </c>
      <c r="E868" s="4" t="s">
        <v>191</v>
      </c>
    </row>
    <row r="869" spans="1:5" hidden="1" x14ac:dyDescent="0.15">
      <c r="A869" s="1" t="s">
        <v>39</v>
      </c>
      <c r="B869" s="2">
        <v>36536</v>
      </c>
      <c r="C869" s="3">
        <v>0.05</v>
      </c>
      <c r="D869" s="4" t="s">
        <v>190</v>
      </c>
      <c r="E869" s="4" t="s">
        <v>191</v>
      </c>
    </row>
    <row r="870" spans="1:5" hidden="1" x14ac:dyDescent="0.15">
      <c r="A870" s="1" t="s">
        <v>40</v>
      </c>
      <c r="B870" s="2">
        <v>5570</v>
      </c>
      <c r="C870" s="3">
        <v>8.0000000000000002E-3</v>
      </c>
      <c r="D870" s="4" t="s">
        <v>190</v>
      </c>
      <c r="E870" s="4" t="s">
        <v>191</v>
      </c>
    </row>
    <row r="871" spans="1:5" hidden="1" x14ac:dyDescent="0.15">
      <c r="A871" s="1" t="s">
        <v>41</v>
      </c>
      <c r="B871" s="2">
        <v>18486</v>
      </c>
      <c r="C871" s="3">
        <v>2.5000000000000001E-2</v>
      </c>
      <c r="D871" s="4" t="s">
        <v>190</v>
      </c>
      <c r="E871" s="4" t="s">
        <v>191</v>
      </c>
    </row>
    <row r="872" spans="1:5" hidden="1" x14ac:dyDescent="0.15">
      <c r="A872" s="1" t="s">
        <v>42</v>
      </c>
      <c r="B872" s="2">
        <v>20042</v>
      </c>
      <c r="C872" s="3">
        <v>2.7000000000000003E-2</v>
      </c>
      <c r="D872" s="4" t="s">
        <v>190</v>
      </c>
      <c r="E872" s="4" t="s">
        <v>191</v>
      </c>
    </row>
    <row r="873" spans="1:5" hidden="1" x14ac:dyDescent="0.15">
      <c r="A873" s="1" t="s">
        <v>43</v>
      </c>
      <c r="B873" s="2">
        <v>77959</v>
      </c>
      <c r="C873" s="3">
        <v>0.107</v>
      </c>
      <c r="D873" s="4" t="s">
        <v>190</v>
      </c>
      <c r="E873" s="4" t="s">
        <v>191</v>
      </c>
    </row>
    <row r="874" spans="1:5" ht="26" hidden="1" x14ac:dyDescent="0.15">
      <c r="A874" s="1" t="s">
        <v>44</v>
      </c>
      <c r="B874" s="2">
        <v>65757</v>
      </c>
      <c r="C874" s="3">
        <v>0.09</v>
      </c>
      <c r="D874" s="4" t="s">
        <v>190</v>
      </c>
      <c r="E874" s="4" t="s">
        <v>191</v>
      </c>
    </row>
    <row r="875" spans="1:5" hidden="1" x14ac:dyDescent="0.15">
      <c r="A875" s="1" t="s">
        <v>45</v>
      </c>
      <c r="B875" s="2">
        <v>126191</v>
      </c>
      <c r="C875" s="3">
        <v>0.17300000000000001</v>
      </c>
      <c r="D875" s="4" t="s">
        <v>190</v>
      </c>
      <c r="E875" s="4" t="s">
        <v>191</v>
      </c>
    </row>
    <row r="876" spans="1:5" ht="26" hidden="1" x14ac:dyDescent="0.15">
      <c r="A876" s="1" t="s">
        <v>46</v>
      </c>
      <c r="B876" s="2">
        <v>415120</v>
      </c>
      <c r="C876" s="3">
        <v>0.56799999999999995</v>
      </c>
      <c r="D876" s="4" t="s">
        <v>190</v>
      </c>
      <c r="E876" s="4" t="s">
        <v>191</v>
      </c>
    </row>
    <row r="877" spans="1:5" hidden="1" x14ac:dyDescent="0.15">
      <c r="A877" s="1" t="s">
        <v>47</v>
      </c>
      <c r="B877" s="2">
        <v>364502</v>
      </c>
      <c r="C877" s="3">
        <v>0.498</v>
      </c>
      <c r="D877" s="4" t="s">
        <v>190</v>
      </c>
      <c r="E877" s="4" t="s">
        <v>191</v>
      </c>
    </row>
    <row r="878" spans="1:5" hidden="1" x14ac:dyDescent="0.15">
      <c r="A878" s="1" t="s">
        <v>48</v>
      </c>
      <c r="B878" s="2">
        <v>116276</v>
      </c>
      <c r="C878" s="3">
        <v>0.159</v>
      </c>
      <c r="D878" s="4" t="s">
        <v>190</v>
      </c>
      <c r="E878" s="4" t="s">
        <v>191</v>
      </c>
    </row>
    <row r="879" spans="1:5" hidden="1" x14ac:dyDescent="0.15">
      <c r="A879" s="1" t="s">
        <v>49</v>
      </c>
      <c r="B879" s="2">
        <v>89473</v>
      </c>
      <c r="C879" s="3">
        <v>0.122</v>
      </c>
      <c r="D879" s="4" t="s">
        <v>190</v>
      </c>
      <c r="E879" s="4" t="s">
        <v>191</v>
      </c>
    </row>
    <row r="880" spans="1:5" ht="26" hidden="1" x14ac:dyDescent="0.15">
      <c r="A880" s="1" t="s">
        <v>50</v>
      </c>
      <c r="B880" s="2">
        <v>146042</v>
      </c>
      <c r="C880" s="3">
        <v>0.2</v>
      </c>
      <c r="D880" s="4" t="s">
        <v>190</v>
      </c>
      <c r="E880" s="4" t="s">
        <v>191</v>
      </c>
    </row>
    <row r="881" spans="1:5" hidden="1" x14ac:dyDescent="0.15">
      <c r="A881" s="1" t="s">
        <v>51</v>
      </c>
      <c r="B881" s="2">
        <v>237053</v>
      </c>
      <c r="C881" s="3">
        <v>0.32400000000000001</v>
      </c>
      <c r="D881" s="4" t="s">
        <v>190</v>
      </c>
      <c r="E881" s="4" t="s">
        <v>191</v>
      </c>
    </row>
    <row r="882" spans="1:5" hidden="1" x14ac:dyDescent="0.15">
      <c r="A882" s="1" t="s">
        <v>52</v>
      </c>
      <c r="B882" s="2">
        <v>92772</v>
      </c>
      <c r="C882" s="3">
        <v>0.127</v>
      </c>
      <c r="D882" s="4" t="s">
        <v>190</v>
      </c>
      <c r="E882" s="4" t="s">
        <v>191</v>
      </c>
    </row>
    <row r="883" spans="1:5" ht="26" hidden="1" x14ac:dyDescent="0.15">
      <c r="A883" s="1" t="s">
        <v>53</v>
      </c>
      <c r="B883" s="2">
        <v>81998</v>
      </c>
      <c r="C883" s="3">
        <v>0.11199999999999999</v>
      </c>
      <c r="D883" s="4" t="s">
        <v>190</v>
      </c>
      <c r="E883" s="4" t="s">
        <v>191</v>
      </c>
    </row>
    <row r="884" spans="1:5" hidden="1" x14ac:dyDescent="0.15">
      <c r="A884" s="1" t="s">
        <v>54</v>
      </c>
      <c r="B884" s="2">
        <v>241255</v>
      </c>
      <c r="C884" s="3">
        <v>0.33</v>
      </c>
      <c r="D884" s="4" t="s">
        <v>190</v>
      </c>
      <c r="E884" s="4" t="s">
        <v>191</v>
      </c>
    </row>
    <row r="885" spans="1:5" ht="26" hidden="1" x14ac:dyDescent="0.15">
      <c r="A885" s="1" t="s">
        <v>55</v>
      </c>
      <c r="B885" s="2">
        <v>224778</v>
      </c>
      <c r="C885" s="3">
        <v>0.307</v>
      </c>
      <c r="D885" s="4" t="s">
        <v>190</v>
      </c>
      <c r="E885" s="4" t="s">
        <v>191</v>
      </c>
    </row>
    <row r="886" spans="1:5" hidden="1" x14ac:dyDescent="0.15">
      <c r="A886" s="1" t="s">
        <v>56</v>
      </c>
      <c r="B886" s="2">
        <v>172954</v>
      </c>
      <c r="C886" s="3">
        <v>0.23600000000000002</v>
      </c>
      <c r="D886" s="4" t="s">
        <v>190</v>
      </c>
      <c r="E886" s="4" t="s">
        <v>191</v>
      </c>
    </row>
    <row r="887" spans="1:5" hidden="1" x14ac:dyDescent="0.15">
      <c r="A887" s="1" t="s">
        <v>57</v>
      </c>
      <c r="B887" s="2">
        <v>130083</v>
      </c>
      <c r="C887" s="3">
        <v>0.17800000000000002</v>
      </c>
      <c r="D887" s="4" t="s">
        <v>190</v>
      </c>
      <c r="E887" s="4" t="s">
        <v>191</v>
      </c>
    </row>
    <row r="888" spans="1:5" hidden="1" x14ac:dyDescent="0.15">
      <c r="A888" s="1" t="s">
        <v>58</v>
      </c>
      <c r="B888" s="2">
        <v>105573</v>
      </c>
      <c r="C888" s="3">
        <v>0.14400000000000002</v>
      </c>
      <c r="D888" s="4" t="s">
        <v>190</v>
      </c>
      <c r="E888" s="4" t="s">
        <v>191</v>
      </c>
    </row>
    <row r="889" spans="1:5" hidden="1" x14ac:dyDescent="0.15">
      <c r="A889" s="1" t="s">
        <v>59</v>
      </c>
      <c r="B889" s="2">
        <v>343688</v>
      </c>
      <c r="C889" s="3">
        <v>0.47</v>
      </c>
      <c r="D889" s="4" t="s">
        <v>190</v>
      </c>
      <c r="E889" s="4" t="s">
        <v>191</v>
      </c>
    </row>
    <row r="890" spans="1:5" hidden="1" x14ac:dyDescent="0.15">
      <c r="A890" s="1" t="s">
        <v>60</v>
      </c>
      <c r="B890" s="2">
        <v>108627</v>
      </c>
      <c r="C890" s="3">
        <v>0.14899999999999999</v>
      </c>
      <c r="D890" s="4" t="s">
        <v>190</v>
      </c>
      <c r="E890" s="4" t="s">
        <v>191</v>
      </c>
    </row>
    <row r="891" spans="1:5" ht="26" hidden="1" x14ac:dyDescent="0.15">
      <c r="A891" s="1" t="s">
        <v>61</v>
      </c>
      <c r="B891" s="2">
        <v>116140</v>
      </c>
      <c r="C891" s="3">
        <v>0.159</v>
      </c>
      <c r="D891" s="4" t="s">
        <v>190</v>
      </c>
      <c r="E891" s="4" t="s">
        <v>191</v>
      </c>
    </row>
    <row r="892" spans="1:5" hidden="1" x14ac:dyDescent="0.15">
      <c r="A892" s="1" t="s">
        <v>62</v>
      </c>
      <c r="B892" s="2">
        <v>31806</v>
      </c>
      <c r="C892" s="3">
        <v>4.2999999999999997E-2</v>
      </c>
      <c r="D892" s="4" t="s">
        <v>190</v>
      </c>
      <c r="E892" s="4" t="s">
        <v>191</v>
      </c>
    </row>
    <row r="893" spans="1:5" ht="26" hidden="1" x14ac:dyDescent="0.15">
      <c r="A893" s="1" t="s">
        <v>63</v>
      </c>
      <c r="B893" s="2">
        <v>156109</v>
      </c>
      <c r="C893" s="3">
        <v>0.21299999999999999</v>
      </c>
      <c r="D893" s="4" t="s">
        <v>190</v>
      </c>
      <c r="E893" s="4" t="s">
        <v>191</v>
      </c>
    </row>
    <row r="894" spans="1:5" ht="26" hidden="1" x14ac:dyDescent="0.15">
      <c r="A894" s="1" t="s">
        <v>64</v>
      </c>
      <c r="B894" s="2">
        <v>84992</v>
      </c>
      <c r="C894" s="3">
        <v>0.11599999999999999</v>
      </c>
      <c r="D894" s="4" t="s">
        <v>190</v>
      </c>
      <c r="E894" s="4" t="s">
        <v>191</v>
      </c>
    </row>
    <row r="895" spans="1:5" hidden="1" x14ac:dyDescent="0.15">
      <c r="A895" s="1" t="s">
        <v>65</v>
      </c>
      <c r="B895" s="2">
        <v>129589</v>
      </c>
      <c r="C895" s="3">
        <v>0.17699999999999999</v>
      </c>
      <c r="D895" s="4" t="s">
        <v>190</v>
      </c>
      <c r="E895" s="4" t="s">
        <v>191</v>
      </c>
    </row>
    <row r="896" spans="1:5" hidden="1" x14ac:dyDescent="0.15">
      <c r="A896" s="1" t="s">
        <v>66</v>
      </c>
      <c r="B896" s="2">
        <v>65634</v>
      </c>
      <c r="C896" s="3">
        <v>0.09</v>
      </c>
      <c r="D896" s="4" t="s">
        <v>190</v>
      </c>
      <c r="E896" s="4" t="s">
        <v>191</v>
      </c>
    </row>
    <row r="897" spans="1:5" hidden="1" x14ac:dyDescent="0.15">
      <c r="A897" s="1" t="s">
        <v>67</v>
      </c>
      <c r="B897" s="2">
        <v>254030</v>
      </c>
      <c r="C897" s="3">
        <v>0.34700000000000003</v>
      </c>
      <c r="D897" s="4" t="s">
        <v>190</v>
      </c>
      <c r="E897" s="4" t="s">
        <v>191</v>
      </c>
    </row>
    <row r="898" spans="1:5" hidden="1" x14ac:dyDescent="0.15">
      <c r="A898" s="1" t="s">
        <v>68</v>
      </c>
      <c r="B898" s="2">
        <v>251023</v>
      </c>
      <c r="C898" s="3">
        <v>0.34299999999999997</v>
      </c>
      <c r="D898" s="4" t="s">
        <v>190</v>
      </c>
      <c r="E898" s="4" t="s">
        <v>191</v>
      </c>
    </row>
    <row r="899" spans="1:5" hidden="1" x14ac:dyDescent="0.15">
      <c r="A899" s="1" t="s">
        <v>69</v>
      </c>
      <c r="B899" s="2">
        <v>446160</v>
      </c>
      <c r="C899" s="3">
        <v>0.61</v>
      </c>
      <c r="D899" s="4" t="s">
        <v>190</v>
      </c>
      <c r="E899" s="4" t="s">
        <v>191</v>
      </c>
    </row>
    <row r="900" spans="1:5" hidden="1" x14ac:dyDescent="0.15">
      <c r="A900" s="1" t="s">
        <v>70</v>
      </c>
      <c r="B900" s="2">
        <v>183628</v>
      </c>
      <c r="C900" s="3">
        <v>0.251</v>
      </c>
      <c r="D900" s="4" t="s">
        <v>190</v>
      </c>
      <c r="E900" s="4" t="s">
        <v>191</v>
      </c>
    </row>
    <row r="901" spans="1:5" ht="26" hidden="1" x14ac:dyDescent="0.15">
      <c r="A901" s="1" t="s">
        <v>71</v>
      </c>
      <c r="B901" s="2">
        <v>48632</v>
      </c>
      <c r="C901" s="3">
        <v>6.6000000000000003E-2</v>
      </c>
      <c r="D901" s="4" t="s">
        <v>190</v>
      </c>
      <c r="E901" s="4" t="s">
        <v>191</v>
      </c>
    </row>
    <row r="902" spans="1:5" hidden="1" x14ac:dyDescent="0.15">
      <c r="A902" s="1" t="s">
        <v>72</v>
      </c>
      <c r="B902" s="2">
        <v>108795</v>
      </c>
      <c r="C902" s="3">
        <v>0.14899999999999999</v>
      </c>
      <c r="D902" s="4" t="s">
        <v>190</v>
      </c>
      <c r="E902" s="4" t="s">
        <v>191</v>
      </c>
    </row>
    <row r="903" spans="1:5" hidden="1" x14ac:dyDescent="0.15">
      <c r="A903" s="1" t="s">
        <v>73</v>
      </c>
      <c r="B903" s="2">
        <v>465385</v>
      </c>
      <c r="C903" s="3">
        <v>0.63600000000000001</v>
      </c>
      <c r="D903" s="4" t="s">
        <v>190</v>
      </c>
      <c r="E903" s="4" t="s">
        <v>191</v>
      </c>
    </row>
    <row r="904" spans="1:5" hidden="1" x14ac:dyDescent="0.15">
      <c r="A904" s="1" t="s">
        <v>74</v>
      </c>
      <c r="B904" s="2">
        <v>224265</v>
      </c>
      <c r="C904" s="3">
        <v>0.307</v>
      </c>
      <c r="D904" s="4" t="s">
        <v>190</v>
      </c>
      <c r="E904" s="4" t="s">
        <v>191</v>
      </c>
    </row>
    <row r="905" spans="1:5" hidden="1" x14ac:dyDescent="0.15">
      <c r="A905" s="1" t="s">
        <v>75</v>
      </c>
      <c r="B905" s="2">
        <v>141758</v>
      </c>
      <c r="C905" s="3">
        <v>0.19399999999999998</v>
      </c>
      <c r="D905" s="4" t="s">
        <v>190</v>
      </c>
      <c r="E905" s="4" t="s">
        <v>191</v>
      </c>
    </row>
    <row r="906" spans="1:5" hidden="1" x14ac:dyDescent="0.15">
      <c r="A906" s="1" t="s">
        <v>76</v>
      </c>
      <c r="B906" s="2">
        <v>103318</v>
      </c>
      <c r="C906" s="3">
        <v>0.14099999999999999</v>
      </c>
      <c r="D906" s="4" t="s">
        <v>190</v>
      </c>
      <c r="E906" s="4" t="s">
        <v>191</v>
      </c>
    </row>
    <row r="907" spans="1:5" hidden="1" x14ac:dyDescent="0.15">
      <c r="A907" s="1" t="s">
        <v>77</v>
      </c>
      <c r="B907" s="2">
        <v>85623</v>
      </c>
      <c r="C907" s="3">
        <v>0.11699999999999999</v>
      </c>
      <c r="D907" s="4" t="s">
        <v>190</v>
      </c>
      <c r="E907" s="4" t="s">
        <v>191</v>
      </c>
    </row>
    <row r="908" spans="1:5" ht="26" hidden="1" x14ac:dyDescent="0.15">
      <c r="A908" s="1" t="s">
        <v>78</v>
      </c>
      <c r="B908" s="2">
        <v>94654</v>
      </c>
      <c r="C908" s="3">
        <v>0.129</v>
      </c>
      <c r="D908" s="4" t="s">
        <v>190</v>
      </c>
      <c r="E908" s="4" t="s">
        <v>191</v>
      </c>
    </row>
    <row r="909" spans="1:5" hidden="1" x14ac:dyDescent="0.15">
      <c r="A909" s="1" t="s">
        <v>79</v>
      </c>
      <c r="B909" s="2">
        <v>139285</v>
      </c>
      <c r="C909" s="3">
        <v>0.19</v>
      </c>
      <c r="D909" s="4" t="s">
        <v>190</v>
      </c>
      <c r="E909" s="4" t="s">
        <v>191</v>
      </c>
    </row>
    <row r="910" spans="1:5" hidden="1" x14ac:dyDescent="0.15">
      <c r="A910" s="1" t="s">
        <v>80</v>
      </c>
      <c r="B910" s="2">
        <v>78278</v>
      </c>
      <c r="C910" s="3">
        <v>0.107</v>
      </c>
      <c r="D910" s="4" t="s">
        <v>190</v>
      </c>
      <c r="E910" s="4" t="s">
        <v>191</v>
      </c>
    </row>
    <row r="911" spans="1:5" ht="26" hidden="1" x14ac:dyDescent="0.15">
      <c r="A911" s="1" t="s">
        <v>81</v>
      </c>
      <c r="B911" s="2">
        <v>119032</v>
      </c>
      <c r="C911" s="3">
        <v>0.16300000000000001</v>
      </c>
      <c r="D911" s="4" t="s">
        <v>190</v>
      </c>
      <c r="E911" s="4" t="s">
        <v>191</v>
      </c>
    </row>
    <row r="912" spans="1:5" hidden="1" x14ac:dyDescent="0.15">
      <c r="A912" s="1" t="s">
        <v>82</v>
      </c>
      <c r="B912" s="2">
        <v>91535</v>
      </c>
      <c r="C912" s="3">
        <v>0.125</v>
      </c>
      <c r="D912" s="4" t="s">
        <v>190</v>
      </c>
      <c r="E912" s="4" t="s">
        <v>191</v>
      </c>
    </row>
    <row r="913" spans="1:5" hidden="1" x14ac:dyDescent="0.15">
      <c r="A913" s="4"/>
      <c r="B913" s="4"/>
      <c r="C913" s="4"/>
      <c r="D913" s="4" t="s">
        <v>190</v>
      </c>
      <c r="E913" s="4" t="s">
        <v>191</v>
      </c>
    </row>
    <row r="914" spans="1:5" hidden="1" x14ac:dyDescent="0.15">
      <c r="A914" s="5"/>
      <c r="B914" s="5"/>
      <c r="C914" s="5"/>
      <c r="D914" s="4" t="s">
        <v>190</v>
      </c>
      <c r="E914" s="4" t="s">
        <v>191</v>
      </c>
    </row>
    <row r="915" spans="1:5" ht="26" hidden="1" x14ac:dyDescent="0.15">
      <c r="A915" s="1" t="s">
        <v>192</v>
      </c>
      <c r="B915" s="2">
        <v>261967</v>
      </c>
      <c r="C915" s="3">
        <v>0.35799999999999998</v>
      </c>
      <c r="D915" s="4" t="s">
        <v>190</v>
      </c>
      <c r="E915" s="4" t="s">
        <v>191</v>
      </c>
    </row>
    <row r="916" spans="1:5" hidden="1" x14ac:dyDescent="0.15">
      <c r="A916" s="1" t="s">
        <v>193</v>
      </c>
      <c r="B916" s="2">
        <v>85285</v>
      </c>
      <c r="C916" s="3">
        <v>0.11699999999999999</v>
      </c>
      <c r="D916" s="4" t="s">
        <v>190</v>
      </c>
      <c r="E916" s="4" t="s">
        <v>191</v>
      </c>
    </row>
    <row r="917" spans="1:5" ht="26" hidden="1" x14ac:dyDescent="0.15">
      <c r="A917" s="1" t="s">
        <v>194</v>
      </c>
      <c r="B917" s="2">
        <v>34355</v>
      </c>
      <c r="C917" s="3">
        <v>4.7E-2</v>
      </c>
      <c r="D917" s="4" t="s">
        <v>190</v>
      </c>
      <c r="E917" s="4" t="s">
        <v>191</v>
      </c>
    </row>
    <row r="918" spans="1:5" hidden="1" x14ac:dyDescent="0.15">
      <c r="A918" s="4"/>
      <c r="B918" s="4"/>
      <c r="C918" s="4"/>
      <c r="D918" s="4" t="s">
        <v>190</v>
      </c>
      <c r="E918" s="4" t="s">
        <v>191</v>
      </c>
    </row>
    <row r="919" spans="1:5" hidden="1" x14ac:dyDescent="0.15">
      <c r="A919" s="5"/>
      <c r="B919" s="5"/>
      <c r="C919" s="5"/>
      <c r="D919" s="4" t="s">
        <v>190</v>
      </c>
      <c r="E919" s="4" t="s">
        <v>191</v>
      </c>
    </row>
    <row r="920" spans="1:5" ht="26" hidden="1" x14ac:dyDescent="0.15">
      <c r="A920" s="1" t="s">
        <v>195</v>
      </c>
      <c r="B920" s="2">
        <v>43353</v>
      </c>
      <c r="C920" s="3">
        <v>5.9000000000000004E-2</v>
      </c>
      <c r="D920" s="4" t="s">
        <v>190</v>
      </c>
      <c r="E920" s="4" t="s">
        <v>191</v>
      </c>
    </row>
    <row r="921" spans="1:5" ht="26" hidden="1" x14ac:dyDescent="0.15">
      <c r="A921" s="1" t="s">
        <v>196</v>
      </c>
      <c r="B921" s="2">
        <v>79395</v>
      </c>
      <c r="C921" s="3">
        <v>0.109</v>
      </c>
      <c r="D921" s="4" t="s">
        <v>190</v>
      </c>
      <c r="E921" s="4" t="s">
        <v>191</v>
      </c>
    </row>
    <row r="922" spans="1:5" hidden="1" x14ac:dyDescent="0.15">
      <c r="A922" s="4"/>
      <c r="B922" s="4"/>
      <c r="C922" s="4"/>
      <c r="D922" s="4" t="s">
        <v>190</v>
      </c>
      <c r="E922" s="4" t="s">
        <v>191</v>
      </c>
    </row>
    <row r="923" spans="1:5" hidden="1" x14ac:dyDescent="0.15">
      <c r="A923" s="5"/>
      <c r="B923" s="5"/>
      <c r="C923" s="5"/>
      <c r="D923" s="4" t="s">
        <v>190</v>
      </c>
      <c r="E923" s="4" t="s">
        <v>191</v>
      </c>
    </row>
    <row r="924" spans="1:5" ht="26" hidden="1" x14ac:dyDescent="0.15">
      <c r="A924" s="1" t="s">
        <v>197</v>
      </c>
      <c r="B924" s="2">
        <v>260438</v>
      </c>
      <c r="C924" s="3">
        <v>0.35600000000000004</v>
      </c>
      <c r="D924" s="4" t="s">
        <v>190</v>
      </c>
      <c r="E924" s="4" t="s">
        <v>191</v>
      </c>
    </row>
    <row r="925" spans="1:5" hidden="1" x14ac:dyDescent="0.15">
      <c r="A925" s="1" t="s">
        <v>198</v>
      </c>
      <c r="B925" s="2">
        <v>197695</v>
      </c>
      <c r="C925" s="3">
        <v>0.27</v>
      </c>
      <c r="D925" s="4" t="s">
        <v>190</v>
      </c>
      <c r="E925" s="4" t="s">
        <v>191</v>
      </c>
    </row>
    <row r="926" spans="1:5" hidden="1" x14ac:dyDescent="0.15">
      <c r="A926" s="1" t="s">
        <v>199</v>
      </c>
      <c r="B926" s="2">
        <v>213861</v>
      </c>
      <c r="C926" s="3">
        <v>0.29199999999999998</v>
      </c>
      <c r="D926" s="4" t="s">
        <v>190</v>
      </c>
      <c r="E926" s="4" t="s">
        <v>191</v>
      </c>
    </row>
    <row r="927" spans="1:5" hidden="1" x14ac:dyDescent="0.15">
      <c r="A927" s="4"/>
      <c r="B927" s="4"/>
      <c r="C927" s="4"/>
      <c r="D927" s="4" t="s">
        <v>190</v>
      </c>
      <c r="E927" s="4" t="s">
        <v>191</v>
      </c>
    </row>
    <row r="928" spans="1:5" hidden="1" x14ac:dyDescent="0.15">
      <c r="A928" s="5"/>
      <c r="B928" s="5"/>
      <c r="C928" s="5"/>
      <c r="D928" s="4" t="s">
        <v>190</v>
      </c>
      <c r="E928" s="4" t="s">
        <v>191</v>
      </c>
    </row>
    <row r="929" spans="1:5" hidden="1" x14ac:dyDescent="0.15">
      <c r="A929" s="1" t="s">
        <v>200</v>
      </c>
      <c r="B929" s="2">
        <v>61684</v>
      </c>
      <c r="C929" s="3">
        <v>8.4000000000000005E-2</v>
      </c>
      <c r="D929" s="4" t="s">
        <v>190</v>
      </c>
      <c r="E929" s="4" t="s">
        <v>191</v>
      </c>
    </row>
    <row r="930" spans="1:5" hidden="1" x14ac:dyDescent="0.15">
      <c r="A930" s="4"/>
      <c r="B930" s="4"/>
      <c r="C930" s="4"/>
      <c r="D930" s="4" t="s">
        <v>190</v>
      </c>
      <c r="E930" s="4" t="s">
        <v>191</v>
      </c>
    </row>
    <row r="931" spans="1:5" hidden="1" x14ac:dyDescent="0.15">
      <c r="A931" s="5"/>
      <c r="B931" s="5"/>
      <c r="C931" s="5"/>
      <c r="D931" s="4" t="s">
        <v>190</v>
      </c>
      <c r="E931" s="4" t="s">
        <v>191</v>
      </c>
    </row>
    <row r="932" spans="1:5" ht="26" hidden="1" x14ac:dyDescent="0.15">
      <c r="A932" s="1" t="s">
        <v>201</v>
      </c>
      <c r="B932" s="2">
        <v>29775</v>
      </c>
      <c r="C932" s="3">
        <v>4.0999999999999995E-2</v>
      </c>
      <c r="D932" s="4" t="s">
        <v>190</v>
      </c>
      <c r="E932" s="4" t="s">
        <v>191</v>
      </c>
    </row>
    <row r="933" spans="1:5" hidden="1" x14ac:dyDescent="0.15">
      <c r="A933" s="1" t="s">
        <v>202</v>
      </c>
      <c r="B933" s="2">
        <v>23969</v>
      </c>
      <c r="C933" s="3">
        <v>3.3000000000000002E-2</v>
      </c>
      <c r="D933" s="4" t="s">
        <v>190</v>
      </c>
      <c r="E933" s="4" t="s">
        <v>191</v>
      </c>
    </row>
    <row r="934" spans="1:5" ht="26" hidden="1" x14ac:dyDescent="0.15">
      <c r="A934" s="1" t="s">
        <v>203</v>
      </c>
      <c r="B934" s="2">
        <v>384070</v>
      </c>
      <c r="C934" s="3">
        <v>0.52500000000000002</v>
      </c>
      <c r="D934" s="4" t="s">
        <v>190</v>
      </c>
      <c r="E934" s="4" t="s">
        <v>191</v>
      </c>
    </row>
    <row r="935" spans="1:5" ht="26" hidden="1" x14ac:dyDescent="0.15">
      <c r="A935" s="1" t="s">
        <v>204</v>
      </c>
      <c r="B935" s="2">
        <v>324662</v>
      </c>
      <c r="C935" s="3">
        <v>0.44400000000000001</v>
      </c>
      <c r="D935" s="4" t="s">
        <v>190</v>
      </c>
      <c r="E935" s="4" t="s">
        <v>191</v>
      </c>
    </row>
    <row r="936" spans="1:5" hidden="1" x14ac:dyDescent="0.15">
      <c r="A936" s="1" t="s">
        <v>0</v>
      </c>
      <c r="B936" s="2">
        <v>1779732</v>
      </c>
      <c r="C936" s="3">
        <v>1</v>
      </c>
      <c r="D936" s="4" t="s">
        <v>205</v>
      </c>
      <c r="E936" s="4" t="s">
        <v>206</v>
      </c>
    </row>
    <row r="937" spans="1:5" ht="26" hidden="1" x14ac:dyDescent="0.15">
      <c r="A937" s="1" t="s">
        <v>3</v>
      </c>
      <c r="B937" s="2">
        <v>54238</v>
      </c>
      <c r="C937" s="3">
        <v>0.03</v>
      </c>
      <c r="D937" s="4" t="s">
        <v>205</v>
      </c>
      <c r="E937" s="4" t="s">
        <v>206</v>
      </c>
    </row>
    <row r="938" spans="1:5" hidden="1" x14ac:dyDescent="0.15">
      <c r="A938" s="1" t="s">
        <v>4</v>
      </c>
      <c r="B938" s="2">
        <v>36564</v>
      </c>
      <c r="C938" s="3">
        <v>2.1000000000000001E-2</v>
      </c>
      <c r="D938" s="4" t="s">
        <v>205</v>
      </c>
      <c r="E938" s="4" t="s">
        <v>206</v>
      </c>
    </row>
    <row r="939" spans="1:5" ht="26" hidden="1" x14ac:dyDescent="0.15">
      <c r="A939" s="1" t="s">
        <v>5</v>
      </c>
      <c r="B939" s="2">
        <v>47060</v>
      </c>
      <c r="C939" s="3">
        <v>2.6000000000000002E-2</v>
      </c>
      <c r="D939" s="4" t="s">
        <v>205</v>
      </c>
      <c r="E939" s="4" t="s">
        <v>206</v>
      </c>
    </row>
    <row r="940" spans="1:5" ht="26" hidden="1" x14ac:dyDescent="0.15">
      <c r="A940" s="1" t="s">
        <v>6</v>
      </c>
      <c r="B940" s="2">
        <v>205422</v>
      </c>
      <c r="C940" s="3">
        <v>0.115</v>
      </c>
      <c r="D940" s="4" t="s">
        <v>205</v>
      </c>
      <c r="E940" s="4" t="s">
        <v>206</v>
      </c>
    </row>
    <row r="941" spans="1:5" ht="26" hidden="1" x14ac:dyDescent="0.15">
      <c r="A941" s="1" t="s">
        <v>7</v>
      </c>
      <c r="B941" s="2">
        <v>245163</v>
      </c>
      <c r="C941" s="3">
        <v>0.13800000000000001</v>
      </c>
      <c r="D941" s="4" t="s">
        <v>205</v>
      </c>
      <c r="E941" s="4" t="s">
        <v>206</v>
      </c>
    </row>
    <row r="942" spans="1:5" ht="26" hidden="1" x14ac:dyDescent="0.15">
      <c r="A942" s="1" t="s">
        <v>8</v>
      </c>
      <c r="B942" s="2">
        <v>34431</v>
      </c>
      <c r="C942" s="3">
        <v>1.9E-2</v>
      </c>
      <c r="D942" s="4" t="s">
        <v>205</v>
      </c>
      <c r="E942" s="4" t="s">
        <v>206</v>
      </c>
    </row>
    <row r="943" spans="1:5" ht="26" hidden="1" x14ac:dyDescent="0.15">
      <c r="A943" s="1" t="s">
        <v>9</v>
      </c>
      <c r="B943" s="2">
        <v>42038</v>
      </c>
      <c r="C943" s="3">
        <v>2.4E-2</v>
      </c>
      <c r="D943" s="4" t="s">
        <v>205</v>
      </c>
      <c r="E943" s="4" t="s">
        <v>206</v>
      </c>
    </row>
    <row r="944" spans="1:5" ht="26" hidden="1" x14ac:dyDescent="0.15">
      <c r="A944" s="1" t="s">
        <v>10</v>
      </c>
      <c r="B944" s="2">
        <v>51935</v>
      </c>
      <c r="C944" s="3">
        <v>2.8999999999999998E-2</v>
      </c>
      <c r="D944" s="4" t="s">
        <v>205</v>
      </c>
      <c r="E944" s="4" t="s">
        <v>206</v>
      </c>
    </row>
    <row r="945" spans="1:5" ht="26" hidden="1" x14ac:dyDescent="0.15">
      <c r="A945" s="1" t="s">
        <v>11</v>
      </c>
      <c r="B945" s="2">
        <v>137859</v>
      </c>
      <c r="C945" s="3">
        <v>7.6999999999999999E-2</v>
      </c>
      <c r="D945" s="4" t="s">
        <v>205</v>
      </c>
      <c r="E945" s="4" t="s">
        <v>206</v>
      </c>
    </row>
    <row r="946" spans="1:5" ht="26" hidden="1" x14ac:dyDescent="0.15">
      <c r="A946" s="1" t="s">
        <v>12</v>
      </c>
      <c r="B946" s="2">
        <v>30852</v>
      </c>
      <c r="C946" s="3">
        <v>1.7000000000000001E-2</v>
      </c>
      <c r="D946" s="4" t="s">
        <v>205</v>
      </c>
      <c r="E946" s="4" t="s">
        <v>206</v>
      </c>
    </row>
    <row r="947" spans="1:5" ht="26" hidden="1" x14ac:dyDescent="0.15">
      <c r="A947" s="1" t="s">
        <v>13</v>
      </c>
      <c r="B947" s="2">
        <v>27609</v>
      </c>
      <c r="C947" s="3">
        <v>1.6E-2</v>
      </c>
      <c r="D947" s="4" t="s">
        <v>205</v>
      </c>
      <c r="E947" s="4" t="s">
        <v>206</v>
      </c>
    </row>
    <row r="948" spans="1:5" hidden="1" x14ac:dyDescent="0.15">
      <c r="A948" s="1" t="s">
        <v>14</v>
      </c>
      <c r="B948" s="2">
        <v>168874</v>
      </c>
      <c r="C948" s="3">
        <v>9.5000000000000001E-2</v>
      </c>
      <c r="D948" s="4" t="s">
        <v>205</v>
      </c>
      <c r="E948" s="4" t="s">
        <v>206</v>
      </c>
    </row>
    <row r="949" spans="1:5" ht="26" hidden="1" x14ac:dyDescent="0.15">
      <c r="A949" s="1" t="s">
        <v>15</v>
      </c>
      <c r="B949" s="2">
        <v>112252</v>
      </c>
      <c r="C949" s="3">
        <v>6.3E-2</v>
      </c>
      <c r="D949" s="4" t="s">
        <v>205</v>
      </c>
      <c r="E949" s="4" t="s">
        <v>206</v>
      </c>
    </row>
    <row r="950" spans="1:5" ht="26" hidden="1" x14ac:dyDescent="0.15">
      <c r="A950" s="1" t="s">
        <v>16</v>
      </c>
      <c r="B950" s="2">
        <v>39446</v>
      </c>
      <c r="C950" s="3">
        <v>2.2000000000000002E-2</v>
      </c>
      <c r="D950" s="4" t="s">
        <v>205</v>
      </c>
      <c r="E950" s="4" t="s">
        <v>206</v>
      </c>
    </row>
    <row r="951" spans="1:5" ht="26" hidden="1" x14ac:dyDescent="0.15">
      <c r="A951" s="1" t="s">
        <v>17</v>
      </c>
      <c r="B951" s="2">
        <v>37291</v>
      </c>
      <c r="C951" s="3">
        <v>2.1000000000000001E-2</v>
      </c>
      <c r="D951" s="4" t="s">
        <v>205</v>
      </c>
      <c r="E951" s="4" t="s">
        <v>206</v>
      </c>
    </row>
    <row r="952" spans="1:5" hidden="1" x14ac:dyDescent="0.15">
      <c r="A952" s="1" t="s">
        <v>18</v>
      </c>
      <c r="B952" s="2">
        <v>49518</v>
      </c>
      <c r="C952" s="3">
        <v>2.7999999999999997E-2</v>
      </c>
      <c r="D952" s="4" t="s">
        <v>205</v>
      </c>
      <c r="E952" s="4" t="s">
        <v>206</v>
      </c>
    </row>
    <row r="953" spans="1:5" hidden="1" x14ac:dyDescent="0.15">
      <c r="A953" s="1" t="s">
        <v>19</v>
      </c>
      <c r="B953" s="2">
        <v>618123</v>
      </c>
      <c r="C953" s="3">
        <v>0.34700000000000003</v>
      </c>
      <c r="D953" s="4" t="s">
        <v>205</v>
      </c>
      <c r="E953" s="4" t="s">
        <v>206</v>
      </c>
    </row>
    <row r="954" spans="1:5" hidden="1" x14ac:dyDescent="0.15">
      <c r="A954" s="1" t="s">
        <v>20</v>
      </c>
      <c r="B954" s="2">
        <v>58045</v>
      </c>
      <c r="C954" s="3">
        <v>3.3000000000000002E-2</v>
      </c>
      <c r="D954" s="4" t="s">
        <v>205</v>
      </c>
      <c r="E954" s="4" t="s">
        <v>206</v>
      </c>
    </row>
    <row r="955" spans="1:5" ht="26" hidden="1" x14ac:dyDescent="0.15">
      <c r="A955" s="1" t="s">
        <v>21</v>
      </c>
      <c r="B955" s="2">
        <v>69533</v>
      </c>
      <c r="C955" s="3">
        <v>3.9E-2</v>
      </c>
      <c r="D955" s="4" t="s">
        <v>205</v>
      </c>
      <c r="E955" s="4" t="s">
        <v>206</v>
      </c>
    </row>
    <row r="956" spans="1:5" ht="26" hidden="1" x14ac:dyDescent="0.15">
      <c r="A956" s="1" t="s">
        <v>22</v>
      </c>
      <c r="B956" s="2">
        <v>5593</v>
      </c>
      <c r="C956" s="3">
        <v>3.0000000000000001E-3</v>
      </c>
      <c r="D956" s="4" t="s">
        <v>205</v>
      </c>
      <c r="E956" s="4" t="s">
        <v>206</v>
      </c>
    </row>
    <row r="957" spans="1:5" ht="26" hidden="1" x14ac:dyDescent="0.15">
      <c r="A957" s="1" t="s">
        <v>23</v>
      </c>
      <c r="B957" s="2">
        <v>23385</v>
      </c>
      <c r="C957" s="3">
        <v>1.3000000000000001E-2</v>
      </c>
      <c r="D957" s="4" t="s">
        <v>205</v>
      </c>
      <c r="E957" s="4" t="s">
        <v>206</v>
      </c>
    </row>
    <row r="958" spans="1:5" ht="26" hidden="1" x14ac:dyDescent="0.15">
      <c r="A958" s="1" t="s">
        <v>24</v>
      </c>
      <c r="B958" s="2">
        <v>34715</v>
      </c>
      <c r="C958" s="3">
        <v>0.02</v>
      </c>
      <c r="D958" s="4" t="s">
        <v>205</v>
      </c>
      <c r="E958" s="4" t="s">
        <v>206</v>
      </c>
    </row>
    <row r="959" spans="1:5" ht="26" hidden="1" x14ac:dyDescent="0.15">
      <c r="A959" s="1" t="s">
        <v>25</v>
      </c>
      <c r="B959" s="2">
        <v>104027</v>
      </c>
      <c r="C959" s="3">
        <v>5.7999999999999996E-2</v>
      </c>
      <c r="D959" s="4" t="s">
        <v>205</v>
      </c>
      <c r="E959" s="4" t="s">
        <v>206</v>
      </c>
    </row>
    <row r="960" spans="1:5" hidden="1" x14ac:dyDescent="0.15">
      <c r="A960" s="1" t="s">
        <v>26</v>
      </c>
      <c r="B960" s="2">
        <v>37442</v>
      </c>
      <c r="C960" s="3">
        <v>2.1000000000000001E-2</v>
      </c>
      <c r="D960" s="4" t="s">
        <v>205</v>
      </c>
      <c r="E960" s="4" t="s">
        <v>206</v>
      </c>
    </row>
    <row r="961" spans="1:5" hidden="1" x14ac:dyDescent="0.15">
      <c r="A961" s="1" t="s">
        <v>27</v>
      </c>
      <c r="B961" s="2">
        <v>139235</v>
      </c>
      <c r="C961" s="3">
        <v>7.8E-2</v>
      </c>
      <c r="D961" s="4" t="s">
        <v>205</v>
      </c>
      <c r="E961" s="4" t="s">
        <v>206</v>
      </c>
    </row>
    <row r="962" spans="1:5" hidden="1" x14ac:dyDescent="0.15">
      <c r="A962" s="1" t="s">
        <v>28</v>
      </c>
      <c r="B962" s="2">
        <v>62230</v>
      </c>
      <c r="C962" s="3">
        <v>3.5000000000000003E-2</v>
      </c>
      <c r="D962" s="4" t="s">
        <v>205</v>
      </c>
      <c r="E962" s="4" t="s">
        <v>206</v>
      </c>
    </row>
    <row r="963" spans="1:5" hidden="1" x14ac:dyDescent="0.15">
      <c r="A963" s="1" t="s">
        <v>29</v>
      </c>
      <c r="B963" s="2">
        <v>436647</v>
      </c>
      <c r="C963" s="3">
        <v>0.245</v>
      </c>
      <c r="D963" s="4" t="s">
        <v>205</v>
      </c>
      <c r="E963" s="4" t="s">
        <v>206</v>
      </c>
    </row>
    <row r="964" spans="1:5" hidden="1" x14ac:dyDescent="0.15">
      <c r="A964" s="1" t="s">
        <v>30</v>
      </c>
      <c r="B964" s="2">
        <v>217795</v>
      </c>
      <c r="C964" s="3">
        <v>0.122</v>
      </c>
      <c r="D964" s="4" t="s">
        <v>205</v>
      </c>
      <c r="E964" s="4" t="s">
        <v>206</v>
      </c>
    </row>
    <row r="965" spans="1:5" ht="39" hidden="1" x14ac:dyDescent="0.15">
      <c r="A965" s="1" t="s">
        <v>31</v>
      </c>
      <c r="B965" s="2">
        <v>33035</v>
      </c>
      <c r="C965" s="3">
        <v>1.9E-2</v>
      </c>
      <c r="D965" s="4" t="s">
        <v>205</v>
      </c>
      <c r="E965" s="4" t="s">
        <v>206</v>
      </c>
    </row>
    <row r="966" spans="1:5" hidden="1" x14ac:dyDescent="0.15">
      <c r="A966" s="1" t="s">
        <v>32</v>
      </c>
      <c r="B966" s="2">
        <v>56399</v>
      </c>
      <c r="C966" s="3">
        <v>3.2000000000000001E-2</v>
      </c>
      <c r="D966" s="4" t="s">
        <v>205</v>
      </c>
      <c r="E966" s="4" t="s">
        <v>206</v>
      </c>
    </row>
    <row r="967" spans="1:5" hidden="1" x14ac:dyDescent="0.15">
      <c r="A967" s="1" t="s">
        <v>33</v>
      </c>
      <c r="B967" s="2">
        <v>477352</v>
      </c>
      <c r="C967" s="3">
        <v>0.26800000000000002</v>
      </c>
      <c r="D967" s="4" t="s">
        <v>205</v>
      </c>
      <c r="E967" s="4" t="s">
        <v>206</v>
      </c>
    </row>
    <row r="968" spans="1:5" hidden="1" x14ac:dyDescent="0.15">
      <c r="A968" s="1" t="s">
        <v>34</v>
      </c>
      <c r="B968" s="2">
        <v>112825</v>
      </c>
      <c r="C968" s="3">
        <v>6.3E-2</v>
      </c>
      <c r="D968" s="4" t="s">
        <v>205</v>
      </c>
      <c r="E968" s="4" t="s">
        <v>206</v>
      </c>
    </row>
    <row r="969" spans="1:5" hidden="1" x14ac:dyDescent="0.15">
      <c r="A969" s="1" t="s">
        <v>35</v>
      </c>
      <c r="B969" s="2">
        <v>71913</v>
      </c>
      <c r="C969" s="3">
        <v>0.04</v>
      </c>
      <c r="D969" s="4" t="s">
        <v>205</v>
      </c>
      <c r="E969" s="4" t="s">
        <v>206</v>
      </c>
    </row>
    <row r="970" spans="1:5" ht="26" hidden="1" x14ac:dyDescent="0.15">
      <c r="A970" s="1" t="s">
        <v>36</v>
      </c>
      <c r="B970" s="2">
        <v>59888</v>
      </c>
      <c r="C970" s="3">
        <v>3.4000000000000002E-2</v>
      </c>
      <c r="D970" s="4" t="s">
        <v>205</v>
      </c>
      <c r="E970" s="4" t="s">
        <v>206</v>
      </c>
    </row>
    <row r="971" spans="1:5" hidden="1" x14ac:dyDescent="0.15">
      <c r="A971" s="1" t="s">
        <v>37</v>
      </c>
      <c r="B971" s="2">
        <v>34737</v>
      </c>
      <c r="C971" s="3">
        <v>0.02</v>
      </c>
      <c r="D971" s="4" t="s">
        <v>205</v>
      </c>
      <c r="E971" s="4" t="s">
        <v>206</v>
      </c>
    </row>
    <row r="972" spans="1:5" ht="39" hidden="1" x14ac:dyDescent="0.15">
      <c r="A972" s="1" t="s">
        <v>38</v>
      </c>
      <c r="B972" s="2">
        <v>60947</v>
      </c>
      <c r="C972" s="3">
        <v>3.4000000000000002E-2</v>
      </c>
      <c r="D972" s="4" t="s">
        <v>205</v>
      </c>
      <c r="E972" s="4" t="s">
        <v>206</v>
      </c>
    </row>
    <row r="973" spans="1:5" hidden="1" x14ac:dyDescent="0.15">
      <c r="A973" s="1" t="s">
        <v>39</v>
      </c>
      <c r="B973" s="2">
        <v>75629</v>
      </c>
      <c r="C973" s="3">
        <v>4.2000000000000003E-2</v>
      </c>
      <c r="D973" s="4" t="s">
        <v>205</v>
      </c>
      <c r="E973" s="4" t="s">
        <v>206</v>
      </c>
    </row>
    <row r="974" spans="1:5" hidden="1" x14ac:dyDescent="0.15">
      <c r="A974" s="1" t="s">
        <v>40</v>
      </c>
      <c r="B974" s="2">
        <v>47100</v>
      </c>
      <c r="C974" s="3">
        <v>2.6000000000000002E-2</v>
      </c>
      <c r="D974" s="4" t="s">
        <v>205</v>
      </c>
      <c r="E974" s="4" t="s">
        <v>206</v>
      </c>
    </row>
    <row r="975" spans="1:5" hidden="1" x14ac:dyDescent="0.15">
      <c r="A975" s="1" t="s">
        <v>41</v>
      </c>
      <c r="B975" s="2">
        <v>77613</v>
      </c>
      <c r="C975" s="3">
        <v>4.4000000000000004E-2</v>
      </c>
      <c r="D975" s="4" t="s">
        <v>205</v>
      </c>
      <c r="E975" s="4" t="s">
        <v>206</v>
      </c>
    </row>
    <row r="976" spans="1:5" hidden="1" x14ac:dyDescent="0.15">
      <c r="A976" s="1" t="s">
        <v>42</v>
      </c>
      <c r="B976" s="2">
        <v>109438</v>
      </c>
      <c r="C976" s="3">
        <v>6.0999999999999999E-2</v>
      </c>
      <c r="D976" s="4" t="s">
        <v>205</v>
      </c>
      <c r="E976" s="4" t="s">
        <v>206</v>
      </c>
    </row>
    <row r="977" spans="1:5" hidden="1" x14ac:dyDescent="0.15">
      <c r="A977" s="1" t="s">
        <v>43</v>
      </c>
      <c r="B977" s="2">
        <v>188135</v>
      </c>
      <c r="C977" s="3">
        <v>0.106</v>
      </c>
      <c r="D977" s="4" t="s">
        <v>205</v>
      </c>
      <c r="E977" s="4" t="s">
        <v>206</v>
      </c>
    </row>
    <row r="978" spans="1:5" ht="26" hidden="1" x14ac:dyDescent="0.15">
      <c r="A978" s="1" t="s">
        <v>44</v>
      </c>
      <c r="B978" s="2">
        <v>157520</v>
      </c>
      <c r="C978" s="3">
        <v>8.900000000000001E-2</v>
      </c>
      <c r="D978" s="4" t="s">
        <v>205</v>
      </c>
      <c r="E978" s="4" t="s">
        <v>206</v>
      </c>
    </row>
    <row r="979" spans="1:5" hidden="1" x14ac:dyDescent="0.15">
      <c r="A979" s="1" t="s">
        <v>45</v>
      </c>
      <c r="B979" s="2">
        <v>332937</v>
      </c>
      <c r="C979" s="3">
        <v>0.187</v>
      </c>
      <c r="D979" s="4" t="s">
        <v>205</v>
      </c>
      <c r="E979" s="4" t="s">
        <v>206</v>
      </c>
    </row>
    <row r="980" spans="1:5" ht="26" hidden="1" x14ac:dyDescent="0.15">
      <c r="A980" s="1" t="s">
        <v>46</v>
      </c>
      <c r="B980" s="2">
        <v>579278</v>
      </c>
      <c r="C980" s="3">
        <v>0.32500000000000001</v>
      </c>
      <c r="D980" s="4" t="s">
        <v>205</v>
      </c>
      <c r="E980" s="4" t="s">
        <v>206</v>
      </c>
    </row>
    <row r="981" spans="1:5" hidden="1" x14ac:dyDescent="0.15">
      <c r="A981" s="1" t="s">
        <v>47</v>
      </c>
      <c r="B981" s="2">
        <v>684392</v>
      </c>
      <c r="C981" s="3">
        <v>0.38500000000000001</v>
      </c>
      <c r="D981" s="4" t="s">
        <v>205</v>
      </c>
      <c r="E981" s="4" t="s">
        <v>206</v>
      </c>
    </row>
    <row r="982" spans="1:5" hidden="1" x14ac:dyDescent="0.15">
      <c r="A982" s="1" t="s">
        <v>48</v>
      </c>
      <c r="B982" s="2">
        <v>213028</v>
      </c>
      <c r="C982" s="3">
        <v>0.12</v>
      </c>
      <c r="D982" s="4" t="s">
        <v>205</v>
      </c>
      <c r="E982" s="4" t="s">
        <v>206</v>
      </c>
    </row>
    <row r="983" spans="1:5" hidden="1" x14ac:dyDescent="0.15">
      <c r="A983" s="1" t="s">
        <v>49</v>
      </c>
      <c r="B983" s="2">
        <v>236373</v>
      </c>
      <c r="C983" s="3">
        <v>0.13300000000000001</v>
      </c>
      <c r="D983" s="4" t="s">
        <v>205</v>
      </c>
      <c r="E983" s="4" t="s">
        <v>206</v>
      </c>
    </row>
    <row r="984" spans="1:5" ht="26" hidden="1" x14ac:dyDescent="0.15">
      <c r="A984" s="1" t="s">
        <v>50</v>
      </c>
      <c r="B984" s="2">
        <v>285704</v>
      </c>
      <c r="C984" s="3">
        <v>0.161</v>
      </c>
      <c r="D984" s="4" t="s">
        <v>205</v>
      </c>
      <c r="E984" s="4" t="s">
        <v>206</v>
      </c>
    </row>
    <row r="985" spans="1:5" hidden="1" x14ac:dyDescent="0.15">
      <c r="A985" s="1" t="s">
        <v>51</v>
      </c>
      <c r="B985" s="2">
        <v>616761</v>
      </c>
      <c r="C985" s="3">
        <v>0.34700000000000003</v>
      </c>
      <c r="D985" s="4" t="s">
        <v>205</v>
      </c>
      <c r="E985" s="4" t="s">
        <v>206</v>
      </c>
    </row>
    <row r="986" spans="1:5" hidden="1" x14ac:dyDescent="0.15">
      <c r="A986" s="1" t="s">
        <v>52</v>
      </c>
      <c r="B986" s="2">
        <v>267345</v>
      </c>
      <c r="C986" s="3">
        <v>0.15</v>
      </c>
      <c r="D986" s="4" t="s">
        <v>205</v>
      </c>
      <c r="E986" s="4" t="s">
        <v>206</v>
      </c>
    </row>
    <row r="987" spans="1:5" ht="26" hidden="1" x14ac:dyDescent="0.15">
      <c r="A987" s="1" t="s">
        <v>53</v>
      </c>
      <c r="B987" s="2">
        <v>208091</v>
      </c>
      <c r="C987" s="3">
        <v>0.11699999999999999</v>
      </c>
      <c r="D987" s="4" t="s">
        <v>205</v>
      </c>
      <c r="E987" s="4" t="s">
        <v>206</v>
      </c>
    </row>
    <row r="988" spans="1:5" hidden="1" x14ac:dyDescent="0.15">
      <c r="A988" s="1" t="s">
        <v>54</v>
      </c>
      <c r="B988" s="2">
        <v>720310</v>
      </c>
      <c r="C988" s="3">
        <v>0.40500000000000003</v>
      </c>
      <c r="D988" s="4" t="s">
        <v>205</v>
      </c>
      <c r="E988" s="4" t="s">
        <v>206</v>
      </c>
    </row>
    <row r="989" spans="1:5" ht="26" hidden="1" x14ac:dyDescent="0.15">
      <c r="A989" s="1" t="s">
        <v>55</v>
      </c>
      <c r="B989" s="2">
        <v>473965</v>
      </c>
      <c r="C989" s="3">
        <v>0.26600000000000001</v>
      </c>
      <c r="D989" s="4" t="s">
        <v>205</v>
      </c>
      <c r="E989" s="4" t="s">
        <v>206</v>
      </c>
    </row>
    <row r="990" spans="1:5" hidden="1" x14ac:dyDescent="0.15">
      <c r="A990" s="1" t="s">
        <v>56</v>
      </c>
      <c r="B990" s="2">
        <v>475449</v>
      </c>
      <c r="C990" s="3">
        <v>0.26700000000000002</v>
      </c>
      <c r="D990" s="4" t="s">
        <v>205</v>
      </c>
      <c r="E990" s="4" t="s">
        <v>206</v>
      </c>
    </row>
    <row r="991" spans="1:5" hidden="1" x14ac:dyDescent="0.15">
      <c r="A991" s="1" t="s">
        <v>57</v>
      </c>
      <c r="B991" s="2">
        <v>327050</v>
      </c>
      <c r="C991" s="3">
        <v>0.184</v>
      </c>
      <c r="D991" s="4" t="s">
        <v>205</v>
      </c>
      <c r="E991" s="4" t="s">
        <v>206</v>
      </c>
    </row>
    <row r="992" spans="1:5" hidden="1" x14ac:dyDescent="0.15">
      <c r="A992" s="1" t="s">
        <v>58</v>
      </c>
      <c r="B992" s="2">
        <v>241691</v>
      </c>
      <c r="C992" s="3">
        <v>0.13600000000000001</v>
      </c>
      <c r="D992" s="4" t="s">
        <v>205</v>
      </c>
      <c r="E992" s="4" t="s">
        <v>206</v>
      </c>
    </row>
    <row r="993" spans="1:5" hidden="1" x14ac:dyDescent="0.15">
      <c r="A993" s="1" t="s">
        <v>59</v>
      </c>
      <c r="B993" s="2">
        <v>1277027</v>
      </c>
      <c r="C993" s="3">
        <v>0.71799999999999997</v>
      </c>
      <c r="D993" s="4" t="s">
        <v>205</v>
      </c>
      <c r="E993" s="4" t="s">
        <v>206</v>
      </c>
    </row>
    <row r="994" spans="1:5" hidden="1" x14ac:dyDescent="0.15">
      <c r="A994" s="1" t="s">
        <v>60</v>
      </c>
      <c r="B994" s="2">
        <v>313947</v>
      </c>
      <c r="C994" s="3">
        <v>0.17600000000000002</v>
      </c>
      <c r="D994" s="4" t="s">
        <v>205</v>
      </c>
      <c r="E994" s="4" t="s">
        <v>206</v>
      </c>
    </row>
    <row r="995" spans="1:5" ht="26" hidden="1" x14ac:dyDescent="0.15">
      <c r="A995" s="1" t="s">
        <v>61</v>
      </c>
      <c r="B995" s="2">
        <v>347915</v>
      </c>
      <c r="C995" s="3">
        <v>0.19500000000000001</v>
      </c>
      <c r="D995" s="4" t="s">
        <v>205</v>
      </c>
      <c r="E995" s="4" t="s">
        <v>206</v>
      </c>
    </row>
    <row r="996" spans="1:5" hidden="1" x14ac:dyDescent="0.15">
      <c r="A996" s="1" t="s">
        <v>62</v>
      </c>
      <c r="B996" s="2">
        <v>116458</v>
      </c>
      <c r="C996" s="3">
        <v>6.5000000000000002E-2</v>
      </c>
      <c r="D996" s="4" t="s">
        <v>205</v>
      </c>
      <c r="E996" s="4" t="s">
        <v>206</v>
      </c>
    </row>
    <row r="997" spans="1:5" ht="26" hidden="1" x14ac:dyDescent="0.15">
      <c r="A997" s="1" t="s">
        <v>63</v>
      </c>
      <c r="B997" s="2">
        <v>269715</v>
      </c>
      <c r="C997" s="3">
        <v>0.152</v>
      </c>
      <c r="D997" s="4" t="s">
        <v>205</v>
      </c>
      <c r="E997" s="4" t="s">
        <v>206</v>
      </c>
    </row>
    <row r="998" spans="1:5" ht="26" hidden="1" x14ac:dyDescent="0.15">
      <c r="A998" s="1" t="s">
        <v>64</v>
      </c>
      <c r="B998" s="2">
        <v>146188</v>
      </c>
      <c r="C998" s="3">
        <v>8.199999999999999E-2</v>
      </c>
      <c r="D998" s="4" t="s">
        <v>205</v>
      </c>
      <c r="E998" s="4" t="s">
        <v>206</v>
      </c>
    </row>
    <row r="999" spans="1:5" hidden="1" x14ac:dyDescent="0.15">
      <c r="A999" s="1" t="s">
        <v>65</v>
      </c>
      <c r="B999" s="2">
        <v>321001</v>
      </c>
      <c r="C999" s="3">
        <v>0.18</v>
      </c>
      <c r="D999" s="4" t="s">
        <v>205</v>
      </c>
      <c r="E999" s="4" t="s">
        <v>206</v>
      </c>
    </row>
    <row r="1000" spans="1:5" hidden="1" x14ac:dyDescent="0.15">
      <c r="A1000" s="1" t="s">
        <v>66</v>
      </c>
      <c r="B1000" s="2">
        <v>157534</v>
      </c>
      <c r="C1000" s="3">
        <v>8.900000000000001E-2</v>
      </c>
      <c r="D1000" s="4" t="s">
        <v>205</v>
      </c>
      <c r="E1000" s="4" t="s">
        <v>206</v>
      </c>
    </row>
    <row r="1001" spans="1:5" hidden="1" x14ac:dyDescent="0.15">
      <c r="A1001" s="1" t="s">
        <v>67</v>
      </c>
      <c r="B1001" s="2">
        <v>487892</v>
      </c>
      <c r="C1001" s="3">
        <v>0.27399999999999997</v>
      </c>
      <c r="D1001" s="4" t="s">
        <v>205</v>
      </c>
      <c r="E1001" s="4" t="s">
        <v>206</v>
      </c>
    </row>
    <row r="1002" spans="1:5" hidden="1" x14ac:dyDescent="0.15">
      <c r="A1002" s="1" t="s">
        <v>68</v>
      </c>
      <c r="B1002" s="2">
        <v>406956</v>
      </c>
      <c r="C1002" s="3">
        <v>0.22899999999999998</v>
      </c>
      <c r="D1002" s="4" t="s">
        <v>205</v>
      </c>
      <c r="E1002" s="4" t="s">
        <v>206</v>
      </c>
    </row>
    <row r="1003" spans="1:5" hidden="1" x14ac:dyDescent="0.15">
      <c r="A1003" s="1" t="s">
        <v>69</v>
      </c>
      <c r="B1003" s="2">
        <v>1059175</v>
      </c>
      <c r="C1003" s="3">
        <v>0.59499999999999997</v>
      </c>
      <c r="D1003" s="4" t="s">
        <v>205</v>
      </c>
      <c r="E1003" s="4" t="s">
        <v>206</v>
      </c>
    </row>
    <row r="1004" spans="1:5" hidden="1" x14ac:dyDescent="0.15">
      <c r="A1004" s="1" t="s">
        <v>70</v>
      </c>
      <c r="B1004" s="2">
        <v>727533</v>
      </c>
      <c r="C1004" s="3">
        <v>0.40899999999999997</v>
      </c>
      <c r="D1004" s="4" t="s">
        <v>205</v>
      </c>
      <c r="E1004" s="4" t="s">
        <v>206</v>
      </c>
    </row>
    <row r="1005" spans="1:5" ht="26" hidden="1" x14ac:dyDescent="0.15">
      <c r="A1005" s="1" t="s">
        <v>71</v>
      </c>
      <c r="B1005" s="2">
        <v>90502</v>
      </c>
      <c r="C1005" s="3">
        <v>5.0999999999999997E-2</v>
      </c>
      <c r="D1005" s="4" t="s">
        <v>205</v>
      </c>
      <c r="E1005" s="4" t="s">
        <v>206</v>
      </c>
    </row>
    <row r="1006" spans="1:5" hidden="1" x14ac:dyDescent="0.15">
      <c r="A1006" s="1" t="s">
        <v>72</v>
      </c>
      <c r="B1006" s="2">
        <v>269194</v>
      </c>
      <c r="C1006" s="3">
        <v>0.151</v>
      </c>
      <c r="D1006" s="4" t="s">
        <v>205</v>
      </c>
      <c r="E1006" s="4" t="s">
        <v>206</v>
      </c>
    </row>
    <row r="1007" spans="1:5" hidden="1" x14ac:dyDescent="0.15">
      <c r="A1007" s="1" t="s">
        <v>73</v>
      </c>
      <c r="B1007" s="2">
        <v>1089811</v>
      </c>
      <c r="C1007" s="3">
        <v>0.61199999999999999</v>
      </c>
      <c r="D1007" s="4" t="s">
        <v>205</v>
      </c>
      <c r="E1007" s="4" t="s">
        <v>206</v>
      </c>
    </row>
    <row r="1008" spans="1:5" hidden="1" x14ac:dyDescent="0.15">
      <c r="A1008" s="1" t="s">
        <v>74</v>
      </c>
      <c r="B1008" s="2">
        <v>462939</v>
      </c>
      <c r="C1008" s="3">
        <v>0.26</v>
      </c>
      <c r="D1008" s="4" t="s">
        <v>205</v>
      </c>
      <c r="E1008" s="4" t="s">
        <v>206</v>
      </c>
    </row>
    <row r="1009" spans="1:5" hidden="1" x14ac:dyDescent="0.15">
      <c r="A1009" s="1" t="s">
        <v>75</v>
      </c>
      <c r="B1009" s="2">
        <v>318279</v>
      </c>
      <c r="C1009" s="3">
        <v>0.17899999999999999</v>
      </c>
      <c r="D1009" s="4" t="s">
        <v>205</v>
      </c>
      <c r="E1009" s="4" t="s">
        <v>206</v>
      </c>
    </row>
    <row r="1010" spans="1:5" hidden="1" x14ac:dyDescent="0.15">
      <c r="A1010" s="1" t="s">
        <v>76</v>
      </c>
      <c r="B1010" s="2">
        <v>333472</v>
      </c>
      <c r="C1010" s="3">
        <v>0.187</v>
      </c>
      <c r="D1010" s="4" t="s">
        <v>205</v>
      </c>
      <c r="E1010" s="4" t="s">
        <v>206</v>
      </c>
    </row>
    <row r="1011" spans="1:5" hidden="1" x14ac:dyDescent="0.15">
      <c r="A1011" s="1" t="s">
        <v>77</v>
      </c>
      <c r="B1011" s="2">
        <v>279030</v>
      </c>
      <c r="C1011" s="3">
        <v>0.157</v>
      </c>
      <c r="D1011" s="4" t="s">
        <v>205</v>
      </c>
      <c r="E1011" s="4" t="s">
        <v>206</v>
      </c>
    </row>
    <row r="1012" spans="1:5" ht="26" hidden="1" x14ac:dyDescent="0.15">
      <c r="A1012" s="1" t="s">
        <v>78</v>
      </c>
      <c r="B1012" s="2">
        <v>245159</v>
      </c>
      <c r="C1012" s="3">
        <v>0.13800000000000001</v>
      </c>
      <c r="D1012" s="4" t="s">
        <v>205</v>
      </c>
      <c r="E1012" s="4" t="s">
        <v>206</v>
      </c>
    </row>
    <row r="1013" spans="1:5" hidden="1" x14ac:dyDescent="0.15">
      <c r="A1013" s="1" t="s">
        <v>79</v>
      </c>
      <c r="B1013" s="2">
        <v>298367</v>
      </c>
      <c r="C1013" s="3">
        <v>0.16800000000000001</v>
      </c>
      <c r="D1013" s="4" t="s">
        <v>205</v>
      </c>
      <c r="E1013" s="4" t="s">
        <v>206</v>
      </c>
    </row>
    <row r="1014" spans="1:5" hidden="1" x14ac:dyDescent="0.15">
      <c r="A1014" s="1" t="s">
        <v>80</v>
      </c>
      <c r="B1014" s="2">
        <v>219686</v>
      </c>
      <c r="C1014" s="3">
        <v>0.12300000000000001</v>
      </c>
      <c r="D1014" s="4" t="s">
        <v>205</v>
      </c>
      <c r="E1014" s="4" t="s">
        <v>206</v>
      </c>
    </row>
    <row r="1015" spans="1:5" ht="26" hidden="1" x14ac:dyDescent="0.15">
      <c r="A1015" s="1" t="s">
        <v>81</v>
      </c>
      <c r="B1015" s="2">
        <v>358873</v>
      </c>
      <c r="C1015" s="3">
        <v>0.20199999999999999</v>
      </c>
      <c r="D1015" s="4" t="s">
        <v>205</v>
      </c>
      <c r="E1015" s="4" t="s">
        <v>206</v>
      </c>
    </row>
    <row r="1016" spans="1:5" hidden="1" x14ac:dyDescent="0.15">
      <c r="A1016" s="1" t="s">
        <v>82</v>
      </c>
      <c r="B1016" s="2">
        <v>274759</v>
      </c>
      <c r="C1016" s="3">
        <v>0.154</v>
      </c>
      <c r="D1016" s="4" t="s">
        <v>205</v>
      </c>
      <c r="E1016" s="4" t="s">
        <v>206</v>
      </c>
    </row>
    <row r="1017" spans="1:5" hidden="1" x14ac:dyDescent="0.15">
      <c r="A1017" s="4"/>
      <c r="B1017" s="4"/>
      <c r="C1017" s="4"/>
      <c r="D1017" s="4" t="s">
        <v>205</v>
      </c>
      <c r="E1017" s="4" t="s">
        <v>206</v>
      </c>
    </row>
    <row r="1018" spans="1:5" hidden="1" x14ac:dyDescent="0.15">
      <c r="A1018" s="5"/>
      <c r="B1018" s="5"/>
      <c r="C1018" s="5"/>
      <c r="D1018" s="4" t="s">
        <v>205</v>
      </c>
      <c r="E1018" s="4" t="s">
        <v>206</v>
      </c>
    </row>
    <row r="1019" spans="1:5" ht="26" hidden="1" x14ac:dyDescent="0.15">
      <c r="A1019" s="1" t="s">
        <v>207</v>
      </c>
      <c r="B1019" s="2">
        <v>1366577</v>
      </c>
      <c r="C1019" s="3">
        <v>0.76800000000000002</v>
      </c>
      <c r="D1019" s="4" t="s">
        <v>205</v>
      </c>
      <c r="E1019" s="4" t="s">
        <v>206</v>
      </c>
    </row>
    <row r="1020" spans="1:5" hidden="1" x14ac:dyDescent="0.15">
      <c r="A1020" s="4"/>
      <c r="B1020" s="4"/>
      <c r="C1020" s="4"/>
      <c r="D1020" s="4" t="s">
        <v>205</v>
      </c>
      <c r="E1020" s="4" t="s">
        <v>206</v>
      </c>
    </row>
    <row r="1021" spans="1:5" hidden="1" x14ac:dyDescent="0.15">
      <c r="A1021" s="5"/>
      <c r="B1021" s="5"/>
      <c r="C1021" s="5"/>
      <c r="D1021" s="4" t="s">
        <v>205</v>
      </c>
      <c r="E1021" s="4" t="s">
        <v>206</v>
      </c>
    </row>
    <row r="1022" spans="1:5" hidden="1" x14ac:dyDescent="0.15">
      <c r="A1022" s="1" t="s">
        <v>208</v>
      </c>
      <c r="B1022" s="2">
        <v>898003</v>
      </c>
      <c r="C1022" s="3">
        <v>0.505</v>
      </c>
      <c r="D1022" s="4" t="s">
        <v>205</v>
      </c>
      <c r="E1022" s="4" t="s">
        <v>206</v>
      </c>
    </row>
    <row r="1023" spans="1:5" ht="26" hidden="1" x14ac:dyDescent="0.15">
      <c r="A1023" s="1" t="s">
        <v>98</v>
      </c>
      <c r="B1023" s="2">
        <v>175986</v>
      </c>
      <c r="C1023" s="3">
        <v>9.9000000000000005E-2</v>
      </c>
      <c r="D1023" s="4" t="s">
        <v>205</v>
      </c>
      <c r="E1023" s="4" t="s">
        <v>206</v>
      </c>
    </row>
    <row r="1024" spans="1:5" hidden="1" x14ac:dyDescent="0.15">
      <c r="A1024" s="4"/>
      <c r="B1024" s="4"/>
      <c r="C1024" s="4"/>
      <c r="D1024" s="4" t="s">
        <v>205</v>
      </c>
      <c r="E1024" s="4" t="s">
        <v>206</v>
      </c>
    </row>
    <row r="1025" spans="1:5" hidden="1" x14ac:dyDescent="0.15">
      <c r="A1025" s="5"/>
      <c r="B1025" s="5"/>
      <c r="C1025" s="5"/>
      <c r="D1025" s="4" t="s">
        <v>205</v>
      </c>
      <c r="E1025" s="4" t="s">
        <v>206</v>
      </c>
    </row>
    <row r="1026" spans="1:5" hidden="1" x14ac:dyDescent="0.15">
      <c r="A1026" s="1" t="s">
        <v>209</v>
      </c>
      <c r="B1026" s="2">
        <v>619872</v>
      </c>
      <c r="C1026" s="3">
        <v>0.34799999999999998</v>
      </c>
      <c r="D1026" s="4" t="s">
        <v>205</v>
      </c>
      <c r="E1026" s="4" t="s">
        <v>206</v>
      </c>
    </row>
    <row r="1027" spans="1:5" hidden="1" x14ac:dyDescent="0.15">
      <c r="A1027" s="4"/>
      <c r="B1027" s="4"/>
      <c r="C1027" s="4"/>
      <c r="D1027" s="4" t="s">
        <v>205</v>
      </c>
      <c r="E1027" s="4" t="s">
        <v>206</v>
      </c>
    </row>
    <row r="1028" spans="1:5" hidden="1" x14ac:dyDescent="0.15">
      <c r="A1028" s="5"/>
      <c r="B1028" s="5"/>
      <c r="C1028" s="5"/>
      <c r="D1028" s="4" t="s">
        <v>205</v>
      </c>
      <c r="E1028" s="4" t="s">
        <v>206</v>
      </c>
    </row>
    <row r="1029" spans="1:5" ht="26" hidden="1" x14ac:dyDescent="0.15">
      <c r="A1029" s="1" t="s">
        <v>210</v>
      </c>
      <c r="B1029" s="2">
        <v>420335</v>
      </c>
      <c r="C1029" s="3">
        <v>0.23600000000000002</v>
      </c>
      <c r="D1029" s="4" t="s">
        <v>205</v>
      </c>
      <c r="E1029" s="4" t="s">
        <v>206</v>
      </c>
    </row>
    <row r="1030" spans="1:5" ht="26" hidden="1" x14ac:dyDescent="0.15">
      <c r="A1030" s="1" t="s">
        <v>211</v>
      </c>
      <c r="B1030" s="2">
        <v>566169</v>
      </c>
      <c r="C1030" s="3">
        <v>0.318</v>
      </c>
      <c r="D1030" s="4" t="s">
        <v>205</v>
      </c>
      <c r="E1030" s="4" t="s">
        <v>206</v>
      </c>
    </row>
    <row r="1031" spans="1:5" ht="26" hidden="1" x14ac:dyDescent="0.15">
      <c r="A1031" s="1" t="s">
        <v>212</v>
      </c>
      <c r="B1031" s="2">
        <v>100503</v>
      </c>
      <c r="C1031" s="3">
        <v>5.5999999999999994E-2</v>
      </c>
      <c r="D1031" s="4" t="s">
        <v>205</v>
      </c>
      <c r="E1031" s="4" t="s">
        <v>206</v>
      </c>
    </row>
    <row r="1032" spans="1:5" ht="26" hidden="1" x14ac:dyDescent="0.15">
      <c r="A1032" s="1" t="s">
        <v>213</v>
      </c>
      <c r="B1032" s="2">
        <v>121678</v>
      </c>
      <c r="C1032" s="3">
        <v>6.8000000000000005E-2</v>
      </c>
      <c r="D1032" s="4" t="s">
        <v>205</v>
      </c>
      <c r="E1032" s="4" t="s">
        <v>206</v>
      </c>
    </row>
    <row r="1033" spans="1:5" ht="26" hidden="1" x14ac:dyDescent="0.15">
      <c r="A1033" s="1" t="s">
        <v>214</v>
      </c>
      <c r="B1033" s="2">
        <v>66350</v>
      </c>
      <c r="C1033" s="3">
        <v>3.7000000000000005E-2</v>
      </c>
      <c r="D1033" s="4" t="s">
        <v>205</v>
      </c>
      <c r="E1033" s="4" t="s">
        <v>206</v>
      </c>
    </row>
    <row r="1034" spans="1:5" ht="26" hidden="1" x14ac:dyDescent="0.15">
      <c r="A1034" s="1" t="s">
        <v>215</v>
      </c>
      <c r="B1034" s="2">
        <v>119165</v>
      </c>
      <c r="C1034" s="3">
        <v>6.7000000000000004E-2</v>
      </c>
      <c r="D1034" s="4" t="s">
        <v>205</v>
      </c>
      <c r="E1034" s="4" t="s">
        <v>206</v>
      </c>
    </row>
    <row r="1035" spans="1:5" ht="39" hidden="1" x14ac:dyDescent="0.15">
      <c r="A1035" s="1" t="s">
        <v>216</v>
      </c>
      <c r="B1035" s="2">
        <v>40238</v>
      </c>
      <c r="C1035" s="3">
        <v>2.3E-2</v>
      </c>
      <c r="D1035" s="4" t="s">
        <v>205</v>
      </c>
      <c r="E1035" s="4" t="s">
        <v>206</v>
      </c>
    </row>
    <row r="1036" spans="1:5" ht="26" hidden="1" x14ac:dyDescent="0.15">
      <c r="A1036" s="1" t="s">
        <v>217</v>
      </c>
      <c r="B1036" s="2">
        <v>58806</v>
      </c>
      <c r="C1036" s="3">
        <v>3.3000000000000002E-2</v>
      </c>
      <c r="D1036" s="4" t="s">
        <v>205</v>
      </c>
      <c r="E1036" s="4" t="s">
        <v>206</v>
      </c>
    </row>
    <row r="1037" spans="1:5" ht="39" hidden="1" x14ac:dyDescent="0.15">
      <c r="A1037" s="1" t="s">
        <v>218</v>
      </c>
      <c r="B1037" s="2">
        <v>203469</v>
      </c>
      <c r="C1037" s="3">
        <v>0.114</v>
      </c>
      <c r="D1037" s="4" t="s">
        <v>205</v>
      </c>
      <c r="E1037" s="4" t="s">
        <v>206</v>
      </c>
    </row>
    <row r="1038" spans="1:5" hidden="1" x14ac:dyDescent="0.15">
      <c r="A1038" s="1" t="s">
        <v>0</v>
      </c>
      <c r="B1038" s="2">
        <v>669518</v>
      </c>
      <c r="C1038" s="3">
        <v>1</v>
      </c>
      <c r="D1038" s="4" t="s">
        <v>219</v>
      </c>
      <c r="E1038" s="4" t="s">
        <v>220</v>
      </c>
    </row>
    <row r="1039" spans="1:5" ht="26" hidden="1" x14ac:dyDescent="0.15">
      <c r="A1039" s="1" t="s">
        <v>3</v>
      </c>
      <c r="B1039" s="2">
        <v>5286</v>
      </c>
      <c r="C1039" s="3">
        <v>8.0000000000000002E-3</v>
      </c>
      <c r="D1039" s="4" t="s">
        <v>219</v>
      </c>
      <c r="E1039" s="4" t="s">
        <v>220</v>
      </c>
    </row>
    <row r="1040" spans="1:5" hidden="1" x14ac:dyDescent="0.15">
      <c r="A1040" s="1" t="s">
        <v>4</v>
      </c>
      <c r="B1040" s="2">
        <v>3932</v>
      </c>
      <c r="C1040" s="3">
        <v>6.0000000000000001E-3</v>
      </c>
      <c r="D1040" s="4" t="s">
        <v>219</v>
      </c>
      <c r="E1040" s="4" t="s">
        <v>220</v>
      </c>
    </row>
    <row r="1041" spans="1:5" ht="26" hidden="1" x14ac:dyDescent="0.15">
      <c r="A1041" s="1" t="s">
        <v>5</v>
      </c>
      <c r="B1041" s="2">
        <v>16504</v>
      </c>
      <c r="C1041" s="3">
        <v>2.5000000000000001E-2</v>
      </c>
      <c r="D1041" s="4" t="s">
        <v>219</v>
      </c>
      <c r="E1041" s="4" t="s">
        <v>220</v>
      </c>
    </row>
    <row r="1042" spans="1:5" ht="26" hidden="1" x14ac:dyDescent="0.15">
      <c r="A1042" s="1" t="s">
        <v>6</v>
      </c>
      <c r="B1042" s="2">
        <v>57156</v>
      </c>
      <c r="C1042" s="3">
        <v>8.5000000000000006E-2</v>
      </c>
      <c r="D1042" s="4" t="s">
        <v>219</v>
      </c>
      <c r="E1042" s="4" t="s">
        <v>220</v>
      </c>
    </row>
    <row r="1043" spans="1:5" ht="26" hidden="1" x14ac:dyDescent="0.15">
      <c r="A1043" s="1" t="s">
        <v>7</v>
      </c>
      <c r="B1043" s="2">
        <v>62479</v>
      </c>
      <c r="C1043" s="3">
        <v>9.3000000000000013E-2</v>
      </c>
      <c r="D1043" s="4" t="s">
        <v>219</v>
      </c>
      <c r="E1043" s="4" t="s">
        <v>220</v>
      </c>
    </row>
    <row r="1044" spans="1:5" ht="26" hidden="1" x14ac:dyDescent="0.15">
      <c r="A1044" s="1" t="s">
        <v>8</v>
      </c>
      <c r="B1044" s="2">
        <v>8221</v>
      </c>
      <c r="C1044" s="3">
        <v>1.2E-2</v>
      </c>
      <c r="D1044" s="4" t="s">
        <v>219</v>
      </c>
      <c r="E1044" s="4" t="s">
        <v>220</v>
      </c>
    </row>
    <row r="1045" spans="1:5" ht="26" hidden="1" x14ac:dyDescent="0.15">
      <c r="A1045" s="1" t="s">
        <v>9</v>
      </c>
      <c r="B1045" s="2">
        <v>8566</v>
      </c>
      <c r="C1045" s="3">
        <v>1.3000000000000001E-2</v>
      </c>
      <c r="D1045" s="4" t="s">
        <v>219</v>
      </c>
      <c r="E1045" s="4" t="s">
        <v>220</v>
      </c>
    </row>
    <row r="1046" spans="1:5" ht="26" hidden="1" x14ac:dyDescent="0.15">
      <c r="A1046" s="1" t="s">
        <v>10</v>
      </c>
      <c r="B1046" s="2">
        <v>13161</v>
      </c>
      <c r="C1046" s="3">
        <v>0.02</v>
      </c>
      <c r="D1046" s="4" t="s">
        <v>219</v>
      </c>
      <c r="E1046" s="4" t="s">
        <v>220</v>
      </c>
    </row>
    <row r="1047" spans="1:5" ht="26" hidden="1" x14ac:dyDescent="0.15">
      <c r="A1047" s="1" t="s">
        <v>11</v>
      </c>
      <c r="B1047" s="2">
        <v>35274</v>
      </c>
      <c r="C1047" s="3">
        <v>5.2999999999999999E-2</v>
      </c>
      <c r="D1047" s="4" t="s">
        <v>219</v>
      </c>
      <c r="E1047" s="4" t="s">
        <v>220</v>
      </c>
    </row>
    <row r="1048" spans="1:5" ht="26" hidden="1" x14ac:dyDescent="0.15">
      <c r="A1048" s="1" t="s">
        <v>12</v>
      </c>
      <c r="B1048" s="2">
        <v>10742</v>
      </c>
      <c r="C1048" s="3">
        <v>1.6E-2</v>
      </c>
      <c r="D1048" s="4" t="s">
        <v>219</v>
      </c>
      <c r="E1048" s="4" t="s">
        <v>220</v>
      </c>
    </row>
    <row r="1049" spans="1:5" ht="26" hidden="1" x14ac:dyDescent="0.15">
      <c r="A1049" s="1" t="s">
        <v>13</v>
      </c>
      <c r="B1049" s="2">
        <v>10742</v>
      </c>
      <c r="C1049" s="3">
        <v>1.6E-2</v>
      </c>
      <c r="D1049" s="4" t="s">
        <v>219</v>
      </c>
      <c r="E1049" s="4" t="s">
        <v>220</v>
      </c>
    </row>
    <row r="1050" spans="1:5" hidden="1" x14ac:dyDescent="0.15">
      <c r="A1050" s="1" t="s">
        <v>14</v>
      </c>
      <c r="B1050" s="2">
        <v>41336</v>
      </c>
      <c r="C1050" s="3">
        <v>6.2E-2</v>
      </c>
      <c r="D1050" s="4" t="s">
        <v>219</v>
      </c>
      <c r="E1050" s="4" t="s">
        <v>220</v>
      </c>
    </row>
    <row r="1051" spans="1:5" ht="26" hidden="1" x14ac:dyDescent="0.15">
      <c r="A1051" s="1" t="s">
        <v>15</v>
      </c>
      <c r="B1051" s="2">
        <v>38189</v>
      </c>
      <c r="C1051" s="3">
        <v>5.7000000000000002E-2</v>
      </c>
      <c r="D1051" s="4" t="s">
        <v>219</v>
      </c>
      <c r="E1051" s="4" t="s">
        <v>220</v>
      </c>
    </row>
    <row r="1052" spans="1:5" ht="26" hidden="1" x14ac:dyDescent="0.15">
      <c r="A1052" s="1" t="s">
        <v>16</v>
      </c>
      <c r="B1052" s="2">
        <v>17178</v>
      </c>
      <c r="C1052" s="3">
        <v>2.6000000000000002E-2</v>
      </c>
      <c r="D1052" s="4" t="s">
        <v>219</v>
      </c>
      <c r="E1052" s="4" t="s">
        <v>220</v>
      </c>
    </row>
    <row r="1053" spans="1:5" ht="26" hidden="1" x14ac:dyDescent="0.15">
      <c r="A1053" s="1" t="s">
        <v>17</v>
      </c>
      <c r="B1053" s="2">
        <v>22566</v>
      </c>
      <c r="C1053" s="3">
        <v>3.4000000000000002E-2</v>
      </c>
      <c r="D1053" s="4" t="s">
        <v>219</v>
      </c>
      <c r="E1053" s="4" t="s">
        <v>220</v>
      </c>
    </row>
    <row r="1054" spans="1:5" hidden="1" x14ac:dyDescent="0.15">
      <c r="A1054" s="1" t="s">
        <v>18</v>
      </c>
      <c r="B1054" s="2">
        <v>9261</v>
      </c>
      <c r="C1054" s="3">
        <v>1.3999999999999999E-2</v>
      </c>
      <c r="D1054" s="4" t="s">
        <v>219</v>
      </c>
      <c r="E1054" s="4" t="s">
        <v>220</v>
      </c>
    </row>
    <row r="1055" spans="1:5" hidden="1" x14ac:dyDescent="0.15">
      <c r="A1055" s="1" t="s">
        <v>19</v>
      </c>
      <c r="B1055" s="2">
        <v>216800</v>
      </c>
      <c r="C1055" s="3">
        <v>0.32400000000000001</v>
      </c>
      <c r="D1055" s="4" t="s">
        <v>219</v>
      </c>
      <c r="E1055" s="4" t="s">
        <v>220</v>
      </c>
    </row>
    <row r="1056" spans="1:5" hidden="1" x14ac:dyDescent="0.15">
      <c r="A1056" s="1" t="s">
        <v>20</v>
      </c>
      <c r="B1056" s="2">
        <v>11018</v>
      </c>
      <c r="C1056" s="3">
        <v>1.6E-2</v>
      </c>
      <c r="D1056" s="4" t="s">
        <v>219</v>
      </c>
      <c r="E1056" s="4" t="s">
        <v>220</v>
      </c>
    </row>
    <row r="1057" spans="1:5" ht="26" hidden="1" x14ac:dyDescent="0.15">
      <c r="A1057" s="1" t="s">
        <v>21</v>
      </c>
      <c r="B1057" s="2">
        <v>18262</v>
      </c>
      <c r="C1057" s="3">
        <v>2.7000000000000003E-2</v>
      </c>
      <c r="D1057" s="4" t="s">
        <v>219</v>
      </c>
      <c r="E1057" s="4" t="s">
        <v>220</v>
      </c>
    </row>
    <row r="1058" spans="1:5" ht="26" hidden="1" x14ac:dyDescent="0.15">
      <c r="A1058" s="1" t="s">
        <v>22</v>
      </c>
      <c r="B1058" s="2">
        <v>0</v>
      </c>
      <c r="C1058" s="3">
        <v>0</v>
      </c>
      <c r="D1058" s="4" t="s">
        <v>219</v>
      </c>
      <c r="E1058" s="4" t="s">
        <v>220</v>
      </c>
    </row>
    <row r="1059" spans="1:5" ht="26" hidden="1" x14ac:dyDescent="0.15">
      <c r="A1059" s="1" t="s">
        <v>23</v>
      </c>
      <c r="B1059" s="2">
        <v>8911</v>
      </c>
      <c r="C1059" s="3">
        <v>1.3000000000000001E-2</v>
      </c>
      <c r="D1059" s="4" t="s">
        <v>219</v>
      </c>
      <c r="E1059" s="4" t="s">
        <v>220</v>
      </c>
    </row>
    <row r="1060" spans="1:5" ht="26" hidden="1" x14ac:dyDescent="0.15">
      <c r="A1060" s="1" t="s">
        <v>24</v>
      </c>
      <c r="B1060" s="2">
        <v>9183</v>
      </c>
      <c r="C1060" s="3">
        <v>1.3999999999999999E-2</v>
      </c>
      <c r="D1060" s="4" t="s">
        <v>219</v>
      </c>
      <c r="E1060" s="4" t="s">
        <v>220</v>
      </c>
    </row>
    <row r="1061" spans="1:5" ht="26" hidden="1" x14ac:dyDescent="0.15">
      <c r="A1061" s="1" t="s">
        <v>25</v>
      </c>
      <c r="B1061" s="2">
        <v>23326</v>
      </c>
      <c r="C1061" s="3">
        <v>3.5000000000000003E-2</v>
      </c>
      <c r="D1061" s="4" t="s">
        <v>219</v>
      </c>
      <c r="E1061" s="4" t="s">
        <v>220</v>
      </c>
    </row>
    <row r="1062" spans="1:5" hidden="1" x14ac:dyDescent="0.15">
      <c r="A1062" s="1" t="s">
        <v>26</v>
      </c>
      <c r="B1062" s="2">
        <v>5286</v>
      </c>
      <c r="C1062" s="3">
        <v>8.0000000000000002E-3</v>
      </c>
      <c r="D1062" s="4" t="s">
        <v>219</v>
      </c>
      <c r="E1062" s="4" t="s">
        <v>220</v>
      </c>
    </row>
    <row r="1063" spans="1:5" hidden="1" x14ac:dyDescent="0.15">
      <c r="A1063" s="1" t="s">
        <v>27</v>
      </c>
      <c r="B1063" s="2">
        <v>51356</v>
      </c>
      <c r="C1063" s="3">
        <v>7.6999999999999999E-2</v>
      </c>
      <c r="D1063" s="4" t="s">
        <v>219</v>
      </c>
      <c r="E1063" s="4" t="s">
        <v>220</v>
      </c>
    </row>
    <row r="1064" spans="1:5" hidden="1" x14ac:dyDescent="0.15">
      <c r="A1064" s="1" t="s">
        <v>28</v>
      </c>
      <c r="B1064" s="2">
        <v>46515</v>
      </c>
      <c r="C1064" s="3">
        <v>6.9000000000000006E-2</v>
      </c>
      <c r="D1064" s="4" t="s">
        <v>219</v>
      </c>
      <c r="E1064" s="4" t="s">
        <v>220</v>
      </c>
    </row>
    <row r="1065" spans="1:5" hidden="1" x14ac:dyDescent="0.15">
      <c r="A1065" s="1" t="s">
        <v>29</v>
      </c>
      <c r="B1065" s="2">
        <v>132307</v>
      </c>
      <c r="C1065" s="3">
        <v>0.19800000000000001</v>
      </c>
      <c r="D1065" s="4" t="s">
        <v>219</v>
      </c>
      <c r="E1065" s="4" t="s">
        <v>220</v>
      </c>
    </row>
    <row r="1066" spans="1:5" hidden="1" x14ac:dyDescent="0.15">
      <c r="A1066" s="1" t="s">
        <v>30</v>
      </c>
      <c r="B1066" s="2">
        <v>71241</v>
      </c>
      <c r="C1066" s="3">
        <v>0.106</v>
      </c>
      <c r="D1066" s="4" t="s">
        <v>219</v>
      </c>
      <c r="E1066" s="4" t="s">
        <v>220</v>
      </c>
    </row>
    <row r="1067" spans="1:5" ht="39" hidden="1" x14ac:dyDescent="0.15">
      <c r="A1067" s="1" t="s">
        <v>31</v>
      </c>
      <c r="B1067" s="2">
        <v>9334</v>
      </c>
      <c r="C1067" s="3">
        <v>1.3999999999999999E-2</v>
      </c>
      <c r="D1067" s="4" t="s">
        <v>219</v>
      </c>
      <c r="E1067" s="4" t="s">
        <v>220</v>
      </c>
    </row>
    <row r="1068" spans="1:5" hidden="1" x14ac:dyDescent="0.15">
      <c r="A1068" s="1" t="s">
        <v>32</v>
      </c>
      <c r="B1068" s="2">
        <v>29793</v>
      </c>
      <c r="C1068" s="3">
        <v>4.4000000000000004E-2</v>
      </c>
      <c r="D1068" s="4" t="s">
        <v>219</v>
      </c>
      <c r="E1068" s="4" t="s">
        <v>220</v>
      </c>
    </row>
    <row r="1069" spans="1:5" hidden="1" x14ac:dyDescent="0.15">
      <c r="A1069" s="1" t="s">
        <v>33</v>
      </c>
      <c r="B1069" s="2">
        <v>170078</v>
      </c>
      <c r="C1069" s="3">
        <v>0.254</v>
      </c>
      <c r="D1069" s="4" t="s">
        <v>219</v>
      </c>
      <c r="E1069" s="4" t="s">
        <v>220</v>
      </c>
    </row>
    <row r="1070" spans="1:5" hidden="1" x14ac:dyDescent="0.15">
      <c r="A1070" s="1" t="s">
        <v>34</v>
      </c>
      <c r="B1070" s="2">
        <v>38005</v>
      </c>
      <c r="C1070" s="3">
        <v>5.7000000000000002E-2</v>
      </c>
      <c r="D1070" s="4" t="s">
        <v>219</v>
      </c>
      <c r="E1070" s="4" t="s">
        <v>220</v>
      </c>
    </row>
    <row r="1071" spans="1:5" hidden="1" x14ac:dyDescent="0.15">
      <c r="A1071" s="1" t="s">
        <v>35</v>
      </c>
      <c r="B1071" s="2">
        <v>9459</v>
      </c>
      <c r="C1071" s="3">
        <v>1.3999999999999999E-2</v>
      </c>
      <c r="D1071" s="4" t="s">
        <v>219</v>
      </c>
      <c r="E1071" s="4" t="s">
        <v>220</v>
      </c>
    </row>
    <row r="1072" spans="1:5" ht="26" hidden="1" x14ac:dyDescent="0.15">
      <c r="A1072" s="1" t="s">
        <v>36</v>
      </c>
      <c r="B1072" s="2">
        <v>9995</v>
      </c>
      <c r="C1072" s="3">
        <v>1.4999999999999999E-2</v>
      </c>
      <c r="D1072" s="4" t="s">
        <v>219</v>
      </c>
      <c r="E1072" s="4" t="s">
        <v>220</v>
      </c>
    </row>
    <row r="1073" spans="1:5" hidden="1" x14ac:dyDescent="0.15">
      <c r="A1073" s="1" t="s">
        <v>37</v>
      </c>
      <c r="B1073" s="2">
        <v>5357</v>
      </c>
      <c r="C1073" s="3">
        <v>8.0000000000000002E-3</v>
      </c>
      <c r="D1073" s="4" t="s">
        <v>219</v>
      </c>
      <c r="E1073" s="4" t="s">
        <v>220</v>
      </c>
    </row>
    <row r="1074" spans="1:5" ht="39" hidden="1" x14ac:dyDescent="0.15">
      <c r="A1074" s="1" t="s">
        <v>38</v>
      </c>
      <c r="B1074" s="2">
        <v>20069</v>
      </c>
      <c r="C1074" s="3">
        <v>0.03</v>
      </c>
      <c r="D1074" s="4" t="s">
        <v>219</v>
      </c>
      <c r="E1074" s="4" t="s">
        <v>220</v>
      </c>
    </row>
    <row r="1075" spans="1:5" hidden="1" x14ac:dyDescent="0.15">
      <c r="A1075" s="1" t="s">
        <v>39</v>
      </c>
      <c r="B1075" s="2">
        <v>29217</v>
      </c>
      <c r="C1075" s="3">
        <v>4.4000000000000004E-2</v>
      </c>
      <c r="D1075" s="4" t="s">
        <v>219</v>
      </c>
      <c r="E1075" s="4" t="s">
        <v>220</v>
      </c>
    </row>
    <row r="1076" spans="1:5" hidden="1" x14ac:dyDescent="0.15">
      <c r="A1076" s="1" t="s">
        <v>40</v>
      </c>
      <c r="B1076" s="2">
        <v>7422</v>
      </c>
      <c r="C1076" s="3">
        <v>1.1000000000000001E-2</v>
      </c>
      <c r="D1076" s="4" t="s">
        <v>219</v>
      </c>
      <c r="E1076" s="4" t="s">
        <v>220</v>
      </c>
    </row>
    <row r="1077" spans="1:5" hidden="1" x14ac:dyDescent="0.15">
      <c r="A1077" s="1" t="s">
        <v>41</v>
      </c>
      <c r="B1077" s="2">
        <v>15757</v>
      </c>
      <c r="C1077" s="3">
        <v>2.4E-2</v>
      </c>
      <c r="D1077" s="4" t="s">
        <v>219</v>
      </c>
      <c r="E1077" s="4" t="s">
        <v>220</v>
      </c>
    </row>
    <row r="1078" spans="1:5" hidden="1" x14ac:dyDescent="0.15">
      <c r="A1078" s="1" t="s">
        <v>42</v>
      </c>
      <c r="B1078" s="2">
        <v>32392</v>
      </c>
      <c r="C1078" s="3">
        <v>4.8000000000000001E-2</v>
      </c>
      <c r="D1078" s="4" t="s">
        <v>219</v>
      </c>
      <c r="E1078" s="4" t="s">
        <v>220</v>
      </c>
    </row>
    <row r="1079" spans="1:5" hidden="1" x14ac:dyDescent="0.15">
      <c r="A1079" s="1" t="s">
        <v>43</v>
      </c>
      <c r="B1079" s="2">
        <v>68567</v>
      </c>
      <c r="C1079" s="3">
        <v>0.10199999999999999</v>
      </c>
      <c r="D1079" s="4" t="s">
        <v>219</v>
      </c>
      <c r="E1079" s="4" t="s">
        <v>220</v>
      </c>
    </row>
    <row r="1080" spans="1:5" ht="26" hidden="1" x14ac:dyDescent="0.15">
      <c r="A1080" s="1" t="s">
        <v>44</v>
      </c>
      <c r="B1080" s="2">
        <v>40642</v>
      </c>
      <c r="C1080" s="3">
        <v>6.0999999999999999E-2</v>
      </c>
      <c r="D1080" s="4" t="s">
        <v>219</v>
      </c>
      <c r="E1080" s="4" t="s">
        <v>220</v>
      </c>
    </row>
    <row r="1081" spans="1:5" hidden="1" x14ac:dyDescent="0.15">
      <c r="A1081" s="1" t="s">
        <v>45</v>
      </c>
      <c r="B1081" s="2">
        <v>102946</v>
      </c>
      <c r="C1081" s="3">
        <v>0.154</v>
      </c>
      <c r="D1081" s="4" t="s">
        <v>219</v>
      </c>
      <c r="E1081" s="4" t="s">
        <v>220</v>
      </c>
    </row>
    <row r="1082" spans="1:5" ht="26" hidden="1" x14ac:dyDescent="0.15">
      <c r="A1082" s="1" t="s">
        <v>46</v>
      </c>
      <c r="B1082" s="2">
        <v>184588</v>
      </c>
      <c r="C1082" s="3">
        <v>0.27600000000000002</v>
      </c>
      <c r="D1082" s="4" t="s">
        <v>219</v>
      </c>
      <c r="E1082" s="4" t="s">
        <v>220</v>
      </c>
    </row>
    <row r="1083" spans="1:5" hidden="1" x14ac:dyDescent="0.15">
      <c r="A1083" s="1" t="s">
        <v>47</v>
      </c>
      <c r="B1083" s="2">
        <v>199003</v>
      </c>
      <c r="C1083" s="3">
        <v>0.29699999999999999</v>
      </c>
      <c r="D1083" s="4" t="s">
        <v>219</v>
      </c>
      <c r="E1083" s="4" t="s">
        <v>220</v>
      </c>
    </row>
    <row r="1084" spans="1:5" hidden="1" x14ac:dyDescent="0.15">
      <c r="A1084" s="1" t="s">
        <v>48</v>
      </c>
      <c r="B1084" s="2">
        <v>63702</v>
      </c>
      <c r="C1084" s="3">
        <v>9.5000000000000001E-2</v>
      </c>
      <c r="D1084" s="4" t="s">
        <v>219</v>
      </c>
      <c r="E1084" s="4" t="s">
        <v>220</v>
      </c>
    </row>
    <row r="1085" spans="1:5" hidden="1" x14ac:dyDescent="0.15">
      <c r="A1085" s="1" t="s">
        <v>49</v>
      </c>
      <c r="B1085" s="2">
        <v>48247</v>
      </c>
      <c r="C1085" s="3">
        <v>7.2000000000000008E-2</v>
      </c>
      <c r="D1085" s="4" t="s">
        <v>219</v>
      </c>
      <c r="E1085" s="4" t="s">
        <v>220</v>
      </c>
    </row>
    <row r="1086" spans="1:5" ht="26" hidden="1" x14ac:dyDescent="0.15">
      <c r="A1086" s="1" t="s">
        <v>50</v>
      </c>
      <c r="B1086" s="2">
        <v>87564</v>
      </c>
      <c r="C1086" s="3">
        <v>0.13100000000000001</v>
      </c>
      <c r="D1086" s="4" t="s">
        <v>219</v>
      </c>
      <c r="E1086" s="4" t="s">
        <v>220</v>
      </c>
    </row>
    <row r="1087" spans="1:5" hidden="1" x14ac:dyDescent="0.15">
      <c r="A1087" s="1" t="s">
        <v>51</v>
      </c>
      <c r="B1087" s="2">
        <v>219717</v>
      </c>
      <c r="C1087" s="3">
        <v>0.32799999999999996</v>
      </c>
      <c r="D1087" s="4" t="s">
        <v>219</v>
      </c>
      <c r="E1087" s="4" t="s">
        <v>220</v>
      </c>
    </row>
    <row r="1088" spans="1:5" hidden="1" x14ac:dyDescent="0.15">
      <c r="A1088" s="1" t="s">
        <v>52</v>
      </c>
      <c r="B1088" s="2">
        <v>73369</v>
      </c>
      <c r="C1088" s="3">
        <v>0.11</v>
      </c>
      <c r="D1088" s="4" t="s">
        <v>219</v>
      </c>
      <c r="E1088" s="4" t="s">
        <v>220</v>
      </c>
    </row>
    <row r="1089" spans="1:5" ht="26" hidden="1" x14ac:dyDescent="0.15">
      <c r="A1089" s="1" t="s">
        <v>53</v>
      </c>
      <c r="B1089" s="2">
        <v>51285</v>
      </c>
      <c r="C1089" s="3">
        <v>7.6999999999999999E-2</v>
      </c>
      <c r="D1089" s="4" t="s">
        <v>219</v>
      </c>
      <c r="E1089" s="4" t="s">
        <v>220</v>
      </c>
    </row>
    <row r="1090" spans="1:5" hidden="1" x14ac:dyDescent="0.15">
      <c r="A1090" s="1" t="s">
        <v>54</v>
      </c>
      <c r="B1090" s="2">
        <v>235758</v>
      </c>
      <c r="C1090" s="3">
        <v>0.35200000000000004</v>
      </c>
      <c r="D1090" s="4" t="s">
        <v>219</v>
      </c>
      <c r="E1090" s="4" t="s">
        <v>220</v>
      </c>
    </row>
    <row r="1091" spans="1:5" ht="26" hidden="1" x14ac:dyDescent="0.15">
      <c r="A1091" s="1" t="s">
        <v>55</v>
      </c>
      <c r="B1091" s="2">
        <v>207312</v>
      </c>
      <c r="C1091" s="3">
        <v>0.31</v>
      </c>
      <c r="D1091" s="4" t="s">
        <v>219</v>
      </c>
      <c r="E1091" s="4" t="s">
        <v>220</v>
      </c>
    </row>
    <row r="1092" spans="1:5" hidden="1" x14ac:dyDescent="0.15">
      <c r="A1092" s="1" t="s">
        <v>56</v>
      </c>
      <c r="B1092" s="2">
        <v>135432</v>
      </c>
      <c r="C1092" s="3">
        <v>0.20199999999999999</v>
      </c>
      <c r="D1092" s="4" t="s">
        <v>219</v>
      </c>
      <c r="E1092" s="4" t="s">
        <v>220</v>
      </c>
    </row>
    <row r="1093" spans="1:5" hidden="1" x14ac:dyDescent="0.15">
      <c r="A1093" s="1" t="s">
        <v>57</v>
      </c>
      <c r="B1093" s="2">
        <v>107849</v>
      </c>
      <c r="C1093" s="3">
        <v>0.161</v>
      </c>
      <c r="D1093" s="4" t="s">
        <v>219</v>
      </c>
      <c r="E1093" s="4" t="s">
        <v>220</v>
      </c>
    </row>
    <row r="1094" spans="1:5" hidden="1" x14ac:dyDescent="0.15">
      <c r="A1094" s="1" t="s">
        <v>58</v>
      </c>
      <c r="B1094" s="2">
        <v>71289</v>
      </c>
      <c r="C1094" s="3">
        <v>0.106</v>
      </c>
      <c r="D1094" s="4" t="s">
        <v>219</v>
      </c>
      <c r="E1094" s="4" t="s">
        <v>220</v>
      </c>
    </row>
    <row r="1095" spans="1:5" hidden="1" x14ac:dyDescent="0.15">
      <c r="A1095" s="1" t="s">
        <v>59</v>
      </c>
      <c r="B1095" s="2">
        <v>458372</v>
      </c>
      <c r="C1095" s="3">
        <v>0.68500000000000005</v>
      </c>
      <c r="D1095" s="4" t="s">
        <v>219</v>
      </c>
      <c r="E1095" s="4" t="s">
        <v>220</v>
      </c>
    </row>
    <row r="1096" spans="1:5" hidden="1" x14ac:dyDescent="0.15">
      <c r="A1096" s="1" t="s">
        <v>60</v>
      </c>
      <c r="B1096" s="2">
        <v>56313</v>
      </c>
      <c r="C1096" s="3">
        <v>8.4000000000000005E-2</v>
      </c>
      <c r="D1096" s="4" t="s">
        <v>219</v>
      </c>
      <c r="E1096" s="4" t="s">
        <v>220</v>
      </c>
    </row>
    <row r="1097" spans="1:5" ht="26" hidden="1" x14ac:dyDescent="0.15">
      <c r="A1097" s="1" t="s">
        <v>61</v>
      </c>
      <c r="B1097" s="2">
        <v>107457</v>
      </c>
      <c r="C1097" s="3">
        <v>0.16</v>
      </c>
      <c r="D1097" s="4" t="s">
        <v>219</v>
      </c>
      <c r="E1097" s="4" t="s">
        <v>220</v>
      </c>
    </row>
    <row r="1098" spans="1:5" hidden="1" x14ac:dyDescent="0.15">
      <c r="A1098" s="1" t="s">
        <v>62</v>
      </c>
      <c r="B1098" s="2">
        <v>30331</v>
      </c>
      <c r="C1098" s="3">
        <v>4.4999999999999998E-2</v>
      </c>
      <c r="D1098" s="4" t="s">
        <v>219</v>
      </c>
      <c r="E1098" s="4" t="s">
        <v>220</v>
      </c>
    </row>
    <row r="1099" spans="1:5" ht="26" hidden="1" x14ac:dyDescent="0.15">
      <c r="A1099" s="1" t="s">
        <v>63</v>
      </c>
      <c r="B1099" s="2">
        <v>92409</v>
      </c>
      <c r="C1099" s="3">
        <v>0.13800000000000001</v>
      </c>
      <c r="D1099" s="4" t="s">
        <v>219</v>
      </c>
      <c r="E1099" s="4" t="s">
        <v>220</v>
      </c>
    </row>
    <row r="1100" spans="1:5" ht="26" hidden="1" x14ac:dyDescent="0.15">
      <c r="A1100" s="1" t="s">
        <v>64</v>
      </c>
      <c r="B1100" s="2">
        <v>42915</v>
      </c>
      <c r="C1100" s="3">
        <v>6.4000000000000001E-2</v>
      </c>
      <c r="D1100" s="4" t="s">
        <v>219</v>
      </c>
      <c r="E1100" s="4" t="s">
        <v>220</v>
      </c>
    </row>
    <row r="1101" spans="1:5" hidden="1" x14ac:dyDescent="0.15">
      <c r="A1101" s="1" t="s">
        <v>65</v>
      </c>
      <c r="B1101" s="2">
        <v>130207</v>
      </c>
      <c r="C1101" s="3">
        <v>0.19399999999999998</v>
      </c>
      <c r="D1101" s="4" t="s">
        <v>219</v>
      </c>
      <c r="E1101" s="4" t="s">
        <v>220</v>
      </c>
    </row>
    <row r="1102" spans="1:5" hidden="1" x14ac:dyDescent="0.15">
      <c r="A1102" s="1" t="s">
        <v>66</v>
      </c>
      <c r="B1102" s="2">
        <v>66973</v>
      </c>
      <c r="C1102" s="3">
        <v>0.1</v>
      </c>
      <c r="D1102" s="4" t="s">
        <v>219</v>
      </c>
      <c r="E1102" s="4" t="s">
        <v>220</v>
      </c>
    </row>
    <row r="1103" spans="1:5" hidden="1" x14ac:dyDescent="0.15">
      <c r="A1103" s="1" t="s">
        <v>67</v>
      </c>
      <c r="B1103" s="2">
        <v>186921</v>
      </c>
      <c r="C1103" s="3">
        <v>0.27899999999999997</v>
      </c>
      <c r="D1103" s="4" t="s">
        <v>219</v>
      </c>
      <c r="E1103" s="4" t="s">
        <v>220</v>
      </c>
    </row>
    <row r="1104" spans="1:5" hidden="1" x14ac:dyDescent="0.15">
      <c r="A1104" s="1" t="s">
        <v>68</v>
      </c>
      <c r="B1104" s="2">
        <v>152252</v>
      </c>
      <c r="C1104" s="3">
        <v>0.22699999999999998</v>
      </c>
      <c r="D1104" s="4" t="s">
        <v>219</v>
      </c>
      <c r="E1104" s="4" t="s">
        <v>220</v>
      </c>
    </row>
    <row r="1105" spans="1:5" hidden="1" x14ac:dyDescent="0.15">
      <c r="A1105" s="1" t="s">
        <v>69</v>
      </c>
      <c r="B1105" s="2">
        <v>404387</v>
      </c>
      <c r="C1105" s="3">
        <v>0.60399999999999998</v>
      </c>
      <c r="D1105" s="4" t="s">
        <v>219</v>
      </c>
      <c r="E1105" s="4" t="s">
        <v>220</v>
      </c>
    </row>
    <row r="1106" spans="1:5" hidden="1" x14ac:dyDescent="0.15">
      <c r="A1106" s="1" t="s">
        <v>70</v>
      </c>
      <c r="B1106" s="2">
        <v>228484</v>
      </c>
      <c r="C1106" s="3">
        <v>0.34100000000000003</v>
      </c>
      <c r="D1106" s="4" t="s">
        <v>219</v>
      </c>
      <c r="E1106" s="4" t="s">
        <v>220</v>
      </c>
    </row>
    <row r="1107" spans="1:5" ht="26" hidden="1" x14ac:dyDescent="0.15">
      <c r="A1107" s="1" t="s">
        <v>71</v>
      </c>
      <c r="B1107" s="2">
        <v>31225</v>
      </c>
      <c r="C1107" s="3">
        <v>4.7E-2</v>
      </c>
      <c r="D1107" s="4" t="s">
        <v>219</v>
      </c>
      <c r="E1107" s="4" t="s">
        <v>220</v>
      </c>
    </row>
    <row r="1108" spans="1:5" hidden="1" x14ac:dyDescent="0.15">
      <c r="A1108" s="1" t="s">
        <v>72</v>
      </c>
      <c r="B1108" s="2">
        <v>87876</v>
      </c>
      <c r="C1108" s="3">
        <v>0.13100000000000001</v>
      </c>
      <c r="D1108" s="4" t="s">
        <v>219</v>
      </c>
      <c r="E1108" s="4" t="s">
        <v>220</v>
      </c>
    </row>
    <row r="1109" spans="1:5" hidden="1" x14ac:dyDescent="0.15">
      <c r="A1109" s="1" t="s">
        <v>73</v>
      </c>
      <c r="B1109" s="2">
        <v>414348</v>
      </c>
      <c r="C1109" s="3">
        <v>0.61899999999999999</v>
      </c>
      <c r="D1109" s="4" t="s">
        <v>219</v>
      </c>
      <c r="E1109" s="4" t="s">
        <v>220</v>
      </c>
    </row>
    <row r="1110" spans="1:5" hidden="1" x14ac:dyDescent="0.15">
      <c r="A1110" s="1" t="s">
        <v>74</v>
      </c>
      <c r="B1110" s="2">
        <v>148522</v>
      </c>
      <c r="C1110" s="3">
        <v>0.222</v>
      </c>
      <c r="D1110" s="4" t="s">
        <v>219</v>
      </c>
      <c r="E1110" s="4" t="s">
        <v>220</v>
      </c>
    </row>
    <row r="1111" spans="1:5" hidden="1" x14ac:dyDescent="0.15">
      <c r="A1111" s="1" t="s">
        <v>75</v>
      </c>
      <c r="B1111" s="2">
        <v>78020</v>
      </c>
      <c r="C1111" s="3">
        <v>0.11699999999999999</v>
      </c>
      <c r="D1111" s="4" t="s">
        <v>219</v>
      </c>
      <c r="E1111" s="4" t="s">
        <v>220</v>
      </c>
    </row>
    <row r="1112" spans="1:5" hidden="1" x14ac:dyDescent="0.15">
      <c r="A1112" s="1" t="s">
        <v>76</v>
      </c>
      <c r="B1112" s="2">
        <v>133991</v>
      </c>
      <c r="C1112" s="3">
        <v>0.2</v>
      </c>
      <c r="D1112" s="4" t="s">
        <v>219</v>
      </c>
      <c r="E1112" s="4" t="s">
        <v>220</v>
      </c>
    </row>
    <row r="1113" spans="1:5" hidden="1" x14ac:dyDescent="0.15">
      <c r="A1113" s="1" t="s">
        <v>77</v>
      </c>
      <c r="B1113" s="2">
        <v>113161</v>
      </c>
      <c r="C1113" s="3">
        <v>0.16899999999999998</v>
      </c>
      <c r="D1113" s="4" t="s">
        <v>219</v>
      </c>
      <c r="E1113" s="4" t="s">
        <v>220</v>
      </c>
    </row>
    <row r="1114" spans="1:5" ht="26" hidden="1" x14ac:dyDescent="0.15">
      <c r="A1114" s="1" t="s">
        <v>78</v>
      </c>
      <c r="B1114" s="2">
        <v>73791</v>
      </c>
      <c r="C1114" s="3">
        <v>0.11</v>
      </c>
      <c r="D1114" s="4" t="s">
        <v>219</v>
      </c>
      <c r="E1114" s="4" t="s">
        <v>220</v>
      </c>
    </row>
    <row r="1115" spans="1:5" hidden="1" x14ac:dyDescent="0.15">
      <c r="A1115" s="1" t="s">
        <v>79</v>
      </c>
      <c r="B1115" s="2">
        <v>102103</v>
      </c>
      <c r="C1115" s="3">
        <v>0.153</v>
      </c>
      <c r="D1115" s="4" t="s">
        <v>219</v>
      </c>
      <c r="E1115" s="4" t="s">
        <v>220</v>
      </c>
    </row>
    <row r="1116" spans="1:5" hidden="1" x14ac:dyDescent="0.15">
      <c r="A1116" s="1" t="s">
        <v>80</v>
      </c>
      <c r="B1116" s="2">
        <v>60721</v>
      </c>
      <c r="C1116" s="3">
        <v>9.0999999999999998E-2</v>
      </c>
      <c r="D1116" s="4" t="s">
        <v>219</v>
      </c>
      <c r="E1116" s="4" t="s">
        <v>220</v>
      </c>
    </row>
    <row r="1117" spans="1:5" ht="26" hidden="1" x14ac:dyDescent="0.15">
      <c r="A1117" s="1" t="s">
        <v>81</v>
      </c>
      <c r="B1117" s="2">
        <v>109413</v>
      </c>
      <c r="C1117" s="3">
        <v>0.16300000000000001</v>
      </c>
      <c r="D1117" s="4" t="s">
        <v>219</v>
      </c>
      <c r="E1117" s="4" t="s">
        <v>220</v>
      </c>
    </row>
    <row r="1118" spans="1:5" hidden="1" x14ac:dyDescent="0.15">
      <c r="A1118" s="1" t="s">
        <v>82</v>
      </c>
      <c r="B1118" s="2">
        <v>90117</v>
      </c>
      <c r="C1118" s="3">
        <v>0.13500000000000001</v>
      </c>
      <c r="D1118" s="4" t="s">
        <v>219</v>
      </c>
      <c r="E1118" s="4" t="s">
        <v>220</v>
      </c>
    </row>
    <row r="1119" spans="1:5" hidden="1" x14ac:dyDescent="0.15">
      <c r="A1119" s="4"/>
      <c r="B1119" s="4"/>
      <c r="C1119" s="4"/>
      <c r="D1119" s="4" t="s">
        <v>219</v>
      </c>
      <c r="E1119" s="4" t="s">
        <v>220</v>
      </c>
    </row>
    <row r="1120" spans="1:5" hidden="1" x14ac:dyDescent="0.15">
      <c r="A1120" s="5"/>
      <c r="B1120" s="5"/>
      <c r="C1120" s="5"/>
      <c r="D1120" s="4" t="s">
        <v>219</v>
      </c>
      <c r="E1120" s="4" t="s">
        <v>220</v>
      </c>
    </row>
    <row r="1121" spans="1:5" ht="26" hidden="1" x14ac:dyDescent="0.15">
      <c r="A1121" s="1" t="s">
        <v>207</v>
      </c>
      <c r="B1121" s="2">
        <v>487595</v>
      </c>
      <c r="C1121" s="3">
        <v>0.72799999999999998</v>
      </c>
      <c r="D1121" s="4" t="s">
        <v>219</v>
      </c>
      <c r="E1121" s="4" t="s">
        <v>220</v>
      </c>
    </row>
    <row r="1122" spans="1:5" hidden="1" x14ac:dyDescent="0.15">
      <c r="A1122" s="4"/>
      <c r="B1122" s="4"/>
      <c r="C1122" s="4"/>
      <c r="D1122" s="4" t="s">
        <v>219</v>
      </c>
      <c r="E1122" s="4" t="s">
        <v>220</v>
      </c>
    </row>
    <row r="1123" spans="1:5" hidden="1" x14ac:dyDescent="0.15">
      <c r="A1123" s="5"/>
      <c r="B1123" s="5"/>
      <c r="C1123" s="5"/>
      <c r="D1123" s="4" t="s">
        <v>219</v>
      </c>
      <c r="E1123" s="4" t="s">
        <v>220</v>
      </c>
    </row>
    <row r="1124" spans="1:5" hidden="1" x14ac:dyDescent="0.15">
      <c r="A1124" s="1" t="s">
        <v>208</v>
      </c>
      <c r="B1124" s="2">
        <v>319641</v>
      </c>
      <c r="C1124" s="3">
        <v>0.47700000000000004</v>
      </c>
      <c r="D1124" s="4" t="s">
        <v>219</v>
      </c>
      <c r="E1124" s="4" t="s">
        <v>220</v>
      </c>
    </row>
    <row r="1125" spans="1:5" ht="26" hidden="1" x14ac:dyDescent="0.15">
      <c r="A1125" s="1" t="s">
        <v>98</v>
      </c>
      <c r="B1125" s="2">
        <v>37036</v>
      </c>
      <c r="C1125" s="3">
        <v>5.5E-2</v>
      </c>
      <c r="D1125" s="4" t="s">
        <v>219</v>
      </c>
      <c r="E1125" s="4" t="s">
        <v>220</v>
      </c>
    </row>
    <row r="1126" spans="1:5" hidden="1" x14ac:dyDescent="0.15">
      <c r="A1126" s="4"/>
      <c r="B1126" s="4"/>
      <c r="C1126" s="4"/>
      <c r="D1126" s="4" t="s">
        <v>219</v>
      </c>
      <c r="E1126" s="4" t="s">
        <v>220</v>
      </c>
    </row>
    <row r="1127" spans="1:5" hidden="1" x14ac:dyDescent="0.15">
      <c r="A1127" s="5"/>
      <c r="B1127" s="5"/>
      <c r="C1127" s="5"/>
      <c r="D1127" s="4" t="s">
        <v>219</v>
      </c>
      <c r="E1127" s="4" t="s">
        <v>220</v>
      </c>
    </row>
    <row r="1128" spans="1:5" hidden="1" x14ac:dyDescent="0.15">
      <c r="A1128" s="1" t="s">
        <v>209</v>
      </c>
      <c r="B1128" s="2">
        <v>197213</v>
      </c>
      <c r="C1128" s="3">
        <v>0.29499999999999998</v>
      </c>
      <c r="D1128" s="4" t="s">
        <v>219</v>
      </c>
      <c r="E1128" s="4" t="s">
        <v>220</v>
      </c>
    </row>
    <row r="1129" spans="1:5" hidden="1" x14ac:dyDescent="0.15">
      <c r="A1129" s="4"/>
      <c r="B1129" s="4"/>
      <c r="C1129" s="4"/>
      <c r="D1129" s="4" t="s">
        <v>219</v>
      </c>
      <c r="E1129" s="4" t="s">
        <v>220</v>
      </c>
    </row>
    <row r="1130" spans="1:5" hidden="1" x14ac:dyDescent="0.15">
      <c r="A1130" s="5"/>
      <c r="B1130" s="5"/>
      <c r="C1130" s="5"/>
      <c r="D1130" s="4" t="s">
        <v>219</v>
      </c>
      <c r="E1130" s="4" t="s">
        <v>220</v>
      </c>
    </row>
    <row r="1131" spans="1:5" ht="26" hidden="1" x14ac:dyDescent="0.15">
      <c r="A1131" s="1" t="s">
        <v>210</v>
      </c>
      <c r="B1131" s="2">
        <v>74175</v>
      </c>
      <c r="C1131" s="3">
        <v>0.111</v>
      </c>
      <c r="D1131" s="4" t="s">
        <v>219</v>
      </c>
      <c r="E1131" s="4" t="s">
        <v>220</v>
      </c>
    </row>
    <row r="1132" spans="1:5" ht="26" hidden="1" x14ac:dyDescent="0.15">
      <c r="A1132" s="1" t="s">
        <v>211</v>
      </c>
      <c r="B1132" s="2">
        <v>117397</v>
      </c>
      <c r="C1132" s="3">
        <v>0.17499999999999999</v>
      </c>
      <c r="D1132" s="4" t="s">
        <v>219</v>
      </c>
      <c r="E1132" s="4" t="s">
        <v>220</v>
      </c>
    </row>
    <row r="1133" spans="1:5" ht="26" hidden="1" x14ac:dyDescent="0.15">
      <c r="A1133" s="1" t="s">
        <v>212</v>
      </c>
      <c r="B1133" s="2">
        <v>108586</v>
      </c>
      <c r="C1133" s="3">
        <v>0.16200000000000001</v>
      </c>
      <c r="D1133" s="4" t="s">
        <v>219</v>
      </c>
      <c r="E1133" s="4" t="s">
        <v>220</v>
      </c>
    </row>
    <row r="1134" spans="1:5" ht="26" hidden="1" x14ac:dyDescent="0.15">
      <c r="A1134" s="1" t="s">
        <v>213</v>
      </c>
      <c r="B1134" s="2">
        <v>116230</v>
      </c>
      <c r="C1134" s="3">
        <v>0.17399999999999999</v>
      </c>
      <c r="D1134" s="4" t="s">
        <v>219</v>
      </c>
      <c r="E1134" s="4" t="s">
        <v>220</v>
      </c>
    </row>
    <row r="1135" spans="1:5" ht="26" hidden="1" x14ac:dyDescent="0.15">
      <c r="A1135" s="1" t="s">
        <v>214</v>
      </c>
      <c r="B1135" s="2">
        <v>16368</v>
      </c>
      <c r="C1135" s="3">
        <v>2.4E-2</v>
      </c>
      <c r="D1135" s="4" t="s">
        <v>219</v>
      </c>
      <c r="E1135" s="4" t="s">
        <v>220</v>
      </c>
    </row>
    <row r="1136" spans="1:5" ht="26" hidden="1" x14ac:dyDescent="0.15">
      <c r="A1136" s="1" t="s">
        <v>215</v>
      </c>
      <c r="B1136" s="2">
        <v>43463</v>
      </c>
      <c r="C1136" s="3">
        <v>6.5000000000000002E-2</v>
      </c>
      <c r="D1136" s="4" t="s">
        <v>219</v>
      </c>
      <c r="E1136" s="4" t="s">
        <v>220</v>
      </c>
    </row>
    <row r="1137" spans="1:5" ht="39" hidden="1" x14ac:dyDescent="0.15">
      <c r="A1137" s="1" t="s">
        <v>216</v>
      </c>
      <c r="B1137" s="2">
        <v>29236</v>
      </c>
      <c r="C1137" s="3">
        <v>4.4000000000000004E-2</v>
      </c>
      <c r="D1137" s="4" t="s">
        <v>219</v>
      </c>
      <c r="E1137" s="4" t="s">
        <v>220</v>
      </c>
    </row>
    <row r="1138" spans="1:5" ht="26" hidden="1" x14ac:dyDescent="0.15">
      <c r="A1138" s="1" t="s">
        <v>217</v>
      </c>
      <c r="B1138" s="2">
        <v>40992</v>
      </c>
      <c r="C1138" s="3">
        <v>6.0999999999999999E-2</v>
      </c>
      <c r="D1138" s="4" t="s">
        <v>219</v>
      </c>
      <c r="E1138" s="4" t="s">
        <v>220</v>
      </c>
    </row>
    <row r="1139" spans="1:5" ht="39" hidden="1" x14ac:dyDescent="0.15">
      <c r="A1139" s="1" t="s">
        <v>218</v>
      </c>
      <c r="B1139" s="2">
        <v>42607</v>
      </c>
      <c r="C1139" s="3">
        <v>6.4000000000000001E-2</v>
      </c>
      <c r="D1139" s="4" t="s">
        <v>219</v>
      </c>
      <c r="E1139" s="4" t="s">
        <v>220</v>
      </c>
    </row>
    <row r="1140" spans="1:5" hidden="1" x14ac:dyDescent="0.15">
      <c r="A1140" s="11" t="s">
        <v>0</v>
      </c>
      <c r="B1140" s="12">
        <v>870219</v>
      </c>
      <c r="C1140" s="13">
        <v>1</v>
      </c>
      <c r="D1140" s="4" t="s">
        <v>221</v>
      </c>
      <c r="E1140" s="4" t="s">
        <v>222</v>
      </c>
    </row>
    <row r="1141" spans="1:5" ht="26" hidden="1" x14ac:dyDescent="0.15">
      <c r="A1141" s="11" t="s">
        <v>3</v>
      </c>
      <c r="B1141" s="12">
        <v>24349</v>
      </c>
      <c r="C1141" s="13">
        <v>2.7999999999999997E-2</v>
      </c>
      <c r="D1141" s="4" t="s">
        <v>221</v>
      </c>
      <c r="E1141" s="4" t="s">
        <v>222</v>
      </c>
    </row>
    <row r="1142" spans="1:5" hidden="1" x14ac:dyDescent="0.15">
      <c r="A1142" s="11" t="s">
        <v>4</v>
      </c>
      <c r="B1142" s="12">
        <v>23336</v>
      </c>
      <c r="C1142" s="13">
        <v>2.7000000000000003E-2</v>
      </c>
      <c r="D1142" s="4" t="s">
        <v>221</v>
      </c>
      <c r="E1142" s="4" t="s">
        <v>222</v>
      </c>
    </row>
    <row r="1143" spans="1:5" ht="26" hidden="1" x14ac:dyDescent="0.15">
      <c r="A1143" s="11" t="s">
        <v>5</v>
      </c>
      <c r="B1143" s="12">
        <v>23932</v>
      </c>
      <c r="C1143" s="13">
        <v>2.7999999999999997E-2</v>
      </c>
      <c r="D1143" s="4" t="s">
        <v>221</v>
      </c>
      <c r="E1143" s="4" t="s">
        <v>222</v>
      </c>
    </row>
    <row r="1144" spans="1:5" ht="26" hidden="1" x14ac:dyDescent="0.15">
      <c r="A1144" s="11" t="s">
        <v>6</v>
      </c>
      <c r="B1144" s="12">
        <v>118330</v>
      </c>
      <c r="C1144" s="13">
        <v>0.13600000000000001</v>
      </c>
      <c r="D1144" s="4" t="s">
        <v>221</v>
      </c>
      <c r="E1144" s="4" t="s">
        <v>222</v>
      </c>
    </row>
    <row r="1145" spans="1:5" ht="26" hidden="1" x14ac:dyDescent="0.15">
      <c r="A1145" s="11" t="s">
        <v>7</v>
      </c>
      <c r="B1145" s="12">
        <v>133482</v>
      </c>
      <c r="C1145" s="13">
        <v>0.153</v>
      </c>
      <c r="D1145" s="4" t="s">
        <v>221</v>
      </c>
      <c r="E1145" s="4" t="s">
        <v>222</v>
      </c>
    </row>
    <row r="1146" spans="1:5" ht="26" hidden="1" x14ac:dyDescent="0.15">
      <c r="A1146" s="11" t="s">
        <v>8</v>
      </c>
      <c r="B1146" s="12">
        <v>4753</v>
      </c>
      <c r="C1146" s="13">
        <v>5.0000000000000001E-3</v>
      </c>
      <c r="D1146" s="4" t="s">
        <v>221</v>
      </c>
      <c r="E1146" s="4" t="s">
        <v>222</v>
      </c>
    </row>
    <row r="1147" spans="1:5" ht="26" hidden="1" x14ac:dyDescent="0.15">
      <c r="A1147" s="11" t="s">
        <v>9</v>
      </c>
      <c r="B1147" s="12">
        <v>15857</v>
      </c>
      <c r="C1147" s="13">
        <v>1.8000000000000002E-2</v>
      </c>
      <c r="D1147" s="4" t="s">
        <v>221</v>
      </c>
      <c r="E1147" s="4" t="s">
        <v>222</v>
      </c>
    </row>
    <row r="1148" spans="1:5" ht="26" hidden="1" x14ac:dyDescent="0.15">
      <c r="A1148" s="11" t="s">
        <v>10</v>
      </c>
      <c r="B1148" s="12">
        <v>21253</v>
      </c>
      <c r="C1148" s="13">
        <v>2.4E-2</v>
      </c>
      <c r="D1148" s="4" t="s">
        <v>221</v>
      </c>
      <c r="E1148" s="4" t="s">
        <v>222</v>
      </c>
    </row>
    <row r="1149" spans="1:5" ht="26" hidden="1" x14ac:dyDescent="0.15">
      <c r="A1149" s="11" t="s">
        <v>11</v>
      </c>
      <c r="B1149" s="12">
        <v>50390</v>
      </c>
      <c r="C1149" s="13">
        <v>5.7999999999999996E-2</v>
      </c>
      <c r="D1149" s="4" t="s">
        <v>221</v>
      </c>
      <c r="E1149" s="4" t="s">
        <v>222</v>
      </c>
    </row>
    <row r="1150" spans="1:5" hidden="1" x14ac:dyDescent="0.15">
      <c r="A1150" s="11" t="s">
        <v>12</v>
      </c>
      <c r="B1150" s="12">
        <v>15967</v>
      </c>
      <c r="C1150" s="13">
        <v>1.8000000000000002E-2</v>
      </c>
      <c r="D1150" s="4" t="s">
        <v>221</v>
      </c>
      <c r="E1150" s="4" t="s">
        <v>222</v>
      </c>
    </row>
    <row r="1151" spans="1:5" ht="26" hidden="1" x14ac:dyDescent="0.15">
      <c r="A1151" s="11" t="s">
        <v>13</v>
      </c>
      <c r="B1151" s="12">
        <v>11098</v>
      </c>
      <c r="C1151" s="13">
        <v>1.3000000000000001E-2</v>
      </c>
      <c r="D1151" s="4" t="s">
        <v>221</v>
      </c>
      <c r="E1151" s="4" t="s">
        <v>222</v>
      </c>
    </row>
    <row r="1152" spans="1:5" hidden="1" x14ac:dyDescent="0.15">
      <c r="A1152" s="11" t="s">
        <v>14</v>
      </c>
      <c r="B1152" s="12">
        <v>46476</v>
      </c>
      <c r="C1152" s="13">
        <v>5.2999999999999999E-2</v>
      </c>
      <c r="D1152" s="4" t="s">
        <v>221</v>
      </c>
      <c r="E1152" s="4" t="s">
        <v>222</v>
      </c>
    </row>
    <row r="1153" spans="1:5" ht="26" hidden="1" x14ac:dyDescent="0.15">
      <c r="A1153" s="11" t="s">
        <v>15</v>
      </c>
      <c r="B1153" s="12">
        <v>35552</v>
      </c>
      <c r="C1153" s="13">
        <v>4.0999999999999995E-2</v>
      </c>
      <c r="D1153" s="4" t="s">
        <v>221</v>
      </c>
      <c r="E1153" s="4" t="s">
        <v>222</v>
      </c>
    </row>
    <row r="1154" spans="1:5" hidden="1" x14ac:dyDescent="0.15">
      <c r="A1154" s="11" t="s">
        <v>16</v>
      </c>
      <c r="B1154" s="12">
        <v>20086</v>
      </c>
      <c r="C1154" s="13">
        <v>2.3E-2</v>
      </c>
      <c r="D1154" s="4" t="s">
        <v>221</v>
      </c>
      <c r="E1154" s="4" t="s">
        <v>222</v>
      </c>
    </row>
    <row r="1155" spans="1:5" ht="26" hidden="1" x14ac:dyDescent="0.15">
      <c r="A1155" s="11" t="s">
        <v>17</v>
      </c>
      <c r="B1155" s="12">
        <v>24504</v>
      </c>
      <c r="C1155" s="13">
        <v>2.7999999999999997E-2</v>
      </c>
      <c r="D1155" s="4" t="s">
        <v>221</v>
      </c>
      <c r="E1155" s="4" t="s">
        <v>222</v>
      </c>
    </row>
    <row r="1156" spans="1:5" hidden="1" x14ac:dyDescent="0.15">
      <c r="A1156" s="11" t="s">
        <v>18</v>
      </c>
      <c r="B1156" s="12">
        <v>16102</v>
      </c>
      <c r="C1156" s="13">
        <v>1.9E-2</v>
      </c>
      <c r="D1156" s="4" t="s">
        <v>221</v>
      </c>
      <c r="E1156" s="4" t="s">
        <v>222</v>
      </c>
    </row>
    <row r="1157" spans="1:5" hidden="1" x14ac:dyDescent="0.15">
      <c r="A1157" s="11" t="s">
        <v>19</v>
      </c>
      <c r="B1157" s="12">
        <v>78166</v>
      </c>
      <c r="C1157" s="13">
        <v>0.09</v>
      </c>
      <c r="D1157" s="4" t="s">
        <v>221</v>
      </c>
      <c r="E1157" s="4" t="s">
        <v>222</v>
      </c>
    </row>
    <row r="1158" spans="1:5" hidden="1" x14ac:dyDescent="0.15">
      <c r="A1158" s="11" t="s">
        <v>20</v>
      </c>
      <c r="B1158" s="12">
        <v>8611</v>
      </c>
      <c r="C1158" s="13">
        <v>0.01</v>
      </c>
      <c r="D1158" s="4" t="s">
        <v>221</v>
      </c>
      <c r="E1158" s="4" t="s">
        <v>222</v>
      </c>
    </row>
    <row r="1159" spans="1:5" ht="26" hidden="1" x14ac:dyDescent="0.15">
      <c r="A1159" s="11" t="s">
        <v>21</v>
      </c>
      <c r="B1159" s="12">
        <v>16735</v>
      </c>
      <c r="C1159" s="13">
        <v>1.9E-2</v>
      </c>
      <c r="D1159" s="4" t="s">
        <v>221</v>
      </c>
      <c r="E1159" s="4" t="s">
        <v>222</v>
      </c>
    </row>
    <row r="1160" spans="1:5" ht="26" hidden="1" x14ac:dyDescent="0.15">
      <c r="A1160" s="11" t="s">
        <v>22</v>
      </c>
      <c r="B1160" s="12">
        <v>3092</v>
      </c>
      <c r="C1160" s="13">
        <v>4.0000000000000001E-3</v>
      </c>
      <c r="D1160" s="4" t="s">
        <v>221</v>
      </c>
      <c r="E1160" s="4" t="s">
        <v>222</v>
      </c>
    </row>
    <row r="1161" spans="1:5" ht="26" hidden="1" x14ac:dyDescent="0.15">
      <c r="A1161" s="11" t="s">
        <v>23</v>
      </c>
      <c r="B1161" s="12">
        <v>7293</v>
      </c>
      <c r="C1161" s="13">
        <v>8.0000000000000002E-3</v>
      </c>
      <c r="D1161" s="4" t="s">
        <v>221</v>
      </c>
      <c r="E1161" s="4" t="s">
        <v>222</v>
      </c>
    </row>
    <row r="1162" spans="1:5" ht="26" hidden="1" x14ac:dyDescent="0.15">
      <c r="A1162" s="11" t="s">
        <v>24</v>
      </c>
      <c r="B1162" s="12">
        <v>12132</v>
      </c>
      <c r="C1162" s="13">
        <v>1.3999999999999999E-2</v>
      </c>
      <c r="D1162" s="4" t="s">
        <v>221</v>
      </c>
      <c r="E1162" s="4" t="s">
        <v>222</v>
      </c>
    </row>
    <row r="1163" spans="1:5" ht="26" hidden="1" x14ac:dyDescent="0.15">
      <c r="A1163" s="11" t="s">
        <v>25</v>
      </c>
      <c r="B1163" s="12">
        <v>33181</v>
      </c>
      <c r="C1163" s="13">
        <v>3.7999999999999999E-2</v>
      </c>
      <c r="D1163" s="4" t="s">
        <v>221</v>
      </c>
      <c r="E1163" s="4" t="s">
        <v>222</v>
      </c>
    </row>
    <row r="1164" spans="1:5" hidden="1" x14ac:dyDescent="0.15">
      <c r="A1164" s="11" t="s">
        <v>26</v>
      </c>
      <c r="B1164" s="12">
        <v>21069</v>
      </c>
      <c r="C1164" s="13">
        <v>2.4E-2</v>
      </c>
      <c r="D1164" s="4" t="s">
        <v>221</v>
      </c>
      <c r="E1164" s="4" t="s">
        <v>222</v>
      </c>
    </row>
    <row r="1165" spans="1:5" hidden="1" x14ac:dyDescent="0.15">
      <c r="A1165" s="11" t="s">
        <v>27</v>
      </c>
      <c r="B1165" s="12">
        <v>75665</v>
      </c>
      <c r="C1165" s="13">
        <v>8.6999999999999994E-2</v>
      </c>
      <c r="D1165" s="4" t="s">
        <v>221</v>
      </c>
      <c r="E1165" s="4" t="s">
        <v>222</v>
      </c>
    </row>
    <row r="1166" spans="1:5" hidden="1" x14ac:dyDescent="0.15">
      <c r="A1166" s="11" t="s">
        <v>28</v>
      </c>
      <c r="B1166" s="12">
        <v>30934</v>
      </c>
      <c r="C1166" s="13">
        <v>3.6000000000000004E-2</v>
      </c>
      <c r="D1166" s="4" t="s">
        <v>221</v>
      </c>
      <c r="E1166" s="4" t="s">
        <v>222</v>
      </c>
    </row>
    <row r="1167" spans="1:5" hidden="1" x14ac:dyDescent="0.15">
      <c r="A1167" s="11" t="s">
        <v>29</v>
      </c>
      <c r="B1167" s="12">
        <v>209109</v>
      </c>
      <c r="C1167" s="13">
        <v>0.24</v>
      </c>
      <c r="D1167" s="4" t="s">
        <v>221</v>
      </c>
      <c r="E1167" s="4" t="s">
        <v>222</v>
      </c>
    </row>
    <row r="1168" spans="1:5" hidden="1" x14ac:dyDescent="0.15">
      <c r="A1168" s="11" t="s">
        <v>30</v>
      </c>
      <c r="B1168" s="12">
        <v>22916</v>
      </c>
      <c r="C1168" s="13">
        <v>2.6000000000000002E-2</v>
      </c>
      <c r="D1168" s="4" t="s">
        <v>221</v>
      </c>
      <c r="E1168" s="4" t="s">
        <v>222</v>
      </c>
    </row>
    <row r="1169" spans="1:5" ht="39" hidden="1" x14ac:dyDescent="0.15">
      <c r="A1169" s="11" t="s">
        <v>31</v>
      </c>
      <c r="B1169" s="12">
        <v>919</v>
      </c>
      <c r="C1169" s="13">
        <v>1E-3</v>
      </c>
      <c r="D1169" s="4" t="s">
        <v>221</v>
      </c>
      <c r="E1169" s="4" t="s">
        <v>222</v>
      </c>
    </row>
    <row r="1170" spans="1:5" hidden="1" x14ac:dyDescent="0.15">
      <c r="A1170" s="11" t="s">
        <v>32</v>
      </c>
      <c r="B1170" s="12">
        <v>42400</v>
      </c>
      <c r="C1170" s="13">
        <v>4.9000000000000002E-2</v>
      </c>
      <c r="D1170" s="4" t="s">
        <v>221</v>
      </c>
      <c r="E1170" s="4" t="s">
        <v>222</v>
      </c>
    </row>
    <row r="1171" spans="1:5" hidden="1" x14ac:dyDescent="0.15">
      <c r="A1171" s="11" t="s">
        <v>33</v>
      </c>
      <c r="B1171" s="12">
        <v>203115</v>
      </c>
      <c r="C1171" s="13">
        <v>0.23300000000000001</v>
      </c>
      <c r="D1171" s="4" t="s">
        <v>221</v>
      </c>
      <c r="E1171" s="4" t="s">
        <v>222</v>
      </c>
    </row>
    <row r="1172" spans="1:5" hidden="1" x14ac:dyDescent="0.15">
      <c r="A1172" s="11" t="s">
        <v>34</v>
      </c>
      <c r="B1172" s="12">
        <v>49296</v>
      </c>
      <c r="C1172" s="13">
        <v>5.7000000000000002E-2</v>
      </c>
      <c r="D1172" s="4" t="s">
        <v>221</v>
      </c>
      <c r="E1172" s="4" t="s">
        <v>222</v>
      </c>
    </row>
    <row r="1173" spans="1:5" hidden="1" x14ac:dyDescent="0.15">
      <c r="A1173" s="11" t="s">
        <v>35</v>
      </c>
      <c r="B1173" s="12">
        <v>19823</v>
      </c>
      <c r="C1173" s="13">
        <v>2.3E-2</v>
      </c>
      <c r="D1173" s="4" t="s">
        <v>221</v>
      </c>
      <c r="E1173" s="4" t="s">
        <v>222</v>
      </c>
    </row>
    <row r="1174" spans="1:5" ht="26" hidden="1" x14ac:dyDescent="0.15">
      <c r="A1174" s="11" t="s">
        <v>36</v>
      </c>
      <c r="B1174" s="12">
        <v>40507</v>
      </c>
      <c r="C1174" s="13">
        <v>4.7E-2</v>
      </c>
      <c r="D1174" s="4" t="s">
        <v>221</v>
      </c>
      <c r="E1174" s="4" t="s">
        <v>222</v>
      </c>
    </row>
    <row r="1175" spans="1:5" hidden="1" x14ac:dyDescent="0.15">
      <c r="A1175" s="11" t="s">
        <v>37</v>
      </c>
      <c r="B1175" s="12">
        <v>35265</v>
      </c>
      <c r="C1175" s="13">
        <v>4.0999999999999995E-2</v>
      </c>
      <c r="D1175" s="4" t="s">
        <v>221</v>
      </c>
      <c r="E1175" s="4" t="s">
        <v>222</v>
      </c>
    </row>
    <row r="1176" spans="1:5" ht="39" hidden="1" x14ac:dyDescent="0.15">
      <c r="A1176" s="11" t="s">
        <v>38</v>
      </c>
      <c r="B1176" s="12">
        <v>26757</v>
      </c>
      <c r="C1176" s="13">
        <v>3.1E-2</v>
      </c>
      <c r="D1176" s="4" t="s">
        <v>221</v>
      </c>
      <c r="E1176" s="4" t="s">
        <v>222</v>
      </c>
    </row>
    <row r="1177" spans="1:5" hidden="1" x14ac:dyDescent="0.15">
      <c r="A1177" s="11" t="s">
        <v>39</v>
      </c>
      <c r="B1177" s="12">
        <v>42341</v>
      </c>
      <c r="C1177" s="13">
        <v>4.9000000000000002E-2</v>
      </c>
      <c r="D1177" s="4" t="s">
        <v>221</v>
      </c>
      <c r="E1177" s="4" t="s">
        <v>222</v>
      </c>
    </row>
    <row r="1178" spans="1:5" hidden="1" x14ac:dyDescent="0.15">
      <c r="A1178" s="11" t="s">
        <v>40</v>
      </c>
      <c r="B1178" s="12">
        <v>4074</v>
      </c>
      <c r="C1178" s="13">
        <v>5.0000000000000001E-3</v>
      </c>
      <c r="D1178" s="4" t="s">
        <v>221</v>
      </c>
      <c r="E1178" s="4" t="s">
        <v>222</v>
      </c>
    </row>
    <row r="1179" spans="1:5" hidden="1" x14ac:dyDescent="0.15">
      <c r="A1179" s="11" t="s">
        <v>41</v>
      </c>
      <c r="B1179" s="12">
        <v>12502</v>
      </c>
      <c r="C1179" s="13">
        <v>1.3999999999999999E-2</v>
      </c>
      <c r="D1179" s="4" t="s">
        <v>221</v>
      </c>
      <c r="E1179" s="4" t="s">
        <v>222</v>
      </c>
    </row>
    <row r="1180" spans="1:5" hidden="1" x14ac:dyDescent="0.15">
      <c r="A1180" s="11" t="s">
        <v>42</v>
      </c>
      <c r="B1180" s="12">
        <v>21601</v>
      </c>
      <c r="C1180" s="13">
        <v>2.5000000000000001E-2</v>
      </c>
      <c r="D1180" s="4" t="s">
        <v>221</v>
      </c>
      <c r="E1180" s="4" t="s">
        <v>222</v>
      </c>
    </row>
    <row r="1181" spans="1:5" hidden="1" x14ac:dyDescent="0.15">
      <c r="A1181" s="11" t="s">
        <v>43</v>
      </c>
      <c r="B1181" s="12">
        <v>118032</v>
      </c>
      <c r="C1181" s="13">
        <v>0.13600000000000001</v>
      </c>
      <c r="D1181" s="4" t="s">
        <v>221</v>
      </c>
      <c r="E1181" s="4" t="s">
        <v>222</v>
      </c>
    </row>
    <row r="1182" spans="1:5" ht="26" hidden="1" x14ac:dyDescent="0.15">
      <c r="A1182" s="11" t="s">
        <v>44</v>
      </c>
      <c r="B1182" s="12">
        <v>187171</v>
      </c>
      <c r="C1182" s="13">
        <v>0.215</v>
      </c>
      <c r="D1182" s="4" t="s">
        <v>221</v>
      </c>
      <c r="E1182" s="4" t="s">
        <v>222</v>
      </c>
    </row>
    <row r="1183" spans="1:5" hidden="1" x14ac:dyDescent="0.15">
      <c r="A1183" s="11" t="s">
        <v>45</v>
      </c>
      <c r="B1183" s="12">
        <v>175881</v>
      </c>
      <c r="C1183" s="13">
        <v>0.20199999999999999</v>
      </c>
      <c r="D1183" s="4" t="s">
        <v>221</v>
      </c>
      <c r="E1183" s="4" t="s">
        <v>222</v>
      </c>
    </row>
    <row r="1184" spans="1:5" ht="26" hidden="1" x14ac:dyDescent="0.15">
      <c r="A1184" s="11" t="s">
        <v>46</v>
      </c>
      <c r="B1184" s="12">
        <v>339826</v>
      </c>
      <c r="C1184" s="13">
        <v>0.39100000000000001</v>
      </c>
      <c r="D1184" s="4" t="s">
        <v>221</v>
      </c>
      <c r="E1184" s="4" t="s">
        <v>222</v>
      </c>
    </row>
    <row r="1185" spans="1:5" hidden="1" x14ac:dyDescent="0.15">
      <c r="A1185" s="11" t="s">
        <v>47</v>
      </c>
      <c r="B1185" s="12">
        <v>373110</v>
      </c>
      <c r="C1185" s="13">
        <v>0.42899999999999999</v>
      </c>
      <c r="D1185" s="4" t="s">
        <v>221</v>
      </c>
      <c r="E1185" s="4" t="s">
        <v>222</v>
      </c>
    </row>
    <row r="1186" spans="1:5" hidden="1" x14ac:dyDescent="0.15">
      <c r="A1186" s="11" t="s">
        <v>48</v>
      </c>
      <c r="B1186" s="12">
        <v>91986</v>
      </c>
      <c r="C1186" s="13">
        <v>0.106</v>
      </c>
      <c r="D1186" s="4" t="s">
        <v>221</v>
      </c>
      <c r="E1186" s="4" t="s">
        <v>222</v>
      </c>
    </row>
    <row r="1187" spans="1:5" hidden="1" x14ac:dyDescent="0.15">
      <c r="A1187" s="11" t="s">
        <v>49</v>
      </c>
      <c r="B1187" s="12">
        <v>90428</v>
      </c>
      <c r="C1187" s="13">
        <v>0.10400000000000001</v>
      </c>
      <c r="D1187" s="4" t="s">
        <v>221</v>
      </c>
      <c r="E1187" s="4" t="s">
        <v>222</v>
      </c>
    </row>
    <row r="1188" spans="1:5" ht="26" hidden="1" x14ac:dyDescent="0.15">
      <c r="A1188" s="11" t="s">
        <v>50</v>
      </c>
      <c r="B1188" s="12">
        <v>168439</v>
      </c>
      <c r="C1188" s="13">
        <v>0.19399999999999998</v>
      </c>
      <c r="D1188" s="4" t="s">
        <v>221</v>
      </c>
      <c r="E1188" s="4" t="s">
        <v>222</v>
      </c>
    </row>
    <row r="1189" spans="1:5" hidden="1" x14ac:dyDescent="0.15">
      <c r="A1189" s="11" t="s">
        <v>51</v>
      </c>
      <c r="B1189" s="12">
        <v>255402</v>
      </c>
      <c r="C1189" s="13">
        <v>0.29299999999999998</v>
      </c>
      <c r="D1189" s="4" t="s">
        <v>221</v>
      </c>
      <c r="E1189" s="4" t="s">
        <v>222</v>
      </c>
    </row>
    <row r="1190" spans="1:5" hidden="1" x14ac:dyDescent="0.15">
      <c r="A1190" s="11" t="s">
        <v>52</v>
      </c>
      <c r="B1190" s="12">
        <v>148110</v>
      </c>
      <c r="C1190" s="13">
        <v>0.17</v>
      </c>
      <c r="D1190" s="4" t="s">
        <v>221</v>
      </c>
      <c r="E1190" s="4" t="s">
        <v>222</v>
      </c>
    </row>
    <row r="1191" spans="1:5" ht="26" hidden="1" x14ac:dyDescent="0.15">
      <c r="A1191" s="11" t="s">
        <v>53</v>
      </c>
      <c r="B1191" s="12">
        <v>110637</v>
      </c>
      <c r="C1191" s="13">
        <v>0.127</v>
      </c>
      <c r="D1191" s="4" t="s">
        <v>221</v>
      </c>
      <c r="E1191" s="4" t="s">
        <v>222</v>
      </c>
    </row>
    <row r="1192" spans="1:5" hidden="1" x14ac:dyDescent="0.15">
      <c r="A1192" s="11" t="s">
        <v>54</v>
      </c>
      <c r="B1192" s="12">
        <v>277722</v>
      </c>
      <c r="C1192" s="13">
        <v>0.31900000000000001</v>
      </c>
      <c r="D1192" s="4" t="s">
        <v>221</v>
      </c>
      <c r="E1192" s="4" t="s">
        <v>222</v>
      </c>
    </row>
    <row r="1193" spans="1:5" ht="26" hidden="1" x14ac:dyDescent="0.15">
      <c r="A1193" s="11" t="s">
        <v>55</v>
      </c>
      <c r="B1193" s="12">
        <v>269360</v>
      </c>
      <c r="C1193" s="13">
        <v>0.31</v>
      </c>
      <c r="D1193" s="4" t="s">
        <v>221</v>
      </c>
      <c r="E1193" s="4" t="s">
        <v>222</v>
      </c>
    </row>
    <row r="1194" spans="1:5" hidden="1" x14ac:dyDescent="0.15">
      <c r="A1194" s="11" t="s">
        <v>56</v>
      </c>
      <c r="B1194" s="12">
        <v>169067</v>
      </c>
      <c r="C1194" s="13">
        <v>0.19399999999999998</v>
      </c>
      <c r="D1194" s="4" t="s">
        <v>221</v>
      </c>
      <c r="E1194" s="4" t="s">
        <v>222</v>
      </c>
    </row>
    <row r="1195" spans="1:5" hidden="1" x14ac:dyDescent="0.15">
      <c r="A1195" s="11" t="s">
        <v>57</v>
      </c>
      <c r="B1195" s="12">
        <v>151140</v>
      </c>
      <c r="C1195" s="13">
        <v>0.17399999999999999</v>
      </c>
      <c r="D1195" s="4" t="s">
        <v>221</v>
      </c>
      <c r="E1195" s="4" t="s">
        <v>222</v>
      </c>
    </row>
    <row r="1196" spans="1:5" hidden="1" x14ac:dyDescent="0.15">
      <c r="A1196" s="11" t="s">
        <v>58</v>
      </c>
      <c r="B1196" s="12">
        <v>79841</v>
      </c>
      <c r="C1196" s="13">
        <v>9.1999999999999998E-2</v>
      </c>
      <c r="D1196" s="4" t="s">
        <v>221</v>
      </c>
      <c r="E1196" s="4" t="s">
        <v>222</v>
      </c>
    </row>
    <row r="1197" spans="1:5" hidden="1" x14ac:dyDescent="0.15">
      <c r="A1197" s="11" t="s">
        <v>59</v>
      </c>
      <c r="B1197" s="12">
        <v>385517</v>
      </c>
      <c r="C1197" s="13">
        <v>0.44299999999999995</v>
      </c>
      <c r="D1197" s="4" t="s">
        <v>221</v>
      </c>
      <c r="E1197" s="4" t="s">
        <v>222</v>
      </c>
    </row>
    <row r="1198" spans="1:5" hidden="1" x14ac:dyDescent="0.15">
      <c r="A1198" s="11" t="s">
        <v>60</v>
      </c>
      <c r="B1198" s="12">
        <v>104821</v>
      </c>
      <c r="C1198" s="13">
        <v>0.12</v>
      </c>
      <c r="D1198" s="4" t="s">
        <v>221</v>
      </c>
      <c r="E1198" s="4" t="s">
        <v>222</v>
      </c>
    </row>
    <row r="1199" spans="1:5" ht="26" hidden="1" x14ac:dyDescent="0.15">
      <c r="A1199" s="11" t="s">
        <v>61</v>
      </c>
      <c r="B1199" s="12">
        <v>100060</v>
      </c>
      <c r="C1199" s="13">
        <v>0.115</v>
      </c>
      <c r="D1199" s="4" t="s">
        <v>221</v>
      </c>
      <c r="E1199" s="4" t="s">
        <v>222</v>
      </c>
    </row>
    <row r="1200" spans="1:5" hidden="1" x14ac:dyDescent="0.15">
      <c r="A1200" s="11" t="s">
        <v>62</v>
      </c>
      <c r="B1200" s="12">
        <v>62187</v>
      </c>
      <c r="C1200" s="13">
        <v>7.0999999999999994E-2</v>
      </c>
      <c r="D1200" s="4" t="s">
        <v>221</v>
      </c>
      <c r="E1200" s="4" t="s">
        <v>222</v>
      </c>
    </row>
    <row r="1201" spans="1:5" ht="26" hidden="1" x14ac:dyDescent="0.15">
      <c r="A1201" s="11" t="s">
        <v>63</v>
      </c>
      <c r="B1201" s="12">
        <v>123624</v>
      </c>
      <c r="C1201" s="13">
        <v>0.14199999999999999</v>
      </c>
      <c r="D1201" s="4" t="s">
        <v>221</v>
      </c>
      <c r="E1201" s="4" t="s">
        <v>222</v>
      </c>
    </row>
    <row r="1202" spans="1:5" ht="26" hidden="1" x14ac:dyDescent="0.15">
      <c r="A1202" s="11" t="s">
        <v>64</v>
      </c>
      <c r="B1202" s="12">
        <v>94462</v>
      </c>
      <c r="C1202" s="13">
        <v>0.109</v>
      </c>
      <c r="D1202" s="4" t="s">
        <v>221</v>
      </c>
      <c r="E1202" s="4" t="s">
        <v>222</v>
      </c>
    </row>
    <row r="1203" spans="1:5" hidden="1" x14ac:dyDescent="0.15">
      <c r="A1203" s="11" t="s">
        <v>65</v>
      </c>
      <c r="B1203" s="12">
        <v>170146</v>
      </c>
      <c r="C1203" s="13">
        <v>0.19600000000000001</v>
      </c>
      <c r="D1203" s="4" t="s">
        <v>221</v>
      </c>
      <c r="E1203" s="4" t="s">
        <v>222</v>
      </c>
    </row>
    <row r="1204" spans="1:5" hidden="1" x14ac:dyDescent="0.15">
      <c r="A1204" s="11" t="s">
        <v>66</v>
      </c>
      <c r="B1204" s="12">
        <v>114803</v>
      </c>
      <c r="C1204" s="13">
        <v>0.13200000000000001</v>
      </c>
      <c r="D1204" s="4" t="s">
        <v>221</v>
      </c>
      <c r="E1204" s="4" t="s">
        <v>222</v>
      </c>
    </row>
    <row r="1205" spans="1:5" hidden="1" x14ac:dyDescent="0.15">
      <c r="A1205" s="11" t="s">
        <v>67</v>
      </c>
      <c r="B1205" s="12">
        <v>238831</v>
      </c>
      <c r="C1205" s="13">
        <v>0.27399999999999997</v>
      </c>
      <c r="D1205" s="4" t="s">
        <v>221</v>
      </c>
      <c r="E1205" s="4" t="s">
        <v>222</v>
      </c>
    </row>
    <row r="1206" spans="1:5" hidden="1" x14ac:dyDescent="0.15">
      <c r="A1206" s="11" t="s">
        <v>68</v>
      </c>
      <c r="B1206" s="12">
        <v>242188</v>
      </c>
      <c r="C1206" s="13">
        <v>0.27800000000000002</v>
      </c>
      <c r="D1206" s="4" t="s">
        <v>221</v>
      </c>
      <c r="E1206" s="4" t="s">
        <v>222</v>
      </c>
    </row>
    <row r="1207" spans="1:5" hidden="1" x14ac:dyDescent="0.15">
      <c r="A1207" s="11" t="s">
        <v>69</v>
      </c>
      <c r="B1207" s="12">
        <v>521933</v>
      </c>
      <c r="C1207" s="13">
        <v>0.6</v>
      </c>
      <c r="D1207" s="4" t="s">
        <v>221</v>
      </c>
      <c r="E1207" s="4" t="s">
        <v>222</v>
      </c>
    </row>
    <row r="1208" spans="1:5" hidden="1" x14ac:dyDescent="0.15">
      <c r="A1208" s="11" t="s">
        <v>70</v>
      </c>
      <c r="B1208" s="12">
        <v>179470</v>
      </c>
      <c r="C1208" s="13">
        <v>0.20600000000000002</v>
      </c>
      <c r="D1208" s="4" t="s">
        <v>221</v>
      </c>
      <c r="E1208" s="4" t="s">
        <v>222</v>
      </c>
    </row>
    <row r="1209" spans="1:5" ht="26" hidden="1" x14ac:dyDescent="0.15">
      <c r="A1209" s="11" t="s">
        <v>71</v>
      </c>
      <c r="B1209" s="12">
        <v>40371</v>
      </c>
      <c r="C1209" s="13">
        <v>4.5999999999999999E-2</v>
      </c>
      <c r="D1209" s="4" t="s">
        <v>221</v>
      </c>
      <c r="E1209" s="4" t="s">
        <v>222</v>
      </c>
    </row>
    <row r="1210" spans="1:5" hidden="1" x14ac:dyDescent="0.15">
      <c r="A1210" s="11" t="s">
        <v>72</v>
      </c>
      <c r="B1210" s="12">
        <v>162793</v>
      </c>
      <c r="C1210" s="13">
        <v>0.187</v>
      </c>
      <c r="D1210" s="4" t="s">
        <v>221</v>
      </c>
      <c r="E1210" s="4" t="s">
        <v>222</v>
      </c>
    </row>
    <row r="1211" spans="1:5" hidden="1" x14ac:dyDescent="0.15">
      <c r="A1211" s="11" t="s">
        <v>73</v>
      </c>
      <c r="B1211" s="12">
        <v>538697</v>
      </c>
      <c r="C1211" s="13">
        <v>0.61899999999999999</v>
      </c>
      <c r="D1211" s="4" t="s">
        <v>221</v>
      </c>
      <c r="E1211" s="4" t="s">
        <v>222</v>
      </c>
    </row>
    <row r="1212" spans="1:5" hidden="1" x14ac:dyDescent="0.15">
      <c r="A1212" s="11" t="s">
        <v>74</v>
      </c>
      <c r="B1212" s="12">
        <v>191449</v>
      </c>
      <c r="C1212" s="13">
        <v>0.22</v>
      </c>
      <c r="D1212" s="4" t="s">
        <v>221</v>
      </c>
      <c r="E1212" s="4" t="s">
        <v>222</v>
      </c>
    </row>
    <row r="1213" spans="1:5" hidden="1" x14ac:dyDescent="0.15">
      <c r="A1213" s="11" t="s">
        <v>75</v>
      </c>
      <c r="B1213" s="12">
        <v>130437</v>
      </c>
      <c r="C1213" s="13">
        <v>0.15</v>
      </c>
      <c r="D1213" s="4" t="s">
        <v>221</v>
      </c>
      <c r="E1213" s="4" t="s">
        <v>222</v>
      </c>
    </row>
    <row r="1214" spans="1:5" hidden="1" x14ac:dyDescent="0.15">
      <c r="A1214" s="11" t="s">
        <v>76</v>
      </c>
      <c r="B1214" s="12">
        <v>227840</v>
      </c>
      <c r="C1214" s="13">
        <v>0.26200000000000001</v>
      </c>
      <c r="D1214" s="4" t="s">
        <v>221</v>
      </c>
      <c r="E1214" s="4" t="s">
        <v>222</v>
      </c>
    </row>
    <row r="1215" spans="1:5" hidden="1" x14ac:dyDescent="0.15">
      <c r="A1215" s="11" t="s">
        <v>77</v>
      </c>
      <c r="B1215" s="12">
        <v>225902</v>
      </c>
      <c r="C1215" s="13">
        <v>0.26</v>
      </c>
      <c r="D1215" s="4" t="s">
        <v>221</v>
      </c>
      <c r="E1215" s="4" t="s">
        <v>222</v>
      </c>
    </row>
    <row r="1216" spans="1:5" ht="26" hidden="1" x14ac:dyDescent="0.15">
      <c r="A1216" s="11" t="s">
        <v>78</v>
      </c>
      <c r="B1216" s="12">
        <v>150331</v>
      </c>
      <c r="C1216" s="13">
        <v>0.17300000000000001</v>
      </c>
      <c r="D1216" s="4" t="s">
        <v>221</v>
      </c>
      <c r="E1216" s="4" t="s">
        <v>222</v>
      </c>
    </row>
    <row r="1217" spans="1:5" hidden="1" x14ac:dyDescent="0.15">
      <c r="A1217" s="11" t="s">
        <v>79</v>
      </c>
      <c r="B1217" s="12">
        <v>151139</v>
      </c>
      <c r="C1217" s="13">
        <v>0.17399999999999999</v>
      </c>
      <c r="D1217" s="4" t="s">
        <v>221</v>
      </c>
      <c r="E1217" s="4" t="s">
        <v>222</v>
      </c>
    </row>
    <row r="1218" spans="1:5" hidden="1" x14ac:dyDescent="0.15">
      <c r="A1218" s="11" t="s">
        <v>80</v>
      </c>
      <c r="B1218" s="12">
        <v>100198</v>
      </c>
      <c r="C1218" s="13">
        <v>0.115</v>
      </c>
      <c r="D1218" s="4" t="s">
        <v>221</v>
      </c>
      <c r="E1218" s="4" t="s">
        <v>222</v>
      </c>
    </row>
    <row r="1219" spans="1:5" ht="26" hidden="1" x14ac:dyDescent="0.15">
      <c r="A1219" s="11" t="s">
        <v>81</v>
      </c>
      <c r="B1219" s="12">
        <v>97086</v>
      </c>
      <c r="C1219" s="13">
        <v>0.11199999999999999</v>
      </c>
      <c r="D1219" s="4" t="s">
        <v>221</v>
      </c>
      <c r="E1219" s="4" t="s">
        <v>222</v>
      </c>
    </row>
    <row r="1220" spans="1:5" hidden="1" x14ac:dyDescent="0.15">
      <c r="A1220" s="11" t="s">
        <v>82</v>
      </c>
      <c r="B1220" s="12">
        <v>71252</v>
      </c>
      <c r="C1220" s="13">
        <v>8.199999999999999E-2</v>
      </c>
      <c r="D1220" s="4" t="s">
        <v>221</v>
      </c>
      <c r="E1220" s="4" t="s">
        <v>222</v>
      </c>
    </row>
    <row r="1221" spans="1:5" hidden="1" x14ac:dyDescent="0.15">
      <c r="A1221" s="14"/>
      <c r="B1221" s="14"/>
      <c r="C1221" s="14"/>
      <c r="D1221" s="4" t="s">
        <v>221</v>
      </c>
      <c r="E1221" s="4" t="s">
        <v>222</v>
      </c>
    </row>
    <row r="1222" spans="1:5" hidden="1" x14ac:dyDescent="0.15">
      <c r="A1222" s="15"/>
      <c r="B1222" s="15"/>
      <c r="C1222" s="15"/>
      <c r="D1222" s="4" t="s">
        <v>221</v>
      </c>
      <c r="E1222" s="4" t="s">
        <v>222</v>
      </c>
    </row>
    <row r="1223" spans="1:5" hidden="1" x14ac:dyDescent="0.15">
      <c r="A1223" s="11" t="s">
        <v>223</v>
      </c>
      <c r="B1223" s="12">
        <v>267733</v>
      </c>
      <c r="C1223" s="13">
        <v>0.308</v>
      </c>
      <c r="D1223" s="4" t="s">
        <v>221</v>
      </c>
      <c r="E1223" s="4" t="s">
        <v>222</v>
      </c>
    </row>
    <row r="1224" spans="1:5" hidden="1" x14ac:dyDescent="0.15">
      <c r="A1224" s="14"/>
      <c r="B1224" s="14"/>
      <c r="C1224" s="14"/>
      <c r="D1224" s="4" t="s">
        <v>221</v>
      </c>
      <c r="E1224" s="4" t="s">
        <v>222</v>
      </c>
    </row>
    <row r="1225" spans="1:5" hidden="1" x14ac:dyDescent="0.15">
      <c r="A1225" s="15"/>
      <c r="B1225" s="15"/>
      <c r="C1225" s="15"/>
      <c r="D1225" s="4" t="s">
        <v>221</v>
      </c>
      <c r="E1225" s="4" t="s">
        <v>222</v>
      </c>
    </row>
    <row r="1226" spans="1:5" hidden="1" x14ac:dyDescent="0.15">
      <c r="A1226" s="11" t="s">
        <v>224</v>
      </c>
      <c r="B1226" s="12">
        <v>342426</v>
      </c>
      <c r="C1226" s="13">
        <v>0.39299999999999996</v>
      </c>
      <c r="D1226" s="4" t="s">
        <v>221</v>
      </c>
      <c r="E1226" s="4" t="s">
        <v>222</v>
      </c>
    </row>
    <row r="1227" spans="1:5" hidden="1" x14ac:dyDescent="0.15">
      <c r="A1227" s="14"/>
      <c r="B1227" s="14"/>
      <c r="C1227" s="14"/>
      <c r="D1227" s="4" t="s">
        <v>221</v>
      </c>
      <c r="E1227" s="4" t="s">
        <v>222</v>
      </c>
    </row>
    <row r="1228" spans="1:5" hidden="1" x14ac:dyDescent="0.15">
      <c r="A1228" s="15"/>
      <c r="B1228" s="15"/>
      <c r="C1228" s="15"/>
      <c r="D1228" s="4" t="s">
        <v>221</v>
      </c>
      <c r="E1228" s="4" t="s">
        <v>222</v>
      </c>
    </row>
    <row r="1229" spans="1:5" ht="39" hidden="1" x14ac:dyDescent="0.15">
      <c r="A1229" s="11" t="s">
        <v>225</v>
      </c>
      <c r="B1229" s="12">
        <v>125301</v>
      </c>
      <c r="C1229" s="13">
        <v>0.14400000000000002</v>
      </c>
      <c r="D1229" s="4" t="s">
        <v>221</v>
      </c>
      <c r="E1229" s="4" t="s">
        <v>222</v>
      </c>
    </row>
    <row r="1230" spans="1:5" ht="26" hidden="1" x14ac:dyDescent="0.15">
      <c r="A1230" s="11" t="s">
        <v>226</v>
      </c>
      <c r="B1230" s="12">
        <v>103578</v>
      </c>
      <c r="C1230" s="13">
        <v>0.11900000000000001</v>
      </c>
      <c r="D1230" s="4" t="s">
        <v>221</v>
      </c>
      <c r="E1230" s="4" t="s">
        <v>222</v>
      </c>
    </row>
    <row r="1231" spans="1:5" ht="39" hidden="1" x14ac:dyDescent="0.15">
      <c r="A1231" s="11" t="s">
        <v>227</v>
      </c>
      <c r="B1231" s="12">
        <v>66729</v>
      </c>
      <c r="C1231" s="13">
        <v>7.6999999999999999E-2</v>
      </c>
      <c r="D1231" s="4" t="s">
        <v>221</v>
      </c>
      <c r="E1231" s="4" t="s">
        <v>222</v>
      </c>
    </row>
    <row r="1232" spans="1:5" ht="26" hidden="1" x14ac:dyDescent="0.15">
      <c r="A1232" s="11" t="s">
        <v>228</v>
      </c>
      <c r="B1232" s="12">
        <v>102498</v>
      </c>
      <c r="C1232" s="13">
        <v>0.11800000000000001</v>
      </c>
      <c r="D1232" s="4" t="s">
        <v>221</v>
      </c>
      <c r="E1232" s="4" t="s">
        <v>222</v>
      </c>
    </row>
    <row r="1233" spans="1:5" ht="26" hidden="1" x14ac:dyDescent="0.15">
      <c r="A1233" s="11" t="s">
        <v>229</v>
      </c>
      <c r="B1233" s="12">
        <v>55149</v>
      </c>
      <c r="C1233" s="13">
        <v>6.3E-2</v>
      </c>
      <c r="D1233" s="4" t="s">
        <v>221</v>
      </c>
      <c r="E1233" s="4" t="s">
        <v>222</v>
      </c>
    </row>
    <row r="1234" spans="1:5" ht="39" hidden="1" x14ac:dyDescent="0.15">
      <c r="A1234" s="11" t="s">
        <v>230</v>
      </c>
      <c r="B1234" s="12">
        <v>156118</v>
      </c>
      <c r="C1234" s="13">
        <v>0.17899999999999999</v>
      </c>
      <c r="D1234" s="4" t="s">
        <v>221</v>
      </c>
      <c r="E1234" s="4" t="s">
        <v>222</v>
      </c>
    </row>
    <row r="1235" spans="1:5" ht="26" hidden="1" x14ac:dyDescent="0.15">
      <c r="A1235" s="11" t="s">
        <v>231</v>
      </c>
      <c r="B1235" s="12">
        <v>205041</v>
      </c>
      <c r="C1235" s="13">
        <v>0.23600000000000002</v>
      </c>
      <c r="D1235" s="4" t="s">
        <v>221</v>
      </c>
      <c r="E1235" s="4" t="s">
        <v>222</v>
      </c>
    </row>
    <row r="1236" spans="1:5" ht="26" hidden="1" x14ac:dyDescent="0.15">
      <c r="A1236" s="11" t="s">
        <v>232</v>
      </c>
      <c r="B1236" s="12">
        <v>291096</v>
      </c>
      <c r="C1236" s="13">
        <v>0.33500000000000002</v>
      </c>
      <c r="D1236" s="4" t="s">
        <v>221</v>
      </c>
      <c r="E1236" s="4" t="s">
        <v>222</v>
      </c>
    </row>
    <row r="1237" spans="1:5" hidden="1" x14ac:dyDescent="0.15">
      <c r="A1237" s="1" t="s">
        <v>0</v>
      </c>
      <c r="B1237" s="2">
        <v>3817246</v>
      </c>
      <c r="C1237" s="3">
        <v>1</v>
      </c>
      <c r="D1237" s="4" t="s">
        <v>233</v>
      </c>
      <c r="E1237" s="4" t="s">
        <v>222</v>
      </c>
    </row>
    <row r="1238" spans="1:5" ht="26" hidden="1" x14ac:dyDescent="0.15">
      <c r="A1238" s="1" t="s">
        <v>3</v>
      </c>
      <c r="B1238" s="2">
        <v>30511</v>
      </c>
      <c r="C1238" s="3">
        <v>8.0000000000000002E-3</v>
      </c>
      <c r="D1238" s="4" t="s">
        <v>233</v>
      </c>
      <c r="E1238" s="4" t="s">
        <v>222</v>
      </c>
    </row>
    <row r="1239" spans="1:5" hidden="1" x14ac:dyDescent="0.15">
      <c r="A1239" s="1" t="s">
        <v>4</v>
      </c>
      <c r="B1239" s="2">
        <v>20992</v>
      </c>
      <c r="C1239" s="3">
        <v>5.0000000000000001E-3</v>
      </c>
      <c r="D1239" s="4" t="s">
        <v>233</v>
      </c>
      <c r="E1239" s="4" t="s">
        <v>222</v>
      </c>
    </row>
    <row r="1240" spans="1:5" ht="26" hidden="1" x14ac:dyDescent="0.15">
      <c r="A1240" s="1" t="s">
        <v>5</v>
      </c>
      <c r="B1240" s="2">
        <v>42459</v>
      </c>
      <c r="C1240" s="3">
        <v>1.1000000000000001E-2</v>
      </c>
      <c r="D1240" s="4" t="s">
        <v>233</v>
      </c>
      <c r="E1240" s="4" t="s">
        <v>222</v>
      </c>
    </row>
    <row r="1241" spans="1:5" ht="26" hidden="1" x14ac:dyDescent="0.15">
      <c r="A1241" s="1" t="s">
        <v>6</v>
      </c>
      <c r="B1241" s="2">
        <v>252403</v>
      </c>
      <c r="C1241" s="3">
        <v>6.6000000000000003E-2</v>
      </c>
      <c r="D1241" s="4" t="s">
        <v>233</v>
      </c>
      <c r="E1241" s="4" t="s">
        <v>222</v>
      </c>
    </row>
    <row r="1242" spans="1:5" ht="26" hidden="1" x14ac:dyDescent="0.15">
      <c r="A1242" s="1" t="s">
        <v>7</v>
      </c>
      <c r="B1242" s="2">
        <v>590447</v>
      </c>
      <c r="C1242" s="3">
        <v>0.155</v>
      </c>
      <c r="D1242" s="4" t="s">
        <v>233</v>
      </c>
      <c r="E1242" s="4" t="s">
        <v>222</v>
      </c>
    </row>
    <row r="1243" spans="1:5" ht="26" hidden="1" x14ac:dyDescent="0.15">
      <c r="A1243" s="1" t="s">
        <v>8</v>
      </c>
      <c r="B1243" s="2">
        <v>35189</v>
      </c>
      <c r="C1243" s="3">
        <v>9.0000000000000011E-3</v>
      </c>
      <c r="D1243" s="4" t="s">
        <v>233</v>
      </c>
      <c r="E1243" s="4" t="s">
        <v>222</v>
      </c>
    </row>
    <row r="1244" spans="1:5" ht="26" hidden="1" x14ac:dyDescent="0.15">
      <c r="A1244" s="1" t="s">
        <v>9</v>
      </c>
      <c r="B1244" s="2">
        <v>128511</v>
      </c>
      <c r="C1244" s="3">
        <v>3.4000000000000002E-2</v>
      </c>
      <c r="D1244" s="4" t="s">
        <v>233</v>
      </c>
      <c r="E1244" s="4" t="s">
        <v>222</v>
      </c>
    </row>
    <row r="1245" spans="1:5" ht="26" hidden="1" x14ac:dyDescent="0.15">
      <c r="A1245" s="1" t="s">
        <v>10</v>
      </c>
      <c r="B1245" s="2">
        <v>71125</v>
      </c>
      <c r="C1245" s="3">
        <v>1.9E-2</v>
      </c>
      <c r="D1245" s="4" t="s">
        <v>233</v>
      </c>
      <c r="E1245" s="4" t="s">
        <v>222</v>
      </c>
    </row>
    <row r="1246" spans="1:5" ht="26" hidden="1" x14ac:dyDescent="0.15">
      <c r="A1246" s="1" t="s">
        <v>11</v>
      </c>
      <c r="B1246" s="2">
        <v>245564</v>
      </c>
      <c r="C1246" s="3">
        <v>6.4000000000000001E-2</v>
      </c>
      <c r="D1246" s="4" t="s">
        <v>233</v>
      </c>
      <c r="E1246" s="4" t="s">
        <v>222</v>
      </c>
    </row>
    <row r="1247" spans="1:5" ht="26" hidden="1" x14ac:dyDescent="0.15">
      <c r="A1247" s="1" t="s">
        <v>12</v>
      </c>
      <c r="B1247" s="2">
        <v>45969</v>
      </c>
      <c r="C1247" s="3">
        <v>1.2E-2</v>
      </c>
      <c r="D1247" s="4" t="s">
        <v>233</v>
      </c>
      <c r="E1247" s="4" t="s">
        <v>222</v>
      </c>
    </row>
    <row r="1248" spans="1:5" ht="26" hidden="1" x14ac:dyDescent="0.15">
      <c r="A1248" s="1" t="s">
        <v>13</v>
      </c>
      <c r="B1248" s="2">
        <v>27416</v>
      </c>
      <c r="C1248" s="3">
        <v>6.9999999999999993E-3</v>
      </c>
      <c r="D1248" s="4" t="s">
        <v>233</v>
      </c>
      <c r="E1248" s="4" t="s">
        <v>222</v>
      </c>
    </row>
    <row r="1249" spans="1:5" hidden="1" x14ac:dyDescent="0.15">
      <c r="A1249" s="1" t="s">
        <v>14</v>
      </c>
      <c r="B1249" s="2">
        <v>252905</v>
      </c>
      <c r="C1249" s="3">
        <v>6.6000000000000003E-2</v>
      </c>
      <c r="D1249" s="4" t="s">
        <v>233</v>
      </c>
      <c r="E1249" s="4" t="s">
        <v>222</v>
      </c>
    </row>
    <row r="1250" spans="1:5" ht="26" hidden="1" x14ac:dyDescent="0.15">
      <c r="A1250" s="1" t="s">
        <v>15</v>
      </c>
      <c r="B1250" s="2">
        <v>134066</v>
      </c>
      <c r="C1250" s="3">
        <v>3.5000000000000003E-2</v>
      </c>
      <c r="D1250" s="4" t="s">
        <v>233</v>
      </c>
      <c r="E1250" s="4" t="s">
        <v>222</v>
      </c>
    </row>
    <row r="1251" spans="1:5" ht="26" hidden="1" x14ac:dyDescent="0.15">
      <c r="A1251" s="1" t="s">
        <v>16</v>
      </c>
      <c r="B1251" s="2">
        <v>59732</v>
      </c>
      <c r="C1251" s="3">
        <v>1.6E-2</v>
      </c>
      <c r="D1251" s="4" t="s">
        <v>233</v>
      </c>
      <c r="E1251" s="4" t="s">
        <v>222</v>
      </c>
    </row>
    <row r="1252" spans="1:5" ht="26" hidden="1" x14ac:dyDescent="0.15">
      <c r="A1252" s="1" t="s">
        <v>17</v>
      </c>
      <c r="B1252" s="2">
        <v>41865</v>
      </c>
      <c r="C1252" s="3">
        <v>1.1000000000000001E-2</v>
      </c>
      <c r="D1252" s="4" t="s">
        <v>233</v>
      </c>
      <c r="E1252" s="4" t="s">
        <v>222</v>
      </c>
    </row>
    <row r="1253" spans="1:5" hidden="1" x14ac:dyDescent="0.15">
      <c r="A1253" s="1" t="s">
        <v>18</v>
      </c>
      <c r="B1253" s="2">
        <v>65152</v>
      </c>
      <c r="C1253" s="3">
        <v>1.7000000000000001E-2</v>
      </c>
      <c r="D1253" s="4" t="s">
        <v>233</v>
      </c>
      <c r="E1253" s="4" t="s">
        <v>222</v>
      </c>
    </row>
    <row r="1254" spans="1:5" hidden="1" x14ac:dyDescent="0.15">
      <c r="A1254" s="1" t="s">
        <v>19</v>
      </c>
      <c r="B1254" s="2">
        <v>512282</v>
      </c>
      <c r="C1254" s="3">
        <v>0.13400000000000001</v>
      </c>
      <c r="D1254" s="4" t="s">
        <v>233</v>
      </c>
      <c r="E1254" s="4" t="s">
        <v>222</v>
      </c>
    </row>
    <row r="1255" spans="1:5" hidden="1" x14ac:dyDescent="0.15">
      <c r="A1255" s="1" t="s">
        <v>20</v>
      </c>
      <c r="B1255" s="2">
        <v>227604</v>
      </c>
      <c r="C1255" s="3">
        <v>0.06</v>
      </c>
      <c r="D1255" s="4" t="s">
        <v>233</v>
      </c>
      <c r="E1255" s="4" t="s">
        <v>222</v>
      </c>
    </row>
    <row r="1256" spans="1:5" ht="26" hidden="1" x14ac:dyDescent="0.15">
      <c r="A1256" s="1" t="s">
        <v>21</v>
      </c>
      <c r="B1256" s="2">
        <v>92623</v>
      </c>
      <c r="C1256" s="3">
        <v>2.4E-2</v>
      </c>
      <c r="D1256" s="4" t="s">
        <v>233</v>
      </c>
      <c r="E1256" s="4" t="s">
        <v>222</v>
      </c>
    </row>
    <row r="1257" spans="1:5" ht="26" hidden="1" x14ac:dyDescent="0.15">
      <c r="A1257" s="1" t="s">
        <v>22</v>
      </c>
      <c r="B1257" s="2">
        <v>77039</v>
      </c>
      <c r="C1257" s="3">
        <v>0.02</v>
      </c>
      <c r="D1257" s="4" t="s">
        <v>233</v>
      </c>
      <c r="E1257" s="4" t="s">
        <v>222</v>
      </c>
    </row>
    <row r="1258" spans="1:5" ht="26" hidden="1" x14ac:dyDescent="0.15">
      <c r="A1258" s="1" t="s">
        <v>23</v>
      </c>
      <c r="B1258" s="2">
        <v>47547</v>
      </c>
      <c r="C1258" s="3">
        <v>1.2E-2</v>
      </c>
      <c r="D1258" s="4" t="s">
        <v>233</v>
      </c>
      <c r="E1258" s="4" t="s">
        <v>222</v>
      </c>
    </row>
    <row r="1259" spans="1:5" ht="26" hidden="1" x14ac:dyDescent="0.15">
      <c r="A1259" s="1" t="s">
        <v>24</v>
      </c>
      <c r="B1259" s="2">
        <v>38688</v>
      </c>
      <c r="C1259" s="3">
        <v>0.01</v>
      </c>
      <c r="D1259" s="4" t="s">
        <v>233</v>
      </c>
      <c r="E1259" s="4" t="s">
        <v>222</v>
      </c>
    </row>
    <row r="1260" spans="1:5" ht="26" hidden="1" x14ac:dyDescent="0.15">
      <c r="A1260" s="1" t="s">
        <v>25</v>
      </c>
      <c r="B1260" s="2">
        <v>63256</v>
      </c>
      <c r="C1260" s="3">
        <v>1.7000000000000001E-2</v>
      </c>
      <c r="D1260" s="4" t="s">
        <v>233</v>
      </c>
      <c r="E1260" s="4" t="s">
        <v>222</v>
      </c>
    </row>
    <row r="1261" spans="1:5" hidden="1" x14ac:dyDescent="0.15">
      <c r="A1261" s="1" t="s">
        <v>26</v>
      </c>
      <c r="B1261" s="2">
        <v>45640</v>
      </c>
      <c r="C1261" s="3">
        <v>1.2E-2</v>
      </c>
      <c r="D1261" s="4" t="s">
        <v>233</v>
      </c>
      <c r="E1261" s="4" t="s">
        <v>222</v>
      </c>
    </row>
    <row r="1262" spans="1:5" hidden="1" x14ac:dyDescent="0.15">
      <c r="A1262" s="1" t="s">
        <v>27</v>
      </c>
      <c r="B1262" s="2">
        <v>170681</v>
      </c>
      <c r="C1262" s="3">
        <v>4.4999999999999998E-2</v>
      </c>
      <c r="D1262" s="4" t="s">
        <v>233</v>
      </c>
      <c r="E1262" s="4" t="s">
        <v>222</v>
      </c>
    </row>
    <row r="1263" spans="1:5" hidden="1" x14ac:dyDescent="0.15">
      <c r="A1263" s="1" t="s">
        <v>28</v>
      </c>
      <c r="B1263" s="2">
        <v>174339</v>
      </c>
      <c r="C1263" s="3">
        <v>4.5999999999999999E-2</v>
      </c>
      <c r="D1263" s="4" t="s">
        <v>233</v>
      </c>
      <c r="E1263" s="4" t="s">
        <v>222</v>
      </c>
    </row>
    <row r="1264" spans="1:5" hidden="1" x14ac:dyDescent="0.15">
      <c r="A1264" s="1" t="s">
        <v>29</v>
      </c>
      <c r="B1264" s="2">
        <v>930176</v>
      </c>
      <c r="C1264" s="3">
        <v>0.24399999999999999</v>
      </c>
      <c r="D1264" s="4" t="s">
        <v>233</v>
      </c>
      <c r="E1264" s="4" t="s">
        <v>222</v>
      </c>
    </row>
    <row r="1265" spans="1:5" hidden="1" x14ac:dyDescent="0.15">
      <c r="A1265" s="1" t="s">
        <v>30</v>
      </c>
      <c r="B1265" s="2">
        <v>114212</v>
      </c>
      <c r="C1265" s="3">
        <v>0.03</v>
      </c>
      <c r="D1265" s="4" t="s">
        <v>233</v>
      </c>
      <c r="E1265" s="4" t="s">
        <v>222</v>
      </c>
    </row>
    <row r="1266" spans="1:5" ht="39" hidden="1" x14ac:dyDescent="0.15">
      <c r="A1266" s="1" t="s">
        <v>31</v>
      </c>
      <c r="B1266" s="2">
        <v>2334</v>
      </c>
      <c r="C1266" s="3">
        <v>1E-3</v>
      </c>
      <c r="D1266" s="4" t="s">
        <v>233</v>
      </c>
      <c r="E1266" s="4" t="s">
        <v>222</v>
      </c>
    </row>
    <row r="1267" spans="1:5" hidden="1" x14ac:dyDescent="0.15">
      <c r="A1267" s="1" t="s">
        <v>32</v>
      </c>
      <c r="B1267" s="2">
        <v>83279</v>
      </c>
      <c r="C1267" s="3">
        <v>2.2000000000000002E-2</v>
      </c>
      <c r="D1267" s="4" t="s">
        <v>233</v>
      </c>
      <c r="E1267" s="4" t="s">
        <v>222</v>
      </c>
    </row>
    <row r="1268" spans="1:5" hidden="1" x14ac:dyDescent="0.15">
      <c r="A1268" s="1" t="s">
        <v>33</v>
      </c>
      <c r="B1268" s="2">
        <v>1005137</v>
      </c>
      <c r="C1268" s="3">
        <v>0.26300000000000001</v>
      </c>
      <c r="D1268" s="4" t="s">
        <v>233</v>
      </c>
      <c r="E1268" s="4" t="s">
        <v>222</v>
      </c>
    </row>
    <row r="1269" spans="1:5" hidden="1" x14ac:dyDescent="0.15">
      <c r="A1269" s="1" t="s">
        <v>34</v>
      </c>
      <c r="B1269" s="2">
        <v>239852</v>
      </c>
      <c r="C1269" s="3">
        <v>6.3E-2</v>
      </c>
      <c r="D1269" s="4" t="s">
        <v>233</v>
      </c>
      <c r="E1269" s="4" t="s">
        <v>222</v>
      </c>
    </row>
    <row r="1270" spans="1:5" hidden="1" x14ac:dyDescent="0.15">
      <c r="A1270" s="1" t="s">
        <v>35</v>
      </c>
      <c r="B1270" s="2">
        <v>114540</v>
      </c>
      <c r="C1270" s="3">
        <v>0.03</v>
      </c>
      <c r="D1270" s="4" t="s">
        <v>233</v>
      </c>
      <c r="E1270" s="4" t="s">
        <v>222</v>
      </c>
    </row>
    <row r="1271" spans="1:5" ht="26" hidden="1" x14ac:dyDescent="0.15">
      <c r="A1271" s="1" t="s">
        <v>36</v>
      </c>
      <c r="B1271" s="2">
        <v>99115</v>
      </c>
      <c r="C1271" s="3">
        <v>2.6000000000000002E-2</v>
      </c>
      <c r="D1271" s="4" t="s">
        <v>233</v>
      </c>
      <c r="E1271" s="4" t="s">
        <v>222</v>
      </c>
    </row>
    <row r="1272" spans="1:5" hidden="1" x14ac:dyDescent="0.15">
      <c r="A1272" s="1" t="s">
        <v>37</v>
      </c>
      <c r="B1272" s="2">
        <v>79173</v>
      </c>
      <c r="C1272" s="3">
        <v>2.1000000000000001E-2</v>
      </c>
      <c r="D1272" s="4" t="s">
        <v>233</v>
      </c>
      <c r="E1272" s="4" t="s">
        <v>222</v>
      </c>
    </row>
    <row r="1273" spans="1:5" ht="39" hidden="1" x14ac:dyDescent="0.15">
      <c r="A1273" s="1" t="s">
        <v>38</v>
      </c>
      <c r="B1273" s="2">
        <v>68444</v>
      </c>
      <c r="C1273" s="3">
        <v>1.8000000000000002E-2</v>
      </c>
      <c r="D1273" s="4" t="s">
        <v>233</v>
      </c>
      <c r="E1273" s="4" t="s">
        <v>222</v>
      </c>
    </row>
    <row r="1274" spans="1:5" hidden="1" x14ac:dyDescent="0.15">
      <c r="A1274" s="1" t="s">
        <v>39</v>
      </c>
      <c r="B1274" s="2">
        <v>154885</v>
      </c>
      <c r="C1274" s="3">
        <v>4.0999999999999995E-2</v>
      </c>
      <c r="D1274" s="4" t="s">
        <v>233</v>
      </c>
      <c r="E1274" s="4" t="s">
        <v>222</v>
      </c>
    </row>
    <row r="1275" spans="1:5" hidden="1" x14ac:dyDescent="0.15">
      <c r="A1275" s="1" t="s">
        <v>40</v>
      </c>
      <c r="B1275" s="2">
        <v>37646</v>
      </c>
      <c r="C1275" s="3">
        <v>0.01</v>
      </c>
      <c r="D1275" s="4" t="s">
        <v>233</v>
      </c>
      <c r="E1275" s="4" t="s">
        <v>222</v>
      </c>
    </row>
    <row r="1276" spans="1:5" hidden="1" x14ac:dyDescent="0.15">
      <c r="A1276" s="1" t="s">
        <v>41</v>
      </c>
      <c r="B1276" s="2">
        <v>88574</v>
      </c>
      <c r="C1276" s="3">
        <v>2.3E-2</v>
      </c>
      <c r="D1276" s="4" t="s">
        <v>233</v>
      </c>
      <c r="E1276" s="4" t="s">
        <v>222</v>
      </c>
    </row>
    <row r="1277" spans="1:5" hidden="1" x14ac:dyDescent="0.15">
      <c r="A1277" s="1" t="s">
        <v>42</v>
      </c>
      <c r="B1277" s="2">
        <v>73965</v>
      </c>
      <c r="C1277" s="3">
        <v>1.9E-2</v>
      </c>
      <c r="D1277" s="4" t="s">
        <v>233</v>
      </c>
      <c r="E1277" s="4" t="s">
        <v>222</v>
      </c>
    </row>
    <row r="1278" spans="1:5" hidden="1" x14ac:dyDescent="0.15">
      <c r="A1278" s="1" t="s">
        <v>43</v>
      </c>
      <c r="B1278" s="2">
        <v>325680</v>
      </c>
      <c r="C1278" s="3">
        <v>8.5000000000000006E-2</v>
      </c>
      <c r="D1278" s="4" t="s">
        <v>233</v>
      </c>
      <c r="E1278" s="4" t="s">
        <v>222</v>
      </c>
    </row>
    <row r="1279" spans="1:5" ht="26" hidden="1" x14ac:dyDescent="0.15">
      <c r="A1279" s="1" t="s">
        <v>44</v>
      </c>
      <c r="B1279" s="2">
        <v>350424</v>
      </c>
      <c r="C1279" s="3">
        <v>9.1999999999999998E-2</v>
      </c>
      <c r="D1279" s="4" t="s">
        <v>233</v>
      </c>
      <c r="E1279" s="4" t="s">
        <v>222</v>
      </c>
    </row>
    <row r="1280" spans="1:5" hidden="1" x14ac:dyDescent="0.15">
      <c r="A1280" s="1" t="s">
        <v>45</v>
      </c>
      <c r="B1280" s="2">
        <v>633641</v>
      </c>
      <c r="C1280" s="3">
        <v>0.16600000000000001</v>
      </c>
      <c r="D1280" s="4" t="s">
        <v>233</v>
      </c>
      <c r="E1280" s="4" t="s">
        <v>222</v>
      </c>
    </row>
    <row r="1281" spans="1:5" ht="26" hidden="1" x14ac:dyDescent="0.15">
      <c r="A1281" s="1" t="s">
        <v>46</v>
      </c>
      <c r="B1281" s="2">
        <v>1131713</v>
      </c>
      <c r="C1281" s="3">
        <v>0.29600000000000004</v>
      </c>
      <c r="D1281" s="4" t="s">
        <v>233</v>
      </c>
      <c r="E1281" s="4" t="s">
        <v>222</v>
      </c>
    </row>
    <row r="1282" spans="1:5" hidden="1" x14ac:dyDescent="0.15">
      <c r="A1282" s="1" t="s">
        <v>47</v>
      </c>
      <c r="B1282" s="2">
        <v>1642690</v>
      </c>
      <c r="C1282" s="3">
        <v>0.43</v>
      </c>
      <c r="D1282" s="4" t="s">
        <v>233</v>
      </c>
      <c r="E1282" s="4" t="s">
        <v>222</v>
      </c>
    </row>
    <row r="1283" spans="1:5" hidden="1" x14ac:dyDescent="0.15">
      <c r="A1283" s="1" t="s">
        <v>48</v>
      </c>
      <c r="B1283" s="2">
        <v>303201</v>
      </c>
      <c r="C1283" s="3">
        <v>7.9000000000000001E-2</v>
      </c>
      <c r="D1283" s="4" t="s">
        <v>233</v>
      </c>
      <c r="E1283" s="4" t="s">
        <v>222</v>
      </c>
    </row>
    <row r="1284" spans="1:5" hidden="1" x14ac:dyDescent="0.15">
      <c r="A1284" s="1" t="s">
        <v>49</v>
      </c>
      <c r="B1284" s="2">
        <v>620675</v>
      </c>
      <c r="C1284" s="3">
        <v>0.16300000000000001</v>
      </c>
      <c r="D1284" s="4" t="s">
        <v>233</v>
      </c>
      <c r="E1284" s="4" t="s">
        <v>222</v>
      </c>
    </row>
    <row r="1285" spans="1:5" ht="26" hidden="1" x14ac:dyDescent="0.15">
      <c r="A1285" s="1" t="s">
        <v>50</v>
      </c>
      <c r="B1285" s="2">
        <v>622633</v>
      </c>
      <c r="C1285" s="3">
        <v>0.16300000000000001</v>
      </c>
      <c r="D1285" s="4" t="s">
        <v>233</v>
      </c>
      <c r="E1285" s="4" t="s">
        <v>222</v>
      </c>
    </row>
    <row r="1286" spans="1:5" hidden="1" x14ac:dyDescent="0.15">
      <c r="A1286" s="1" t="s">
        <v>51</v>
      </c>
      <c r="B1286" s="2">
        <v>1304808</v>
      </c>
      <c r="C1286" s="3">
        <v>0.34200000000000003</v>
      </c>
      <c r="D1286" s="4" t="s">
        <v>233</v>
      </c>
      <c r="E1286" s="4" t="s">
        <v>222</v>
      </c>
    </row>
    <row r="1287" spans="1:5" hidden="1" x14ac:dyDescent="0.15">
      <c r="A1287" s="1" t="s">
        <v>52</v>
      </c>
      <c r="B1287" s="2">
        <v>468138</v>
      </c>
      <c r="C1287" s="3">
        <v>0.12300000000000001</v>
      </c>
      <c r="D1287" s="4" t="s">
        <v>233</v>
      </c>
      <c r="E1287" s="4" t="s">
        <v>222</v>
      </c>
    </row>
    <row r="1288" spans="1:5" ht="26" hidden="1" x14ac:dyDescent="0.15">
      <c r="A1288" s="1" t="s">
        <v>53</v>
      </c>
      <c r="B1288" s="2">
        <v>307096</v>
      </c>
      <c r="C1288" s="3">
        <v>0.08</v>
      </c>
      <c r="D1288" s="4" t="s">
        <v>233</v>
      </c>
      <c r="E1288" s="4" t="s">
        <v>222</v>
      </c>
    </row>
    <row r="1289" spans="1:5" hidden="1" x14ac:dyDescent="0.15">
      <c r="A1289" s="1" t="s">
        <v>54</v>
      </c>
      <c r="B1289" s="2">
        <v>1351262</v>
      </c>
      <c r="C1289" s="3">
        <v>0.35399999999999998</v>
      </c>
      <c r="D1289" s="4" t="s">
        <v>233</v>
      </c>
      <c r="E1289" s="4" t="s">
        <v>222</v>
      </c>
    </row>
    <row r="1290" spans="1:5" ht="26" hidden="1" x14ac:dyDescent="0.15">
      <c r="A1290" s="1" t="s">
        <v>55</v>
      </c>
      <c r="B1290" s="2">
        <v>908784</v>
      </c>
      <c r="C1290" s="3">
        <v>0.23800000000000002</v>
      </c>
      <c r="D1290" s="4" t="s">
        <v>233</v>
      </c>
      <c r="E1290" s="4" t="s">
        <v>222</v>
      </c>
    </row>
    <row r="1291" spans="1:5" hidden="1" x14ac:dyDescent="0.15">
      <c r="A1291" s="1" t="s">
        <v>56</v>
      </c>
      <c r="B1291" s="2">
        <v>699195</v>
      </c>
      <c r="C1291" s="3">
        <v>0.183</v>
      </c>
      <c r="D1291" s="4" t="s">
        <v>233</v>
      </c>
      <c r="E1291" s="4" t="s">
        <v>222</v>
      </c>
    </row>
    <row r="1292" spans="1:5" hidden="1" x14ac:dyDescent="0.15">
      <c r="A1292" s="1" t="s">
        <v>57</v>
      </c>
      <c r="B1292" s="2">
        <v>492123</v>
      </c>
      <c r="C1292" s="3">
        <v>0.129</v>
      </c>
      <c r="D1292" s="4" t="s">
        <v>233</v>
      </c>
      <c r="E1292" s="4" t="s">
        <v>222</v>
      </c>
    </row>
    <row r="1293" spans="1:5" hidden="1" x14ac:dyDescent="0.15">
      <c r="A1293" s="1" t="s">
        <v>58</v>
      </c>
      <c r="B1293" s="2">
        <v>447079</v>
      </c>
      <c r="C1293" s="3">
        <v>0.11699999999999999</v>
      </c>
      <c r="D1293" s="4" t="s">
        <v>233</v>
      </c>
      <c r="E1293" s="4" t="s">
        <v>222</v>
      </c>
    </row>
    <row r="1294" spans="1:5" hidden="1" x14ac:dyDescent="0.15">
      <c r="A1294" s="1" t="s">
        <v>59</v>
      </c>
      <c r="B1294" s="2">
        <v>1914966</v>
      </c>
      <c r="C1294" s="3">
        <v>0.502</v>
      </c>
      <c r="D1294" s="4" t="s">
        <v>233</v>
      </c>
      <c r="E1294" s="4" t="s">
        <v>222</v>
      </c>
    </row>
    <row r="1295" spans="1:5" hidden="1" x14ac:dyDescent="0.15">
      <c r="A1295" s="1" t="s">
        <v>60</v>
      </c>
      <c r="B1295" s="2">
        <v>1117553</v>
      </c>
      <c r="C1295" s="3">
        <v>0.29299999999999998</v>
      </c>
      <c r="D1295" s="4" t="s">
        <v>233</v>
      </c>
      <c r="E1295" s="4" t="s">
        <v>222</v>
      </c>
    </row>
    <row r="1296" spans="1:5" ht="26" hidden="1" x14ac:dyDescent="0.15">
      <c r="A1296" s="1" t="s">
        <v>61</v>
      </c>
      <c r="B1296" s="2">
        <v>572884</v>
      </c>
      <c r="C1296" s="3">
        <v>0.15</v>
      </c>
      <c r="D1296" s="4" t="s">
        <v>233</v>
      </c>
      <c r="E1296" s="4" t="s">
        <v>222</v>
      </c>
    </row>
    <row r="1297" spans="1:5" hidden="1" x14ac:dyDescent="0.15">
      <c r="A1297" s="1" t="s">
        <v>62</v>
      </c>
      <c r="B1297" s="2">
        <v>428410</v>
      </c>
      <c r="C1297" s="3">
        <v>0.11199999999999999</v>
      </c>
      <c r="D1297" s="4" t="s">
        <v>233</v>
      </c>
      <c r="E1297" s="4" t="s">
        <v>222</v>
      </c>
    </row>
    <row r="1298" spans="1:5" ht="26" hidden="1" x14ac:dyDescent="0.15">
      <c r="A1298" s="1" t="s">
        <v>63</v>
      </c>
      <c r="B1298" s="2">
        <v>572143</v>
      </c>
      <c r="C1298" s="3">
        <v>0.15</v>
      </c>
      <c r="D1298" s="4" t="s">
        <v>233</v>
      </c>
      <c r="E1298" s="4" t="s">
        <v>222</v>
      </c>
    </row>
    <row r="1299" spans="1:5" ht="26" hidden="1" x14ac:dyDescent="0.15">
      <c r="A1299" s="1" t="s">
        <v>64</v>
      </c>
      <c r="B1299" s="2">
        <v>259988</v>
      </c>
      <c r="C1299" s="3">
        <v>6.8000000000000005E-2</v>
      </c>
      <c r="D1299" s="4" t="s">
        <v>233</v>
      </c>
      <c r="E1299" s="4" t="s">
        <v>222</v>
      </c>
    </row>
    <row r="1300" spans="1:5" hidden="1" x14ac:dyDescent="0.15">
      <c r="A1300" s="1" t="s">
        <v>65</v>
      </c>
      <c r="B1300" s="2">
        <v>517354</v>
      </c>
      <c r="C1300" s="3">
        <v>0.13600000000000001</v>
      </c>
      <c r="D1300" s="4" t="s">
        <v>233</v>
      </c>
      <c r="E1300" s="4" t="s">
        <v>222</v>
      </c>
    </row>
    <row r="1301" spans="1:5" hidden="1" x14ac:dyDescent="0.15">
      <c r="A1301" s="1" t="s">
        <v>66</v>
      </c>
      <c r="B1301" s="2">
        <v>340483</v>
      </c>
      <c r="C1301" s="3">
        <v>8.900000000000001E-2</v>
      </c>
      <c r="D1301" s="4" t="s">
        <v>233</v>
      </c>
      <c r="E1301" s="4" t="s">
        <v>222</v>
      </c>
    </row>
    <row r="1302" spans="1:5" hidden="1" x14ac:dyDescent="0.15">
      <c r="A1302" s="1" t="s">
        <v>67</v>
      </c>
      <c r="B1302" s="2">
        <v>761251</v>
      </c>
      <c r="C1302" s="3">
        <v>0.19899999999999998</v>
      </c>
      <c r="D1302" s="4" t="s">
        <v>233</v>
      </c>
      <c r="E1302" s="4" t="s">
        <v>222</v>
      </c>
    </row>
    <row r="1303" spans="1:5" hidden="1" x14ac:dyDescent="0.15">
      <c r="A1303" s="1" t="s">
        <v>68</v>
      </c>
      <c r="B1303" s="2">
        <v>1137394</v>
      </c>
      <c r="C1303" s="3">
        <v>0.29799999999999999</v>
      </c>
      <c r="D1303" s="4" t="s">
        <v>233</v>
      </c>
      <c r="E1303" s="4" t="s">
        <v>222</v>
      </c>
    </row>
    <row r="1304" spans="1:5" hidden="1" x14ac:dyDescent="0.15">
      <c r="A1304" s="1" t="s">
        <v>69</v>
      </c>
      <c r="B1304" s="2">
        <v>2292802</v>
      </c>
      <c r="C1304" s="3">
        <v>0.60099999999999998</v>
      </c>
      <c r="D1304" s="4" t="s">
        <v>233</v>
      </c>
      <c r="E1304" s="4" t="s">
        <v>222</v>
      </c>
    </row>
    <row r="1305" spans="1:5" hidden="1" x14ac:dyDescent="0.15">
      <c r="A1305" s="1" t="s">
        <v>70</v>
      </c>
      <c r="B1305" s="2">
        <v>765115</v>
      </c>
      <c r="C1305" s="3">
        <v>0.2</v>
      </c>
      <c r="D1305" s="4" t="s">
        <v>233</v>
      </c>
      <c r="E1305" s="4" t="s">
        <v>222</v>
      </c>
    </row>
    <row r="1306" spans="1:5" ht="26" hidden="1" x14ac:dyDescent="0.15">
      <c r="A1306" s="1" t="s">
        <v>71</v>
      </c>
      <c r="B1306" s="2">
        <v>141755</v>
      </c>
      <c r="C1306" s="3">
        <v>3.7000000000000005E-2</v>
      </c>
      <c r="D1306" s="4" t="s">
        <v>233</v>
      </c>
      <c r="E1306" s="4" t="s">
        <v>222</v>
      </c>
    </row>
    <row r="1307" spans="1:5" hidden="1" x14ac:dyDescent="0.15">
      <c r="A1307" s="1" t="s">
        <v>72</v>
      </c>
      <c r="B1307" s="2">
        <v>488622</v>
      </c>
      <c r="C1307" s="3">
        <v>0.128</v>
      </c>
      <c r="D1307" s="4" t="s">
        <v>233</v>
      </c>
      <c r="E1307" s="4" t="s">
        <v>222</v>
      </c>
    </row>
    <row r="1308" spans="1:5" hidden="1" x14ac:dyDescent="0.15">
      <c r="A1308" s="1" t="s">
        <v>73</v>
      </c>
      <c r="B1308" s="2">
        <v>2422988</v>
      </c>
      <c r="C1308" s="3">
        <v>0.63500000000000001</v>
      </c>
      <c r="D1308" s="4" t="s">
        <v>233</v>
      </c>
      <c r="E1308" s="4" t="s">
        <v>222</v>
      </c>
    </row>
    <row r="1309" spans="1:5" hidden="1" x14ac:dyDescent="0.15">
      <c r="A1309" s="1" t="s">
        <v>74</v>
      </c>
      <c r="B1309" s="2">
        <v>903543</v>
      </c>
      <c r="C1309" s="3">
        <v>0.23699999999999999</v>
      </c>
      <c r="D1309" s="4" t="s">
        <v>233</v>
      </c>
      <c r="E1309" s="4" t="s">
        <v>222</v>
      </c>
    </row>
    <row r="1310" spans="1:5" hidden="1" x14ac:dyDescent="0.15">
      <c r="A1310" s="1" t="s">
        <v>75</v>
      </c>
      <c r="B1310" s="2">
        <v>582322</v>
      </c>
      <c r="C1310" s="3">
        <v>0.153</v>
      </c>
      <c r="D1310" s="4" t="s">
        <v>233</v>
      </c>
      <c r="E1310" s="4" t="s">
        <v>222</v>
      </c>
    </row>
    <row r="1311" spans="1:5" hidden="1" x14ac:dyDescent="0.15">
      <c r="A1311" s="1" t="s">
        <v>76</v>
      </c>
      <c r="B1311" s="2">
        <v>554008</v>
      </c>
      <c r="C1311" s="3">
        <v>0.14499999999999999</v>
      </c>
      <c r="D1311" s="4" t="s">
        <v>233</v>
      </c>
      <c r="E1311" s="4" t="s">
        <v>222</v>
      </c>
    </row>
    <row r="1312" spans="1:5" hidden="1" x14ac:dyDescent="0.15">
      <c r="A1312" s="1" t="s">
        <v>77</v>
      </c>
      <c r="B1312" s="2">
        <v>516853</v>
      </c>
      <c r="C1312" s="3">
        <v>0.13500000000000001</v>
      </c>
      <c r="D1312" s="4" t="s">
        <v>233</v>
      </c>
      <c r="E1312" s="4" t="s">
        <v>222</v>
      </c>
    </row>
    <row r="1313" spans="1:5" ht="26" hidden="1" x14ac:dyDescent="0.15">
      <c r="A1313" s="1" t="s">
        <v>78</v>
      </c>
      <c r="B1313" s="2">
        <v>476732</v>
      </c>
      <c r="C1313" s="3">
        <v>0.125</v>
      </c>
      <c r="D1313" s="4" t="s">
        <v>233</v>
      </c>
      <c r="E1313" s="4" t="s">
        <v>222</v>
      </c>
    </row>
    <row r="1314" spans="1:5" hidden="1" x14ac:dyDescent="0.15">
      <c r="A1314" s="1" t="s">
        <v>79</v>
      </c>
      <c r="B1314" s="2">
        <v>579007</v>
      </c>
      <c r="C1314" s="3">
        <v>0.152</v>
      </c>
      <c r="D1314" s="4" t="s">
        <v>233</v>
      </c>
      <c r="E1314" s="4" t="s">
        <v>222</v>
      </c>
    </row>
    <row r="1315" spans="1:5" hidden="1" x14ac:dyDescent="0.15">
      <c r="A1315" s="1" t="s">
        <v>80</v>
      </c>
      <c r="B1315" s="2">
        <v>660094</v>
      </c>
      <c r="C1315" s="3">
        <v>0.17300000000000001</v>
      </c>
      <c r="D1315" s="4" t="s">
        <v>233</v>
      </c>
      <c r="E1315" s="4" t="s">
        <v>222</v>
      </c>
    </row>
    <row r="1316" spans="1:5" ht="26" hidden="1" x14ac:dyDescent="0.15">
      <c r="A1316" s="1" t="s">
        <v>81</v>
      </c>
      <c r="B1316" s="2">
        <v>585753</v>
      </c>
      <c r="C1316" s="3">
        <v>0.153</v>
      </c>
      <c r="D1316" s="4" t="s">
        <v>233</v>
      </c>
      <c r="E1316" s="4" t="s">
        <v>222</v>
      </c>
    </row>
    <row r="1317" spans="1:5" hidden="1" x14ac:dyDescent="0.15">
      <c r="A1317" s="1" t="s">
        <v>82</v>
      </c>
      <c r="B1317" s="2">
        <v>301115</v>
      </c>
      <c r="C1317" s="3">
        <v>7.9000000000000001E-2</v>
      </c>
      <c r="D1317" s="4" t="s">
        <v>233</v>
      </c>
      <c r="E1317" s="4" t="s">
        <v>222</v>
      </c>
    </row>
    <row r="1318" spans="1:5" hidden="1" x14ac:dyDescent="0.15">
      <c r="A1318" s="4"/>
      <c r="B1318" s="4"/>
      <c r="C1318" s="4"/>
      <c r="D1318" s="4" t="s">
        <v>233</v>
      </c>
      <c r="E1318" s="4" t="s">
        <v>222</v>
      </c>
    </row>
    <row r="1319" spans="1:5" hidden="1" x14ac:dyDescent="0.15">
      <c r="A1319" s="16"/>
      <c r="B1319" s="16"/>
      <c r="C1319" s="16"/>
      <c r="D1319" s="4" t="s">
        <v>233</v>
      </c>
      <c r="E1319" s="4" t="s">
        <v>222</v>
      </c>
    </row>
    <row r="1320" spans="1:5" hidden="1" x14ac:dyDescent="0.15">
      <c r="A1320" s="1" t="s">
        <v>223</v>
      </c>
      <c r="B1320" s="2">
        <v>1776187</v>
      </c>
      <c r="C1320" s="3">
        <v>0.46500000000000002</v>
      </c>
      <c r="D1320" s="4" t="s">
        <v>233</v>
      </c>
      <c r="E1320" s="4" t="s">
        <v>222</v>
      </c>
    </row>
    <row r="1321" spans="1:5" hidden="1" x14ac:dyDescent="0.15">
      <c r="A1321" s="4"/>
      <c r="B1321" s="4"/>
      <c r="C1321" s="4"/>
      <c r="D1321" s="4" t="s">
        <v>233</v>
      </c>
      <c r="E1321" s="4" t="s">
        <v>222</v>
      </c>
    </row>
    <row r="1322" spans="1:5" hidden="1" x14ac:dyDescent="0.15">
      <c r="A1322" s="16"/>
      <c r="B1322" s="16"/>
      <c r="C1322" s="16"/>
      <c r="D1322" s="4" t="s">
        <v>233</v>
      </c>
      <c r="E1322" s="4" t="s">
        <v>222</v>
      </c>
    </row>
    <row r="1323" spans="1:5" ht="26" hidden="1" x14ac:dyDescent="0.15">
      <c r="A1323" s="1" t="s">
        <v>234</v>
      </c>
      <c r="B1323" s="2">
        <v>818081</v>
      </c>
      <c r="C1323" s="3">
        <v>0.214</v>
      </c>
      <c r="D1323" s="4" t="s">
        <v>233</v>
      </c>
      <c r="E1323" s="4" t="s">
        <v>222</v>
      </c>
    </row>
    <row r="1324" spans="1:5" hidden="1" x14ac:dyDescent="0.15">
      <c r="A1324" s="4"/>
      <c r="B1324" s="4"/>
      <c r="C1324" s="4"/>
      <c r="D1324" s="4" t="s">
        <v>233</v>
      </c>
      <c r="E1324" s="4" t="s">
        <v>222</v>
      </c>
    </row>
    <row r="1325" spans="1:5" hidden="1" x14ac:dyDescent="0.15">
      <c r="A1325" s="16"/>
      <c r="B1325" s="16"/>
      <c r="C1325" s="16"/>
      <c r="D1325" s="4" t="s">
        <v>233</v>
      </c>
      <c r="E1325" s="4" t="s">
        <v>222</v>
      </c>
    </row>
    <row r="1326" spans="1:5" ht="26" hidden="1" x14ac:dyDescent="0.15">
      <c r="A1326" s="1" t="s">
        <v>235</v>
      </c>
      <c r="B1326" s="2">
        <v>190982</v>
      </c>
      <c r="C1326" s="3">
        <v>0.05</v>
      </c>
      <c r="D1326" s="4" t="s">
        <v>233</v>
      </c>
      <c r="E1326" s="4" t="s">
        <v>222</v>
      </c>
    </row>
    <row r="1327" spans="1:5" hidden="1" x14ac:dyDescent="0.15">
      <c r="A1327" s="4"/>
      <c r="B1327" s="4"/>
      <c r="C1327" s="4"/>
      <c r="D1327" s="4" t="s">
        <v>233</v>
      </c>
      <c r="E1327" s="4" t="s">
        <v>222</v>
      </c>
    </row>
    <row r="1328" spans="1:5" hidden="1" x14ac:dyDescent="0.15">
      <c r="A1328" s="16"/>
      <c r="B1328" s="16"/>
      <c r="C1328" s="16"/>
      <c r="D1328" s="4" t="s">
        <v>233</v>
      </c>
      <c r="E1328" s="4" t="s">
        <v>222</v>
      </c>
    </row>
    <row r="1329" spans="1:5" hidden="1" x14ac:dyDescent="0.15">
      <c r="A1329" s="1" t="s">
        <v>224</v>
      </c>
      <c r="B1329" s="2">
        <v>2019529</v>
      </c>
      <c r="C1329" s="3">
        <v>0.52900000000000003</v>
      </c>
      <c r="D1329" s="4" t="s">
        <v>233</v>
      </c>
      <c r="E1329" s="4" t="s">
        <v>222</v>
      </c>
    </row>
    <row r="1330" spans="1:5" hidden="1" x14ac:dyDescent="0.15">
      <c r="A1330" s="4"/>
      <c r="B1330" s="4"/>
      <c r="C1330" s="4"/>
      <c r="D1330" s="4" t="s">
        <v>233</v>
      </c>
      <c r="E1330" s="4" t="s">
        <v>222</v>
      </c>
    </row>
    <row r="1331" spans="1:5" hidden="1" x14ac:dyDescent="0.15">
      <c r="A1331" s="16"/>
      <c r="B1331" s="16"/>
      <c r="C1331" s="16"/>
      <c r="D1331" s="4" t="s">
        <v>233</v>
      </c>
      <c r="E1331" s="4" t="s">
        <v>222</v>
      </c>
    </row>
    <row r="1332" spans="1:5" ht="26" hidden="1" x14ac:dyDescent="0.15">
      <c r="A1332" s="1" t="s">
        <v>236</v>
      </c>
      <c r="B1332" s="2">
        <v>294003</v>
      </c>
      <c r="C1332" s="3">
        <v>7.6999999999999999E-2</v>
      </c>
      <c r="D1332" s="4" t="s">
        <v>233</v>
      </c>
      <c r="E1332" s="4" t="s">
        <v>222</v>
      </c>
    </row>
    <row r="1333" spans="1:5" ht="52" hidden="1" x14ac:dyDescent="0.15">
      <c r="A1333" s="1" t="s">
        <v>237</v>
      </c>
      <c r="B1333" s="2">
        <v>680549</v>
      </c>
      <c r="C1333" s="3">
        <v>0.17800000000000002</v>
      </c>
      <c r="D1333" s="4" t="s">
        <v>233</v>
      </c>
      <c r="E1333" s="4" t="s">
        <v>222</v>
      </c>
    </row>
    <row r="1334" spans="1:5" ht="39" hidden="1" x14ac:dyDescent="0.15">
      <c r="A1334" s="1" t="s">
        <v>225</v>
      </c>
      <c r="B1334" s="2">
        <v>1059521</v>
      </c>
      <c r="C1334" s="3">
        <v>0.27800000000000002</v>
      </c>
      <c r="D1334" s="4" t="s">
        <v>233</v>
      </c>
      <c r="E1334" s="4" t="s">
        <v>222</v>
      </c>
    </row>
    <row r="1335" spans="1:5" ht="26" hidden="1" x14ac:dyDescent="0.15">
      <c r="A1335" s="1" t="s">
        <v>238</v>
      </c>
      <c r="B1335" s="2">
        <v>375552</v>
      </c>
      <c r="C1335" s="3">
        <v>9.8000000000000004E-2</v>
      </c>
      <c r="D1335" s="4" t="s">
        <v>233</v>
      </c>
      <c r="E1335" s="4" t="s">
        <v>222</v>
      </c>
    </row>
    <row r="1336" spans="1:5" ht="26" hidden="1" x14ac:dyDescent="0.15">
      <c r="A1336" s="1" t="s">
        <v>239</v>
      </c>
      <c r="B1336" s="2">
        <v>619938</v>
      </c>
      <c r="C1336" s="3">
        <v>0.16200000000000001</v>
      </c>
      <c r="D1336" s="4" t="s">
        <v>233</v>
      </c>
      <c r="E1336" s="4" t="s">
        <v>222</v>
      </c>
    </row>
    <row r="1337" spans="1:5" hidden="1" x14ac:dyDescent="0.15">
      <c r="A1337" s="1" t="s">
        <v>0</v>
      </c>
      <c r="B1337" s="2">
        <v>5803464</v>
      </c>
      <c r="C1337" s="3">
        <v>1</v>
      </c>
      <c r="D1337" s="4" t="s">
        <v>240</v>
      </c>
      <c r="E1337" s="4" t="s">
        <v>241</v>
      </c>
    </row>
    <row r="1338" spans="1:5" ht="26" hidden="1" x14ac:dyDescent="0.15">
      <c r="A1338" s="1" t="s">
        <v>3</v>
      </c>
      <c r="B1338" s="2">
        <v>46207</v>
      </c>
      <c r="C1338" s="3">
        <v>8.0000000000000002E-3</v>
      </c>
      <c r="D1338" s="4" t="s">
        <v>240</v>
      </c>
      <c r="E1338" s="4" t="s">
        <v>241</v>
      </c>
    </row>
    <row r="1339" spans="1:5" hidden="1" x14ac:dyDescent="0.15">
      <c r="A1339" s="1" t="s">
        <v>4</v>
      </c>
      <c r="B1339" s="2">
        <v>37797</v>
      </c>
      <c r="C1339" s="3">
        <v>6.9999999999999993E-3</v>
      </c>
      <c r="D1339" s="4" t="s">
        <v>240</v>
      </c>
      <c r="E1339" s="4" t="s">
        <v>241</v>
      </c>
    </row>
    <row r="1340" spans="1:5" ht="26" hidden="1" x14ac:dyDescent="0.15">
      <c r="A1340" s="1" t="s">
        <v>5</v>
      </c>
      <c r="B1340" s="2">
        <v>115610</v>
      </c>
      <c r="C1340" s="3">
        <v>0.02</v>
      </c>
      <c r="D1340" s="4" t="s">
        <v>240</v>
      </c>
      <c r="E1340" s="4" t="s">
        <v>241</v>
      </c>
    </row>
    <row r="1341" spans="1:5" ht="26" hidden="1" x14ac:dyDescent="0.15">
      <c r="A1341" s="1" t="s">
        <v>6</v>
      </c>
      <c r="B1341" s="2">
        <v>303944</v>
      </c>
      <c r="C1341" s="3">
        <v>5.2000000000000005E-2</v>
      </c>
      <c r="D1341" s="4" t="s">
        <v>240</v>
      </c>
      <c r="E1341" s="4" t="s">
        <v>241</v>
      </c>
    </row>
    <row r="1342" spans="1:5" ht="26" hidden="1" x14ac:dyDescent="0.15">
      <c r="A1342" s="1" t="s">
        <v>7</v>
      </c>
      <c r="B1342" s="2">
        <v>497813</v>
      </c>
      <c r="C1342" s="3">
        <v>8.5999999999999993E-2</v>
      </c>
      <c r="D1342" s="4" t="s">
        <v>240</v>
      </c>
      <c r="E1342" s="4" t="s">
        <v>241</v>
      </c>
    </row>
    <row r="1343" spans="1:5" ht="26" hidden="1" x14ac:dyDescent="0.15">
      <c r="A1343" s="1" t="s">
        <v>8</v>
      </c>
      <c r="B1343" s="2">
        <v>25914</v>
      </c>
      <c r="C1343" s="3">
        <v>4.0000000000000001E-3</v>
      </c>
      <c r="D1343" s="4" t="s">
        <v>240</v>
      </c>
      <c r="E1343" s="4" t="s">
        <v>241</v>
      </c>
    </row>
    <row r="1344" spans="1:5" ht="26" hidden="1" x14ac:dyDescent="0.15">
      <c r="A1344" s="1" t="s">
        <v>9</v>
      </c>
      <c r="B1344" s="2">
        <v>313792</v>
      </c>
      <c r="C1344" s="3">
        <v>5.4000000000000006E-2</v>
      </c>
      <c r="D1344" s="4" t="s">
        <v>240</v>
      </c>
      <c r="E1344" s="4" t="s">
        <v>241</v>
      </c>
    </row>
    <row r="1345" spans="1:5" ht="26" hidden="1" x14ac:dyDescent="0.15">
      <c r="A1345" s="1" t="s">
        <v>10</v>
      </c>
      <c r="B1345" s="2">
        <v>148065</v>
      </c>
      <c r="C1345" s="3">
        <v>2.6000000000000002E-2</v>
      </c>
      <c r="D1345" s="4" t="s">
        <v>240</v>
      </c>
      <c r="E1345" s="4" t="s">
        <v>241</v>
      </c>
    </row>
    <row r="1346" spans="1:5" ht="26" hidden="1" x14ac:dyDescent="0.15">
      <c r="A1346" s="1" t="s">
        <v>11</v>
      </c>
      <c r="B1346" s="2">
        <v>398782</v>
      </c>
      <c r="C1346" s="3">
        <v>6.9000000000000006E-2</v>
      </c>
      <c r="D1346" s="4" t="s">
        <v>240</v>
      </c>
      <c r="E1346" s="4" t="s">
        <v>241</v>
      </c>
    </row>
    <row r="1347" spans="1:5" ht="26" hidden="1" x14ac:dyDescent="0.15">
      <c r="A1347" s="1" t="s">
        <v>12</v>
      </c>
      <c r="B1347" s="2">
        <v>140494</v>
      </c>
      <c r="C1347" s="3">
        <v>2.4E-2</v>
      </c>
      <c r="D1347" s="4" t="s">
        <v>240</v>
      </c>
      <c r="E1347" s="4" t="s">
        <v>241</v>
      </c>
    </row>
    <row r="1348" spans="1:5" ht="26" hidden="1" x14ac:dyDescent="0.15">
      <c r="A1348" s="1" t="s">
        <v>13</v>
      </c>
      <c r="B1348" s="2">
        <v>79826</v>
      </c>
      <c r="C1348" s="3">
        <v>1.3999999999999999E-2</v>
      </c>
      <c r="D1348" s="4" t="s">
        <v>240</v>
      </c>
      <c r="E1348" s="4" t="s">
        <v>241</v>
      </c>
    </row>
    <row r="1349" spans="1:5" hidden="1" x14ac:dyDescent="0.15">
      <c r="A1349" s="1" t="s">
        <v>14</v>
      </c>
      <c r="B1349" s="2">
        <v>481965</v>
      </c>
      <c r="C1349" s="3">
        <v>8.3000000000000004E-2</v>
      </c>
      <c r="D1349" s="4" t="s">
        <v>240</v>
      </c>
      <c r="E1349" s="4" t="s">
        <v>241</v>
      </c>
    </row>
    <row r="1350" spans="1:5" ht="26" hidden="1" x14ac:dyDescent="0.15">
      <c r="A1350" s="1" t="s">
        <v>15</v>
      </c>
      <c r="B1350" s="2">
        <v>152510</v>
      </c>
      <c r="C1350" s="3">
        <v>2.6000000000000002E-2</v>
      </c>
      <c r="D1350" s="4" t="s">
        <v>240</v>
      </c>
      <c r="E1350" s="4" t="s">
        <v>241</v>
      </c>
    </row>
    <row r="1351" spans="1:5" ht="26" hidden="1" x14ac:dyDescent="0.15">
      <c r="A1351" s="1" t="s">
        <v>16</v>
      </c>
      <c r="B1351" s="2">
        <v>140343</v>
      </c>
      <c r="C1351" s="3">
        <v>2.4E-2</v>
      </c>
      <c r="D1351" s="4" t="s">
        <v>240</v>
      </c>
      <c r="E1351" s="4" t="s">
        <v>241</v>
      </c>
    </row>
    <row r="1352" spans="1:5" ht="26" hidden="1" x14ac:dyDescent="0.15">
      <c r="A1352" s="1" t="s">
        <v>17</v>
      </c>
      <c r="B1352" s="2">
        <v>108577</v>
      </c>
      <c r="C1352" s="3">
        <v>1.9E-2</v>
      </c>
      <c r="D1352" s="4" t="s">
        <v>240</v>
      </c>
      <c r="E1352" s="4" t="s">
        <v>241</v>
      </c>
    </row>
    <row r="1353" spans="1:5" hidden="1" x14ac:dyDescent="0.15">
      <c r="A1353" s="1" t="s">
        <v>18</v>
      </c>
      <c r="B1353" s="2">
        <v>67079</v>
      </c>
      <c r="C1353" s="3">
        <v>1.2E-2</v>
      </c>
      <c r="D1353" s="4" t="s">
        <v>240</v>
      </c>
      <c r="E1353" s="4" t="s">
        <v>241</v>
      </c>
    </row>
    <row r="1354" spans="1:5" hidden="1" x14ac:dyDescent="0.15">
      <c r="A1354" s="1" t="s">
        <v>19</v>
      </c>
      <c r="B1354" s="2">
        <v>1385235</v>
      </c>
      <c r="C1354" s="3">
        <v>0.23899999999999999</v>
      </c>
      <c r="D1354" s="4" t="s">
        <v>240</v>
      </c>
      <c r="E1354" s="4" t="s">
        <v>241</v>
      </c>
    </row>
    <row r="1355" spans="1:5" hidden="1" x14ac:dyDescent="0.15">
      <c r="A1355" s="1" t="s">
        <v>20</v>
      </c>
      <c r="B1355" s="2">
        <v>195659</v>
      </c>
      <c r="C1355" s="3">
        <v>3.4000000000000002E-2</v>
      </c>
      <c r="D1355" s="4" t="s">
        <v>240</v>
      </c>
      <c r="E1355" s="4" t="s">
        <v>241</v>
      </c>
    </row>
    <row r="1356" spans="1:5" ht="26" hidden="1" x14ac:dyDescent="0.15">
      <c r="A1356" s="1" t="s">
        <v>21</v>
      </c>
      <c r="B1356" s="2">
        <v>210159</v>
      </c>
      <c r="C1356" s="3">
        <v>3.6000000000000004E-2</v>
      </c>
      <c r="D1356" s="4" t="s">
        <v>240</v>
      </c>
      <c r="E1356" s="4" t="s">
        <v>241</v>
      </c>
    </row>
    <row r="1357" spans="1:5" ht="26" hidden="1" x14ac:dyDescent="0.15">
      <c r="A1357" s="1" t="s">
        <v>22</v>
      </c>
      <c r="B1357" s="2">
        <v>212072</v>
      </c>
      <c r="C1357" s="3">
        <v>3.7000000000000005E-2</v>
      </c>
      <c r="D1357" s="4" t="s">
        <v>240</v>
      </c>
      <c r="E1357" s="4" t="s">
        <v>241</v>
      </c>
    </row>
    <row r="1358" spans="1:5" ht="26" hidden="1" x14ac:dyDescent="0.15">
      <c r="A1358" s="1" t="s">
        <v>23</v>
      </c>
      <c r="B1358" s="2">
        <v>79691</v>
      </c>
      <c r="C1358" s="3">
        <v>1.3999999999999999E-2</v>
      </c>
      <c r="D1358" s="4" t="s">
        <v>240</v>
      </c>
      <c r="E1358" s="4" t="s">
        <v>241</v>
      </c>
    </row>
    <row r="1359" spans="1:5" ht="26" hidden="1" x14ac:dyDescent="0.15">
      <c r="A1359" s="1" t="s">
        <v>24</v>
      </c>
      <c r="B1359" s="2">
        <v>16870</v>
      </c>
      <c r="C1359" s="3">
        <v>3.0000000000000001E-3</v>
      </c>
      <c r="D1359" s="4" t="s">
        <v>240</v>
      </c>
      <c r="E1359" s="4" t="s">
        <v>241</v>
      </c>
    </row>
    <row r="1360" spans="1:5" ht="26" hidden="1" x14ac:dyDescent="0.15">
      <c r="A1360" s="1" t="s">
        <v>25</v>
      </c>
      <c r="B1360" s="2">
        <v>68449</v>
      </c>
      <c r="C1360" s="3">
        <v>1.2E-2</v>
      </c>
      <c r="D1360" s="4" t="s">
        <v>240</v>
      </c>
      <c r="E1360" s="4" t="s">
        <v>241</v>
      </c>
    </row>
    <row r="1361" spans="1:5" hidden="1" x14ac:dyDescent="0.15">
      <c r="A1361" s="1" t="s">
        <v>26</v>
      </c>
      <c r="B1361" s="2">
        <v>59679</v>
      </c>
      <c r="C1361" s="3">
        <v>0.01</v>
      </c>
      <c r="D1361" s="4" t="s">
        <v>240</v>
      </c>
      <c r="E1361" s="4" t="s">
        <v>241</v>
      </c>
    </row>
    <row r="1362" spans="1:5" hidden="1" x14ac:dyDescent="0.15">
      <c r="A1362" s="1" t="s">
        <v>27</v>
      </c>
      <c r="B1362" s="2">
        <v>234021</v>
      </c>
      <c r="C1362" s="3">
        <v>0.04</v>
      </c>
      <c r="D1362" s="4" t="s">
        <v>240</v>
      </c>
      <c r="E1362" s="4" t="s">
        <v>241</v>
      </c>
    </row>
    <row r="1363" spans="1:5" hidden="1" x14ac:dyDescent="0.15">
      <c r="A1363" s="1" t="s">
        <v>28</v>
      </c>
      <c r="B1363" s="2">
        <v>443898</v>
      </c>
      <c r="C1363" s="3">
        <v>7.5999999999999998E-2</v>
      </c>
      <c r="D1363" s="4" t="s">
        <v>240</v>
      </c>
      <c r="E1363" s="4" t="s">
        <v>241</v>
      </c>
    </row>
    <row r="1364" spans="1:5" hidden="1" x14ac:dyDescent="0.15">
      <c r="A1364" s="1" t="s">
        <v>29</v>
      </c>
      <c r="B1364" s="2">
        <v>1434160</v>
      </c>
      <c r="C1364" s="3">
        <v>0.247</v>
      </c>
      <c r="D1364" s="4" t="s">
        <v>240</v>
      </c>
      <c r="E1364" s="4" t="s">
        <v>241</v>
      </c>
    </row>
    <row r="1365" spans="1:5" hidden="1" x14ac:dyDescent="0.15">
      <c r="A1365" s="1" t="s">
        <v>30</v>
      </c>
      <c r="B1365" s="2">
        <v>248772</v>
      </c>
      <c r="C1365" s="3">
        <v>4.2999999999999997E-2</v>
      </c>
      <c r="D1365" s="4" t="s">
        <v>240</v>
      </c>
      <c r="E1365" s="4" t="s">
        <v>241</v>
      </c>
    </row>
    <row r="1366" spans="1:5" ht="39" hidden="1" x14ac:dyDescent="0.15">
      <c r="A1366" s="1" t="s">
        <v>31</v>
      </c>
      <c r="B1366" s="2">
        <v>25036</v>
      </c>
      <c r="C1366" s="3">
        <v>4.0000000000000001E-3</v>
      </c>
      <c r="D1366" s="4" t="s">
        <v>240</v>
      </c>
      <c r="E1366" s="4" t="s">
        <v>241</v>
      </c>
    </row>
    <row r="1367" spans="1:5" hidden="1" x14ac:dyDescent="0.15">
      <c r="A1367" s="1" t="s">
        <v>32</v>
      </c>
      <c r="B1367" s="2">
        <v>112825</v>
      </c>
      <c r="C1367" s="3">
        <v>1.9E-2</v>
      </c>
      <c r="D1367" s="4" t="s">
        <v>240</v>
      </c>
      <c r="E1367" s="4" t="s">
        <v>241</v>
      </c>
    </row>
    <row r="1368" spans="1:5" hidden="1" x14ac:dyDescent="0.15">
      <c r="A1368" s="1" t="s">
        <v>33</v>
      </c>
      <c r="B1368" s="2">
        <v>1712414</v>
      </c>
      <c r="C1368" s="3">
        <v>0.29499999999999998</v>
      </c>
      <c r="D1368" s="4" t="s">
        <v>240</v>
      </c>
      <c r="E1368" s="4" t="s">
        <v>241</v>
      </c>
    </row>
    <row r="1369" spans="1:5" hidden="1" x14ac:dyDescent="0.15">
      <c r="A1369" s="1" t="s">
        <v>34</v>
      </c>
      <c r="B1369" s="2">
        <v>352861</v>
      </c>
      <c r="C1369" s="3">
        <v>6.0999999999999999E-2</v>
      </c>
      <c r="D1369" s="4" t="s">
        <v>240</v>
      </c>
      <c r="E1369" s="4" t="s">
        <v>241</v>
      </c>
    </row>
    <row r="1370" spans="1:5" hidden="1" x14ac:dyDescent="0.15">
      <c r="A1370" s="1" t="s">
        <v>35</v>
      </c>
      <c r="B1370" s="2">
        <v>281078</v>
      </c>
      <c r="C1370" s="3">
        <v>4.8000000000000001E-2</v>
      </c>
      <c r="D1370" s="4" t="s">
        <v>240</v>
      </c>
      <c r="E1370" s="4" t="s">
        <v>241</v>
      </c>
    </row>
    <row r="1371" spans="1:5" ht="26" hidden="1" x14ac:dyDescent="0.15">
      <c r="A1371" s="1" t="s">
        <v>36</v>
      </c>
      <c r="B1371" s="2">
        <v>83025</v>
      </c>
      <c r="C1371" s="3">
        <v>1.3999999999999999E-2</v>
      </c>
      <c r="D1371" s="4" t="s">
        <v>240</v>
      </c>
      <c r="E1371" s="4" t="s">
        <v>241</v>
      </c>
    </row>
    <row r="1372" spans="1:5" hidden="1" x14ac:dyDescent="0.15">
      <c r="A1372" s="1" t="s">
        <v>37</v>
      </c>
      <c r="B1372" s="2">
        <v>64061</v>
      </c>
      <c r="C1372" s="3">
        <v>1.1000000000000001E-2</v>
      </c>
      <c r="D1372" s="4" t="s">
        <v>240</v>
      </c>
      <c r="E1372" s="4" t="s">
        <v>241</v>
      </c>
    </row>
    <row r="1373" spans="1:5" ht="39" hidden="1" x14ac:dyDescent="0.15">
      <c r="A1373" s="1" t="s">
        <v>38</v>
      </c>
      <c r="B1373" s="2">
        <v>66103</v>
      </c>
      <c r="C1373" s="3">
        <v>1.1000000000000001E-2</v>
      </c>
      <c r="D1373" s="4" t="s">
        <v>240</v>
      </c>
      <c r="E1373" s="4" t="s">
        <v>241</v>
      </c>
    </row>
    <row r="1374" spans="1:5" hidden="1" x14ac:dyDescent="0.15">
      <c r="A1374" s="1" t="s">
        <v>39</v>
      </c>
      <c r="B1374" s="2">
        <v>219226</v>
      </c>
      <c r="C1374" s="3">
        <v>3.7999999999999999E-2</v>
      </c>
      <c r="D1374" s="4" t="s">
        <v>240</v>
      </c>
      <c r="E1374" s="4" t="s">
        <v>241</v>
      </c>
    </row>
    <row r="1375" spans="1:5" hidden="1" x14ac:dyDescent="0.15">
      <c r="A1375" s="1" t="s">
        <v>40</v>
      </c>
      <c r="B1375" s="2">
        <v>54380</v>
      </c>
      <c r="C1375" s="3">
        <v>9.0000000000000011E-3</v>
      </c>
      <c r="D1375" s="4" t="s">
        <v>240</v>
      </c>
      <c r="E1375" s="4" t="s">
        <v>241</v>
      </c>
    </row>
    <row r="1376" spans="1:5" hidden="1" x14ac:dyDescent="0.15">
      <c r="A1376" s="1" t="s">
        <v>41</v>
      </c>
      <c r="B1376" s="2">
        <v>171588</v>
      </c>
      <c r="C1376" s="3">
        <v>0.03</v>
      </c>
      <c r="D1376" s="4" t="s">
        <v>240</v>
      </c>
      <c r="E1376" s="4" t="s">
        <v>241</v>
      </c>
    </row>
    <row r="1377" spans="1:5" hidden="1" x14ac:dyDescent="0.15">
      <c r="A1377" s="1" t="s">
        <v>42</v>
      </c>
      <c r="B1377" s="2">
        <v>103072</v>
      </c>
      <c r="C1377" s="3">
        <v>1.8000000000000002E-2</v>
      </c>
      <c r="D1377" s="4" t="s">
        <v>240</v>
      </c>
      <c r="E1377" s="4" t="s">
        <v>241</v>
      </c>
    </row>
    <row r="1378" spans="1:5" hidden="1" x14ac:dyDescent="0.15">
      <c r="A1378" s="1" t="s">
        <v>43</v>
      </c>
      <c r="B1378" s="2">
        <v>432550</v>
      </c>
      <c r="C1378" s="3">
        <v>7.4999999999999997E-2</v>
      </c>
      <c r="D1378" s="4" t="s">
        <v>240</v>
      </c>
      <c r="E1378" s="4" t="s">
        <v>241</v>
      </c>
    </row>
    <row r="1379" spans="1:5" ht="26" hidden="1" x14ac:dyDescent="0.15">
      <c r="A1379" s="1" t="s">
        <v>44</v>
      </c>
      <c r="B1379" s="2">
        <v>554290</v>
      </c>
      <c r="C1379" s="3">
        <v>9.6000000000000002E-2</v>
      </c>
      <c r="D1379" s="4" t="s">
        <v>240</v>
      </c>
      <c r="E1379" s="4" t="s">
        <v>241</v>
      </c>
    </row>
    <row r="1380" spans="1:5" hidden="1" x14ac:dyDescent="0.15">
      <c r="A1380" s="1" t="s">
        <v>45</v>
      </c>
      <c r="B1380" s="2">
        <v>833443</v>
      </c>
      <c r="C1380" s="3">
        <v>0.14400000000000002</v>
      </c>
      <c r="D1380" s="4" t="s">
        <v>240</v>
      </c>
      <c r="E1380" s="4" t="s">
        <v>241</v>
      </c>
    </row>
    <row r="1381" spans="1:5" ht="26" hidden="1" x14ac:dyDescent="0.15">
      <c r="A1381" s="1" t="s">
        <v>46</v>
      </c>
      <c r="B1381" s="2">
        <v>1440929</v>
      </c>
      <c r="C1381" s="3">
        <v>0.248</v>
      </c>
      <c r="D1381" s="4" t="s">
        <v>240</v>
      </c>
      <c r="E1381" s="4" t="s">
        <v>241</v>
      </c>
    </row>
    <row r="1382" spans="1:5" hidden="1" x14ac:dyDescent="0.15">
      <c r="A1382" s="1" t="s">
        <v>47</v>
      </c>
      <c r="B1382" s="2">
        <v>1872247</v>
      </c>
      <c r="C1382" s="3">
        <v>0.32299999999999995</v>
      </c>
      <c r="D1382" s="4" t="s">
        <v>240</v>
      </c>
      <c r="E1382" s="4" t="s">
        <v>241</v>
      </c>
    </row>
    <row r="1383" spans="1:5" hidden="1" x14ac:dyDescent="0.15">
      <c r="A1383" s="1" t="s">
        <v>48</v>
      </c>
      <c r="B1383" s="2">
        <v>312988</v>
      </c>
      <c r="C1383" s="3">
        <v>5.4000000000000006E-2</v>
      </c>
      <c r="D1383" s="4" t="s">
        <v>240</v>
      </c>
      <c r="E1383" s="4" t="s">
        <v>241</v>
      </c>
    </row>
    <row r="1384" spans="1:5" hidden="1" x14ac:dyDescent="0.15">
      <c r="A1384" s="1" t="s">
        <v>49</v>
      </c>
      <c r="B1384" s="2">
        <v>1084321</v>
      </c>
      <c r="C1384" s="3">
        <v>0.187</v>
      </c>
      <c r="D1384" s="4" t="s">
        <v>240</v>
      </c>
      <c r="E1384" s="4" t="s">
        <v>241</v>
      </c>
    </row>
    <row r="1385" spans="1:5" ht="26" hidden="1" x14ac:dyDescent="0.15">
      <c r="A1385" s="1" t="s">
        <v>50</v>
      </c>
      <c r="B1385" s="2">
        <v>976826</v>
      </c>
      <c r="C1385" s="3">
        <v>0.16800000000000001</v>
      </c>
      <c r="D1385" s="4" t="s">
        <v>240</v>
      </c>
      <c r="E1385" s="4" t="s">
        <v>241</v>
      </c>
    </row>
    <row r="1386" spans="1:5" hidden="1" x14ac:dyDescent="0.15">
      <c r="A1386" s="1" t="s">
        <v>51</v>
      </c>
      <c r="B1386" s="2">
        <v>1853927</v>
      </c>
      <c r="C1386" s="3">
        <v>0.31900000000000001</v>
      </c>
      <c r="D1386" s="4" t="s">
        <v>240</v>
      </c>
      <c r="E1386" s="4" t="s">
        <v>241</v>
      </c>
    </row>
    <row r="1387" spans="1:5" hidden="1" x14ac:dyDescent="0.15">
      <c r="A1387" s="1" t="s">
        <v>52</v>
      </c>
      <c r="B1387" s="2">
        <v>785161</v>
      </c>
      <c r="C1387" s="3">
        <v>0.13500000000000001</v>
      </c>
      <c r="D1387" s="4" t="s">
        <v>240</v>
      </c>
      <c r="E1387" s="4" t="s">
        <v>241</v>
      </c>
    </row>
    <row r="1388" spans="1:5" ht="26" hidden="1" x14ac:dyDescent="0.15">
      <c r="A1388" s="1" t="s">
        <v>53</v>
      </c>
      <c r="B1388" s="2">
        <v>480203</v>
      </c>
      <c r="C1388" s="3">
        <v>8.3000000000000004E-2</v>
      </c>
      <c r="D1388" s="4" t="s">
        <v>240</v>
      </c>
      <c r="E1388" s="4" t="s">
        <v>241</v>
      </c>
    </row>
    <row r="1389" spans="1:5" hidden="1" x14ac:dyDescent="0.15">
      <c r="A1389" s="1" t="s">
        <v>54</v>
      </c>
      <c r="B1389" s="2">
        <v>2051674</v>
      </c>
      <c r="C1389" s="3">
        <v>0.35399999999999998</v>
      </c>
      <c r="D1389" s="4" t="s">
        <v>240</v>
      </c>
      <c r="E1389" s="4" t="s">
        <v>241</v>
      </c>
    </row>
    <row r="1390" spans="1:5" ht="26" hidden="1" x14ac:dyDescent="0.15">
      <c r="A1390" s="1" t="s">
        <v>55</v>
      </c>
      <c r="B1390" s="2">
        <v>1044382</v>
      </c>
      <c r="C1390" s="3">
        <v>0.18</v>
      </c>
      <c r="D1390" s="4" t="s">
        <v>240</v>
      </c>
      <c r="E1390" s="4" t="s">
        <v>241</v>
      </c>
    </row>
    <row r="1391" spans="1:5" hidden="1" x14ac:dyDescent="0.15">
      <c r="A1391" s="1" t="s">
        <v>56</v>
      </c>
      <c r="B1391" s="2">
        <v>1079154</v>
      </c>
      <c r="C1391" s="3">
        <v>0.18600000000000003</v>
      </c>
      <c r="D1391" s="4" t="s">
        <v>240</v>
      </c>
      <c r="E1391" s="4" t="s">
        <v>241</v>
      </c>
    </row>
    <row r="1392" spans="1:5" hidden="1" x14ac:dyDescent="0.15">
      <c r="A1392" s="1" t="s">
        <v>57</v>
      </c>
      <c r="B1392" s="2">
        <v>782861</v>
      </c>
      <c r="C1392" s="3">
        <v>0.13500000000000001</v>
      </c>
      <c r="D1392" s="4" t="s">
        <v>240</v>
      </c>
      <c r="E1392" s="4" t="s">
        <v>241</v>
      </c>
    </row>
    <row r="1393" spans="1:5" hidden="1" x14ac:dyDescent="0.15">
      <c r="A1393" s="1" t="s">
        <v>58</v>
      </c>
      <c r="B1393" s="2">
        <v>700111</v>
      </c>
      <c r="C1393" s="3">
        <v>0.121</v>
      </c>
      <c r="D1393" s="4" t="s">
        <v>240</v>
      </c>
      <c r="E1393" s="4" t="s">
        <v>241</v>
      </c>
    </row>
    <row r="1394" spans="1:5" hidden="1" x14ac:dyDescent="0.15">
      <c r="A1394" s="1" t="s">
        <v>59</v>
      </c>
      <c r="B1394" s="2">
        <v>3416596</v>
      </c>
      <c r="C1394" s="3">
        <v>0.58899999999999997</v>
      </c>
      <c r="D1394" s="4" t="s">
        <v>240</v>
      </c>
      <c r="E1394" s="4" t="s">
        <v>241</v>
      </c>
    </row>
    <row r="1395" spans="1:5" hidden="1" x14ac:dyDescent="0.15">
      <c r="A1395" s="1" t="s">
        <v>60</v>
      </c>
      <c r="B1395" s="2">
        <v>1186633</v>
      </c>
      <c r="C1395" s="3">
        <v>0.20399999999999999</v>
      </c>
      <c r="D1395" s="4" t="s">
        <v>240</v>
      </c>
      <c r="E1395" s="4" t="s">
        <v>241</v>
      </c>
    </row>
    <row r="1396" spans="1:5" ht="26" hidden="1" x14ac:dyDescent="0.15">
      <c r="A1396" s="1" t="s">
        <v>61</v>
      </c>
      <c r="B1396" s="2">
        <v>1168016</v>
      </c>
      <c r="C1396" s="3">
        <v>0.20100000000000001</v>
      </c>
      <c r="D1396" s="4" t="s">
        <v>240</v>
      </c>
      <c r="E1396" s="4" t="s">
        <v>241</v>
      </c>
    </row>
    <row r="1397" spans="1:5" hidden="1" x14ac:dyDescent="0.15">
      <c r="A1397" s="1" t="s">
        <v>62</v>
      </c>
      <c r="B1397" s="2">
        <v>780721</v>
      </c>
      <c r="C1397" s="3">
        <v>0.13500000000000001</v>
      </c>
      <c r="D1397" s="4" t="s">
        <v>240</v>
      </c>
      <c r="E1397" s="4" t="s">
        <v>241</v>
      </c>
    </row>
    <row r="1398" spans="1:5" ht="26" hidden="1" x14ac:dyDescent="0.15">
      <c r="A1398" s="1" t="s">
        <v>63</v>
      </c>
      <c r="B1398" s="2">
        <v>785888</v>
      </c>
      <c r="C1398" s="3">
        <v>0.13500000000000001</v>
      </c>
      <c r="D1398" s="4" t="s">
        <v>240</v>
      </c>
      <c r="E1398" s="4" t="s">
        <v>241</v>
      </c>
    </row>
    <row r="1399" spans="1:5" ht="26" hidden="1" x14ac:dyDescent="0.15">
      <c r="A1399" s="1" t="s">
        <v>64</v>
      </c>
      <c r="B1399" s="2">
        <v>231093</v>
      </c>
      <c r="C1399" s="3">
        <v>0.04</v>
      </c>
      <c r="D1399" s="4" t="s">
        <v>240</v>
      </c>
      <c r="E1399" s="4" t="s">
        <v>241</v>
      </c>
    </row>
    <row r="1400" spans="1:5" hidden="1" x14ac:dyDescent="0.15">
      <c r="A1400" s="1" t="s">
        <v>65</v>
      </c>
      <c r="B1400" s="2">
        <v>609082</v>
      </c>
      <c r="C1400" s="3">
        <v>0.105</v>
      </c>
      <c r="D1400" s="4" t="s">
        <v>240</v>
      </c>
      <c r="E1400" s="4" t="s">
        <v>241</v>
      </c>
    </row>
    <row r="1401" spans="1:5" hidden="1" x14ac:dyDescent="0.15">
      <c r="A1401" s="1" t="s">
        <v>66</v>
      </c>
      <c r="B1401" s="2">
        <v>400487</v>
      </c>
      <c r="C1401" s="3">
        <v>6.9000000000000006E-2</v>
      </c>
      <c r="D1401" s="4" t="s">
        <v>240</v>
      </c>
      <c r="E1401" s="4" t="s">
        <v>241</v>
      </c>
    </row>
    <row r="1402" spans="1:5" hidden="1" x14ac:dyDescent="0.15">
      <c r="A1402" s="1" t="s">
        <v>67</v>
      </c>
      <c r="B1402" s="2">
        <v>1083005</v>
      </c>
      <c r="C1402" s="3">
        <v>0.187</v>
      </c>
      <c r="D1402" s="4" t="s">
        <v>240</v>
      </c>
      <c r="E1402" s="4" t="s">
        <v>241</v>
      </c>
    </row>
    <row r="1403" spans="1:5" hidden="1" x14ac:dyDescent="0.15">
      <c r="A1403" s="1" t="s">
        <v>68</v>
      </c>
      <c r="B1403" s="2">
        <v>1983909</v>
      </c>
      <c r="C1403" s="3">
        <v>0.34200000000000003</v>
      </c>
      <c r="D1403" s="4" t="s">
        <v>240</v>
      </c>
      <c r="E1403" s="4" t="s">
        <v>241</v>
      </c>
    </row>
    <row r="1404" spans="1:5" hidden="1" x14ac:dyDescent="0.15">
      <c r="A1404" s="1" t="s">
        <v>69</v>
      </c>
      <c r="B1404" s="2">
        <v>3477521</v>
      </c>
      <c r="C1404" s="3">
        <v>0.59899999999999998</v>
      </c>
      <c r="D1404" s="4" t="s">
        <v>240</v>
      </c>
      <c r="E1404" s="4" t="s">
        <v>241</v>
      </c>
    </row>
    <row r="1405" spans="1:5" hidden="1" x14ac:dyDescent="0.15">
      <c r="A1405" s="1" t="s">
        <v>70</v>
      </c>
      <c r="B1405" s="2">
        <v>1518833</v>
      </c>
      <c r="C1405" s="3">
        <v>0.26200000000000001</v>
      </c>
      <c r="D1405" s="4" t="s">
        <v>240</v>
      </c>
      <c r="E1405" s="4" t="s">
        <v>241</v>
      </c>
    </row>
    <row r="1406" spans="1:5" ht="26" hidden="1" x14ac:dyDescent="0.15">
      <c r="A1406" s="1" t="s">
        <v>71</v>
      </c>
      <c r="B1406" s="2">
        <v>288276</v>
      </c>
      <c r="C1406" s="3">
        <v>0.05</v>
      </c>
      <c r="D1406" s="4" t="s">
        <v>240</v>
      </c>
      <c r="E1406" s="4" t="s">
        <v>241</v>
      </c>
    </row>
    <row r="1407" spans="1:5" hidden="1" x14ac:dyDescent="0.15">
      <c r="A1407" s="1" t="s">
        <v>72</v>
      </c>
      <c r="B1407" s="2">
        <v>614794</v>
      </c>
      <c r="C1407" s="3">
        <v>0.106</v>
      </c>
      <c r="D1407" s="4" t="s">
        <v>240</v>
      </c>
      <c r="E1407" s="4" t="s">
        <v>241</v>
      </c>
    </row>
    <row r="1408" spans="1:5" hidden="1" x14ac:dyDescent="0.15">
      <c r="A1408" s="1" t="s">
        <v>73</v>
      </c>
      <c r="B1408" s="2">
        <v>3733140</v>
      </c>
      <c r="C1408" s="3">
        <v>0.64300000000000002</v>
      </c>
      <c r="D1408" s="4" t="s">
        <v>240</v>
      </c>
      <c r="E1408" s="4" t="s">
        <v>241</v>
      </c>
    </row>
    <row r="1409" spans="1:5" hidden="1" x14ac:dyDescent="0.15">
      <c r="A1409" s="1" t="s">
        <v>74</v>
      </c>
      <c r="B1409" s="2">
        <v>1438311</v>
      </c>
      <c r="C1409" s="3">
        <v>0.248</v>
      </c>
      <c r="D1409" s="4" t="s">
        <v>240</v>
      </c>
      <c r="E1409" s="4" t="s">
        <v>241</v>
      </c>
    </row>
    <row r="1410" spans="1:5" hidden="1" x14ac:dyDescent="0.15">
      <c r="A1410" s="1" t="s">
        <v>75</v>
      </c>
      <c r="B1410" s="2">
        <v>1141438</v>
      </c>
      <c r="C1410" s="3">
        <v>0.19699999999999998</v>
      </c>
      <c r="D1410" s="4" t="s">
        <v>240</v>
      </c>
      <c r="E1410" s="4" t="s">
        <v>241</v>
      </c>
    </row>
    <row r="1411" spans="1:5" hidden="1" x14ac:dyDescent="0.15">
      <c r="A1411" s="1" t="s">
        <v>76</v>
      </c>
      <c r="B1411" s="2">
        <v>636328</v>
      </c>
      <c r="C1411" s="3">
        <v>0.11</v>
      </c>
      <c r="D1411" s="4" t="s">
        <v>240</v>
      </c>
      <c r="E1411" s="4" t="s">
        <v>241</v>
      </c>
    </row>
    <row r="1412" spans="1:5" hidden="1" x14ac:dyDescent="0.15">
      <c r="A1412" s="1" t="s">
        <v>77</v>
      </c>
      <c r="B1412" s="2">
        <v>589449</v>
      </c>
      <c r="C1412" s="3">
        <v>0.10199999999999999</v>
      </c>
      <c r="D1412" s="4" t="s">
        <v>240</v>
      </c>
      <c r="E1412" s="4" t="s">
        <v>241</v>
      </c>
    </row>
    <row r="1413" spans="1:5" ht="26" hidden="1" x14ac:dyDescent="0.15">
      <c r="A1413" s="1" t="s">
        <v>78</v>
      </c>
      <c r="B1413" s="2">
        <v>551289</v>
      </c>
      <c r="C1413" s="3">
        <v>9.5000000000000001E-2</v>
      </c>
      <c r="D1413" s="4" t="s">
        <v>240</v>
      </c>
      <c r="E1413" s="4" t="s">
        <v>241</v>
      </c>
    </row>
    <row r="1414" spans="1:5" hidden="1" x14ac:dyDescent="0.15">
      <c r="A1414" s="1" t="s">
        <v>79</v>
      </c>
      <c r="B1414" s="2">
        <v>887094</v>
      </c>
      <c r="C1414" s="3">
        <v>0.153</v>
      </c>
      <c r="D1414" s="4" t="s">
        <v>240</v>
      </c>
      <c r="E1414" s="4" t="s">
        <v>241</v>
      </c>
    </row>
    <row r="1415" spans="1:5" hidden="1" x14ac:dyDescent="0.15">
      <c r="A1415" s="1" t="s">
        <v>80</v>
      </c>
      <c r="B1415" s="2">
        <v>656184</v>
      </c>
      <c r="C1415" s="3">
        <v>0.113</v>
      </c>
      <c r="D1415" s="4" t="s">
        <v>240</v>
      </c>
      <c r="E1415" s="4" t="s">
        <v>241</v>
      </c>
    </row>
    <row r="1416" spans="1:5" ht="26" hidden="1" x14ac:dyDescent="0.15">
      <c r="A1416" s="1" t="s">
        <v>81</v>
      </c>
      <c r="B1416" s="2">
        <v>1156034</v>
      </c>
      <c r="C1416" s="3">
        <v>0.19899999999999998</v>
      </c>
      <c r="D1416" s="4" t="s">
        <v>240</v>
      </c>
      <c r="E1416" s="4" t="s">
        <v>241</v>
      </c>
    </row>
    <row r="1417" spans="1:5" hidden="1" x14ac:dyDescent="0.15">
      <c r="A1417" s="1" t="s">
        <v>82</v>
      </c>
      <c r="B1417" s="2">
        <v>451692</v>
      </c>
      <c r="C1417" s="3">
        <v>7.8E-2</v>
      </c>
      <c r="D1417" s="4" t="s">
        <v>240</v>
      </c>
      <c r="E1417" s="4" t="s">
        <v>241</v>
      </c>
    </row>
    <row r="1418" spans="1:5" hidden="1" x14ac:dyDescent="0.15">
      <c r="A1418" s="4"/>
      <c r="B1418" s="4"/>
      <c r="C1418" s="4"/>
      <c r="D1418" s="4" t="s">
        <v>240</v>
      </c>
      <c r="E1418" s="4" t="s">
        <v>241</v>
      </c>
    </row>
    <row r="1419" spans="1:5" hidden="1" x14ac:dyDescent="0.15">
      <c r="A1419" s="16"/>
      <c r="B1419" s="16"/>
      <c r="C1419" s="16"/>
      <c r="D1419" s="4" t="s">
        <v>240</v>
      </c>
      <c r="E1419" s="4" t="s">
        <v>241</v>
      </c>
    </row>
    <row r="1420" spans="1:5" ht="26" hidden="1" x14ac:dyDescent="0.15">
      <c r="A1420" s="1" t="s">
        <v>242</v>
      </c>
      <c r="B1420" s="2">
        <v>3170877</v>
      </c>
      <c r="C1420" s="3">
        <v>0.54600000000000004</v>
      </c>
      <c r="D1420" s="4" t="s">
        <v>240</v>
      </c>
      <c r="E1420" s="4" t="s">
        <v>241</v>
      </c>
    </row>
    <row r="1421" spans="1:5" ht="26" hidden="1" x14ac:dyDescent="0.15">
      <c r="A1421" s="1" t="s">
        <v>243</v>
      </c>
      <c r="B1421" s="2">
        <v>1936975</v>
      </c>
      <c r="C1421" s="3">
        <v>0.33399999999999996</v>
      </c>
      <c r="D1421" s="4" t="s">
        <v>240</v>
      </c>
      <c r="E1421" s="4" t="s">
        <v>241</v>
      </c>
    </row>
    <row r="1422" spans="1:5" hidden="1" x14ac:dyDescent="0.15">
      <c r="A1422" s="4"/>
      <c r="B1422" s="4"/>
      <c r="C1422" s="4"/>
      <c r="D1422" s="4" t="s">
        <v>240</v>
      </c>
      <c r="E1422" s="4" t="s">
        <v>241</v>
      </c>
    </row>
    <row r="1423" spans="1:5" hidden="1" x14ac:dyDescent="0.15">
      <c r="A1423" s="16"/>
      <c r="B1423" s="16"/>
      <c r="C1423" s="16"/>
      <c r="D1423" s="4" t="s">
        <v>240</v>
      </c>
      <c r="E1423" s="4" t="s">
        <v>241</v>
      </c>
    </row>
    <row r="1424" spans="1:5" ht="26" hidden="1" x14ac:dyDescent="0.15">
      <c r="A1424" s="1" t="s">
        <v>244</v>
      </c>
      <c r="B1424" s="2">
        <v>378319</v>
      </c>
      <c r="C1424" s="3">
        <v>6.5000000000000002E-2</v>
      </c>
      <c r="D1424" s="4" t="s">
        <v>240</v>
      </c>
      <c r="E1424" s="4" t="s">
        <v>241</v>
      </c>
    </row>
    <row r="1425" spans="1:5" hidden="1" x14ac:dyDescent="0.15">
      <c r="A1425" s="4"/>
      <c r="B1425" s="4"/>
      <c r="C1425" s="4"/>
      <c r="D1425" s="4" t="s">
        <v>240</v>
      </c>
      <c r="E1425" s="4" t="s">
        <v>241</v>
      </c>
    </row>
    <row r="1426" spans="1:5" hidden="1" x14ac:dyDescent="0.15">
      <c r="A1426" s="16"/>
      <c r="B1426" s="16"/>
      <c r="C1426" s="16"/>
      <c r="D1426" s="4" t="s">
        <v>240</v>
      </c>
      <c r="E1426" s="4" t="s">
        <v>241</v>
      </c>
    </row>
    <row r="1427" spans="1:5" hidden="1" x14ac:dyDescent="0.15">
      <c r="A1427" s="1" t="s">
        <v>245</v>
      </c>
      <c r="B1427" s="2">
        <v>1099303</v>
      </c>
      <c r="C1427" s="3">
        <v>0.18899999999999997</v>
      </c>
      <c r="D1427" s="4" t="s">
        <v>240</v>
      </c>
      <c r="E1427" s="4" t="s">
        <v>241</v>
      </c>
    </row>
    <row r="1428" spans="1:5" hidden="1" x14ac:dyDescent="0.15">
      <c r="A1428" s="4"/>
      <c r="B1428" s="4"/>
      <c r="C1428" s="4"/>
      <c r="D1428" s="4" t="s">
        <v>240</v>
      </c>
      <c r="E1428" s="4" t="s">
        <v>241</v>
      </c>
    </row>
    <row r="1429" spans="1:5" hidden="1" x14ac:dyDescent="0.15">
      <c r="A1429" s="16"/>
      <c r="B1429" s="16"/>
      <c r="C1429" s="16"/>
      <c r="D1429" s="4" t="s">
        <v>240</v>
      </c>
      <c r="E1429" s="4" t="s">
        <v>241</v>
      </c>
    </row>
    <row r="1430" spans="1:5" hidden="1" x14ac:dyDescent="0.15">
      <c r="A1430" s="1" t="s">
        <v>246</v>
      </c>
      <c r="B1430" s="2">
        <v>1606813</v>
      </c>
      <c r="C1430" s="3">
        <v>0.27699999999999997</v>
      </c>
      <c r="D1430" s="4" t="s">
        <v>240</v>
      </c>
      <c r="E1430" s="4" t="s">
        <v>241</v>
      </c>
    </row>
    <row r="1431" spans="1:5" ht="26" hidden="1" x14ac:dyDescent="0.15">
      <c r="A1431" s="1" t="s">
        <v>247</v>
      </c>
      <c r="B1431" s="2">
        <v>2947971</v>
      </c>
      <c r="C1431" s="3">
        <v>0.50800000000000001</v>
      </c>
      <c r="D1431" s="4" t="s">
        <v>240</v>
      </c>
      <c r="E1431" s="4" t="s">
        <v>241</v>
      </c>
    </row>
    <row r="1432" spans="1:5" hidden="1" x14ac:dyDescent="0.15">
      <c r="A1432" s="4"/>
      <c r="B1432" s="4"/>
      <c r="C1432" s="4"/>
      <c r="D1432" s="4" t="s">
        <v>240</v>
      </c>
      <c r="E1432" s="4" t="s">
        <v>241</v>
      </c>
    </row>
    <row r="1433" spans="1:5" hidden="1" x14ac:dyDescent="0.15">
      <c r="A1433" s="16"/>
      <c r="B1433" s="16"/>
      <c r="C1433" s="16"/>
      <c r="D1433" s="4" t="s">
        <v>240</v>
      </c>
      <c r="E1433" s="4" t="s">
        <v>241</v>
      </c>
    </row>
    <row r="1434" spans="1:5" ht="26" hidden="1" x14ac:dyDescent="0.15">
      <c r="A1434" s="1" t="s">
        <v>248</v>
      </c>
      <c r="B1434" s="2">
        <v>1055776</v>
      </c>
      <c r="C1434" s="3">
        <v>0.182</v>
      </c>
      <c r="D1434" s="4" t="s">
        <v>240</v>
      </c>
      <c r="E1434" s="4" t="s">
        <v>241</v>
      </c>
    </row>
    <row r="1435" spans="1:5" hidden="1" x14ac:dyDescent="0.15">
      <c r="A1435" s="4"/>
      <c r="B1435" s="4"/>
      <c r="C1435" s="4"/>
      <c r="D1435" s="4" t="s">
        <v>240</v>
      </c>
      <c r="E1435" s="4" t="s">
        <v>241</v>
      </c>
    </row>
    <row r="1436" spans="1:5" hidden="1" x14ac:dyDescent="0.15">
      <c r="A1436" s="16"/>
      <c r="B1436" s="16"/>
      <c r="C1436" s="16"/>
      <c r="D1436" s="4" t="s">
        <v>240</v>
      </c>
      <c r="E1436" s="4" t="s">
        <v>241</v>
      </c>
    </row>
    <row r="1437" spans="1:5" ht="39" hidden="1" x14ac:dyDescent="0.15">
      <c r="A1437" s="1" t="s">
        <v>249</v>
      </c>
      <c r="B1437" s="2">
        <v>142991</v>
      </c>
      <c r="C1437" s="3">
        <v>2.5000000000000001E-2</v>
      </c>
      <c r="D1437" s="4" t="s">
        <v>240</v>
      </c>
      <c r="E1437" s="4" t="s">
        <v>241</v>
      </c>
    </row>
    <row r="1438" spans="1:5" ht="26" hidden="1" x14ac:dyDescent="0.15">
      <c r="A1438" s="1" t="s">
        <v>250</v>
      </c>
      <c r="B1438" s="2">
        <v>107106</v>
      </c>
      <c r="C1438" s="3">
        <v>1.8000000000000002E-2</v>
      </c>
      <c r="D1438" s="4" t="s">
        <v>240</v>
      </c>
      <c r="E1438" s="4" t="s">
        <v>241</v>
      </c>
    </row>
    <row r="1439" spans="1:5" ht="26" hidden="1" x14ac:dyDescent="0.15">
      <c r="A1439" s="1" t="s">
        <v>251</v>
      </c>
      <c r="B1439" s="2">
        <v>197991</v>
      </c>
      <c r="C1439" s="3">
        <v>3.4000000000000002E-2</v>
      </c>
      <c r="D1439" s="4" t="s">
        <v>240</v>
      </c>
      <c r="E1439" s="4" t="s">
        <v>241</v>
      </c>
    </row>
    <row r="1440" spans="1:5" ht="26" hidden="1" x14ac:dyDescent="0.15">
      <c r="A1440" s="1" t="s">
        <v>252</v>
      </c>
      <c r="B1440" s="2">
        <v>99989</v>
      </c>
      <c r="C1440" s="3">
        <v>1.7000000000000001E-2</v>
      </c>
      <c r="D1440" s="4" t="s">
        <v>240</v>
      </c>
      <c r="E1440" s="4" t="s">
        <v>241</v>
      </c>
    </row>
    <row r="1441" spans="1:5" ht="26" hidden="1" x14ac:dyDescent="0.15">
      <c r="A1441" s="1" t="s">
        <v>253</v>
      </c>
      <c r="B1441" s="2">
        <v>152182</v>
      </c>
      <c r="C1441" s="3">
        <v>2.6000000000000002E-2</v>
      </c>
      <c r="D1441" s="4" t="s">
        <v>240</v>
      </c>
      <c r="E1441" s="4" t="s">
        <v>241</v>
      </c>
    </row>
    <row r="1442" spans="1:5" ht="26" hidden="1" x14ac:dyDescent="0.15">
      <c r="A1442" s="1" t="s">
        <v>254</v>
      </c>
      <c r="B1442" s="2">
        <v>429350</v>
      </c>
      <c r="C1442" s="3">
        <v>7.400000000000001E-2</v>
      </c>
      <c r="D1442" s="4" t="s">
        <v>240</v>
      </c>
      <c r="E1442" s="4" t="s">
        <v>241</v>
      </c>
    </row>
    <row r="1443" spans="1:5" ht="26" hidden="1" x14ac:dyDescent="0.15">
      <c r="A1443" s="1" t="s">
        <v>255</v>
      </c>
      <c r="B1443" s="2">
        <v>856910</v>
      </c>
      <c r="C1443" s="3">
        <v>0.14800000000000002</v>
      </c>
      <c r="D1443" s="4" t="s">
        <v>240</v>
      </c>
      <c r="E1443" s="4" t="s">
        <v>241</v>
      </c>
    </row>
    <row r="1444" spans="1:5" ht="39" hidden="1" x14ac:dyDescent="0.15">
      <c r="A1444" s="1" t="s">
        <v>256</v>
      </c>
      <c r="B1444" s="2">
        <v>436531</v>
      </c>
      <c r="C1444" s="3">
        <v>7.4999999999999997E-2</v>
      </c>
      <c r="D1444" s="4" t="s">
        <v>240</v>
      </c>
      <c r="E1444" s="4" t="s">
        <v>241</v>
      </c>
    </row>
    <row r="1445" spans="1:5" ht="26" hidden="1" x14ac:dyDescent="0.15">
      <c r="A1445" s="1" t="s">
        <v>257</v>
      </c>
      <c r="B1445" s="2">
        <v>757712</v>
      </c>
      <c r="C1445" s="3">
        <v>0.13100000000000001</v>
      </c>
      <c r="D1445" s="4" t="s">
        <v>240</v>
      </c>
      <c r="E1445" s="4" t="s">
        <v>241</v>
      </c>
    </row>
    <row r="1446" spans="1:5" hidden="1" x14ac:dyDescent="0.15">
      <c r="A1446" s="1" t="s">
        <v>0</v>
      </c>
      <c r="B1446" s="2">
        <v>2408084</v>
      </c>
      <c r="C1446" s="3">
        <v>1</v>
      </c>
      <c r="D1446" s="4" t="s">
        <v>258</v>
      </c>
      <c r="E1446" s="4" t="s">
        <v>241</v>
      </c>
    </row>
    <row r="1447" spans="1:5" ht="26" hidden="1" x14ac:dyDescent="0.15">
      <c r="A1447" s="1" t="s">
        <v>3</v>
      </c>
      <c r="B1447" s="2">
        <v>33531</v>
      </c>
      <c r="C1447" s="3">
        <v>1.3999999999999999E-2</v>
      </c>
      <c r="D1447" s="4" t="s">
        <v>258</v>
      </c>
      <c r="E1447" s="4" t="s">
        <v>241</v>
      </c>
    </row>
    <row r="1448" spans="1:5" hidden="1" x14ac:dyDescent="0.15">
      <c r="A1448" s="1" t="s">
        <v>4</v>
      </c>
      <c r="B1448" s="2">
        <v>17752</v>
      </c>
      <c r="C1448" s="3">
        <v>6.9999999999999993E-3</v>
      </c>
      <c r="D1448" s="4" t="s">
        <v>258</v>
      </c>
      <c r="E1448" s="4" t="s">
        <v>241</v>
      </c>
    </row>
    <row r="1449" spans="1:5" ht="26" hidden="1" x14ac:dyDescent="0.15">
      <c r="A1449" s="1" t="s">
        <v>5</v>
      </c>
      <c r="B1449" s="2">
        <v>39955</v>
      </c>
      <c r="C1449" s="3">
        <v>1.7000000000000001E-2</v>
      </c>
      <c r="D1449" s="4" t="s">
        <v>258</v>
      </c>
      <c r="E1449" s="4" t="s">
        <v>241</v>
      </c>
    </row>
    <row r="1450" spans="1:5" ht="26" hidden="1" x14ac:dyDescent="0.15">
      <c r="A1450" s="1" t="s">
        <v>6</v>
      </c>
      <c r="B1450" s="2">
        <v>170675</v>
      </c>
      <c r="C1450" s="3">
        <v>7.0999999999999994E-2</v>
      </c>
      <c r="D1450" s="4" t="s">
        <v>258</v>
      </c>
      <c r="E1450" s="4" t="s">
        <v>241</v>
      </c>
    </row>
    <row r="1451" spans="1:5" ht="26" hidden="1" x14ac:dyDescent="0.15">
      <c r="A1451" s="1" t="s">
        <v>7</v>
      </c>
      <c r="B1451" s="2">
        <v>236147</v>
      </c>
      <c r="C1451" s="3">
        <v>9.8000000000000004E-2</v>
      </c>
      <c r="D1451" s="4" t="s">
        <v>258</v>
      </c>
      <c r="E1451" s="4" t="s">
        <v>241</v>
      </c>
    </row>
    <row r="1452" spans="1:5" ht="26" hidden="1" x14ac:dyDescent="0.15">
      <c r="A1452" s="1" t="s">
        <v>8</v>
      </c>
      <c r="B1452" s="2">
        <v>29143</v>
      </c>
      <c r="C1452" s="3">
        <v>1.2E-2</v>
      </c>
      <c r="D1452" s="4" t="s">
        <v>258</v>
      </c>
      <c r="E1452" s="4" t="s">
        <v>241</v>
      </c>
    </row>
    <row r="1453" spans="1:5" ht="26" hidden="1" x14ac:dyDescent="0.15">
      <c r="A1453" s="1" t="s">
        <v>9</v>
      </c>
      <c r="B1453" s="2">
        <v>102598</v>
      </c>
      <c r="C1453" s="3">
        <v>4.2999999999999997E-2</v>
      </c>
      <c r="D1453" s="4" t="s">
        <v>258</v>
      </c>
      <c r="E1453" s="4" t="s">
        <v>241</v>
      </c>
    </row>
    <row r="1454" spans="1:5" ht="26" hidden="1" x14ac:dyDescent="0.15">
      <c r="A1454" s="1" t="s">
        <v>10</v>
      </c>
      <c r="B1454" s="2">
        <v>64712</v>
      </c>
      <c r="C1454" s="3">
        <v>2.7000000000000003E-2</v>
      </c>
      <c r="D1454" s="4" t="s">
        <v>258</v>
      </c>
      <c r="E1454" s="4" t="s">
        <v>241</v>
      </c>
    </row>
    <row r="1455" spans="1:5" ht="26" hidden="1" x14ac:dyDescent="0.15">
      <c r="A1455" s="1" t="s">
        <v>11</v>
      </c>
      <c r="B1455" s="2">
        <v>128227</v>
      </c>
      <c r="C1455" s="3">
        <v>5.2999999999999999E-2</v>
      </c>
      <c r="D1455" s="4" t="s">
        <v>258</v>
      </c>
      <c r="E1455" s="4" t="s">
        <v>241</v>
      </c>
    </row>
    <row r="1456" spans="1:5" ht="26" hidden="1" x14ac:dyDescent="0.15">
      <c r="A1456" s="1" t="s">
        <v>12</v>
      </c>
      <c r="B1456" s="2">
        <v>35830</v>
      </c>
      <c r="C1456" s="3">
        <v>1.4999999999999999E-2</v>
      </c>
      <c r="D1456" s="4" t="s">
        <v>258</v>
      </c>
      <c r="E1456" s="4" t="s">
        <v>241</v>
      </c>
    </row>
    <row r="1457" spans="1:5" ht="26" hidden="1" x14ac:dyDescent="0.15">
      <c r="A1457" s="1" t="s">
        <v>13</v>
      </c>
      <c r="B1457" s="2">
        <v>23230</v>
      </c>
      <c r="C1457" s="3">
        <v>0.01</v>
      </c>
      <c r="D1457" s="4" t="s">
        <v>258</v>
      </c>
      <c r="E1457" s="4" t="s">
        <v>241</v>
      </c>
    </row>
    <row r="1458" spans="1:5" hidden="1" x14ac:dyDescent="0.15">
      <c r="A1458" s="1" t="s">
        <v>14</v>
      </c>
      <c r="B1458" s="2">
        <v>154426</v>
      </c>
      <c r="C1458" s="3">
        <v>6.4000000000000001E-2</v>
      </c>
      <c r="D1458" s="4" t="s">
        <v>258</v>
      </c>
      <c r="E1458" s="4" t="s">
        <v>241</v>
      </c>
    </row>
    <row r="1459" spans="1:5" ht="26" hidden="1" x14ac:dyDescent="0.15">
      <c r="A1459" s="1" t="s">
        <v>15</v>
      </c>
      <c r="B1459" s="2">
        <v>64110</v>
      </c>
      <c r="C1459" s="3">
        <v>2.7000000000000003E-2</v>
      </c>
      <c r="D1459" s="4" t="s">
        <v>258</v>
      </c>
      <c r="E1459" s="4" t="s">
        <v>241</v>
      </c>
    </row>
    <row r="1460" spans="1:5" ht="26" hidden="1" x14ac:dyDescent="0.15">
      <c r="A1460" s="1" t="s">
        <v>16</v>
      </c>
      <c r="B1460" s="2">
        <v>74157</v>
      </c>
      <c r="C1460" s="3">
        <v>3.1E-2</v>
      </c>
      <c r="D1460" s="4" t="s">
        <v>258</v>
      </c>
      <c r="E1460" s="4" t="s">
        <v>241</v>
      </c>
    </row>
    <row r="1461" spans="1:5" ht="26" hidden="1" x14ac:dyDescent="0.15">
      <c r="A1461" s="1" t="s">
        <v>17</v>
      </c>
      <c r="B1461" s="2">
        <v>41875</v>
      </c>
      <c r="C1461" s="3">
        <v>1.7000000000000001E-2</v>
      </c>
      <c r="D1461" s="4" t="s">
        <v>258</v>
      </c>
      <c r="E1461" s="4" t="s">
        <v>241</v>
      </c>
    </row>
    <row r="1462" spans="1:5" hidden="1" x14ac:dyDescent="0.15">
      <c r="A1462" s="1" t="s">
        <v>18</v>
      </c>
      <c r="B1462" s="2">
        <v>39434</v>
      </c>
      <c r="C1462" s="3">
        <v>1.6E-2</v>
      </c>
      <c r="D1462" s="4" t="s">
        <v>258</v>
      </c>
      <c r="E1462" s="4" t="s">
        <v>241</v>
      </c>
    </row>
    <row r="1463" spans="1:5" hidden="1" x14ac:dyDescent="0.15">
      <c r="A1463" s="1" t="s">
        <v>19</v>
      </c>
      <c r="B1463" s="2">
        <v>346198</v>
      </c>
      <c r="C1463" s="3">
        <v>0.14400000000000002</v>
      </c>
      <c r="D1463" s="4" t="s">
        <v>258</v>
      </c>
      <c r="E1463" s="4" t="s">
        <v>241</v>
      </c>
    </row>
    <row r="1464" spans="1:5" hidden="1" x14ac:dyDescent="0.15">
      <c r="A1464" s="1" t="s">
        <v>20</v>
      </c>
      <c r="B1464" s="2">
        <v>81698</v>
      </c>
      <c r="C1464" s="3">
        <v>3.4000000000000002E-2</v>
      </c>
      <c r="D1464" s="4" t="s">
        <v>258</v>
      </c>
      <c r="E1464" s="4" t="s">
        <v>241</v>
      </c>
    </row>
    <row r="1465" spans="1:5" ht="26" hidden="1" x14ac:dyDescent="0.15">
      <c r="A1465" s="1" t="s">
        <v>21</v>
      </c>
      <c r="B1465" s="2">
        <v>52345</v>
      </c>
      <c r="C1465" s="3">
        <v>2.2000000000000002E-2</v>
      </c>
      <c r="D1465" s="4" t="s">
        <v>258</v>
      </c>
      <c r="E1465" s="4" t="s">
        <v>241</v>
      </c>
    </row>
    <row r="1466" spans="1:5" ht="26" hidden="1" x14ac:dyDescent="0.15">
      <c r="A1466" s="1" t="s">
        <v>22</v>
      </c>
      <c r="B1466" s="2">
        <v>119916</v>
      </c>
      <c r="C1466" s="3">
        <v>0.05</v>
      </c>
      <c r="D1466" s="4" t="s">
        <v>258</v>
      </c>
      <c r="E1466" s="4" t="s">
        <v>241</v>
      </c>
    </row>
    <row r="1467" spans="1:5" ht="26" hidden="1" x14ac:dyDescent="0.15">
      <c r="A1467" s="1" t="s">
        <v>23</v>
      </c>
      <c r="B1467" s="2">
        <v>17882</v>
      </c>
      <c r="C1467" s="3">
        <v>6.9999999999999993E-3</v>
      </c>
      <c r="D1467" s="4" t="s">
        <v>258</v>
      </c>
      <c r="E1467" s="4" t="s">
        <v>241</v>
      </c>
    </row>
    <row r="1468" spans="1:5" ht="26" hidden="1" x14ac:dyDescent="0.15">
      <c r="A1468" s="1" t="s">
        <v>24</v>
      </c>
      <c r="B1468" s="2">
        <v>4074</v>
      </c>
      <c r="C1468" s="3">
        <v>2E-3</v>
      </c>
      <c r="D1468" s="4" t="s">
        <v>258</v>
      </c>
      <c r="E1468" s="4" t="s">
        <v>241</v>
      </c>
    </row>
    <row r="1469" spans="1:5" ht="26" hidden="1" x14ac:dyDescent="0.15">
      <c r="A1469" s="1" t="s">
        <v>25</v>
      </c>
      <c r="B1469" s="2">
        <v>41792</v>
      </c>
      <c r="C1469" s="3">
        <v>1.7000000000000001E-2</v>
      </c>
      <c r="D1469" s="4" t="s">
        <v>258</v>
      </c>
      <c r="E1469" s="4" t="s">
        <v>241</v>
      </c>
    </row>
    <row r="1470" spans="1:5" hidden="1" x14ac:dyDescent="0.15">
      <c r="A1470" s="1" t="s">
        <v>26</v>
      </c>
      <c r="B1470" s="2">
        <v>27532</v>
      </c>
      <c r="C1470" s="3">
        <v>1.1000000000000001E-2</v>
      </c>
      <c r="D1470" s="4" t="s">
        <v>258</v>
      </c>
      <c r="E1470" s="4" t="s">
        <v>241</v>
      </c>
    </row>
    <row r="1471" spans="1:5" hidden="1" x14ac:dyDescent="0.15">
      <c r="A1471" s="1" t="s">
        <v>27</v>
      </c>
      <c r="B1471" s="2">
        <v>100032</v>
      </c>
      <c r="C1471" s="3">
        <v>4.2000000000000003E-2</v>
      </c>
      <c r="D1471" s="4" t="s">
        <v>258</v>
      </c>
      <c r="E1471" s="4" t="s">
        <v>241</v>
      </c>
    </row>
    <row r="1472" spans="1:5" hidden="1" x14ac:dyDescent="0.15">
      <c r="A1472" s="1" t="s">
        <v>28</v>
      </c>
      <c r="B1472" s="2">
        <v>221224</v>
      </c>
      <c r="C1472" s="3">
        <v>9.1999999999999998E-2</v>
      </c>
      <c r="D1472" s="4" t="s">
        <v>258</v>
      </c>
      <c r="E1472" s="4" t="s">
        <v>241</v>
      </c>
    </row>
    <row r="1473" spans="1:5" hidden="1" x14ac:dyDescent="0.15">
      <c r="A1473" s="1" t="s">
        <v>29</v>
      </c>
      <c r="B1473" s="2">
        <v>700430</v>
      </c>
      <c r="C1473" s="3">
        <v>0.29100000000000004</v>
      </c>
      <c r="D1473" s="4" t="s">
        <v>258</v>
      </c>
      <c r="E1473" s="4" t="s">
        <v>241</v>
      </c>
    </row>
    <row r="1474" spans="1:5" hidden="1" x14ac:dyDescent="0.15">
      <c r="A1474" s="1" t="s">
        <v>30</v>
      </c>
      <c r="B1474" s="2">
        <v>50285</v>
      </c>
      <c r="C1474" s="3">
        <v>2.1000000000000001E-2</v>
      </c>
      <c r="D1474" s="4" t="s">
        <v>258</v>
      </c>
      <c r="E1474" s="4" t="s">
        <v>241</v>
      </c>
    </row>
    <row r="1475" spans="1:5" ht="39" hidden="1" x14ac:dyDescent="0.15">
      <c r="A1475" s="1" t="s">
        <v>31</v>
      </c>
      <c r="B1475" s="2">
        <v>9699</v>
      </c>
      <c r="C1475" s="3">
        <v>4.0000000000000001E-3</v>
      </c>
      <c r="D1475" s="4" t="s">
        <v>258</v>
      </c>
      <c r="E1475" s="4" t="s">
        <v>241</v>
      </c>
    </row>
    <row r="1476" spans="1:5" hidden="1" x14ac:dyDescent="0.15">
      <c r="A1476" s="1" t="s">
        <v>32</v>
      </c>
      <c r="B1476" s="2">
        <v>27083</v>
      </c>
      <c r="C1476" s="3">
        <v>1.1000000000000001E-2</v>
      </c>
      <c r="D1476" s="4" t="s">
        <v>258</v>
      </c>
      <c r="E1476" s="4" t="s">
        <v>241</v>
      </c>
    </row>
    <row r="1477" spans="1:5" hidden="1" x14ac:dyDescent="0.15">
      <c r="A1477" s="1" t="s">
        <v>33</v>
      </c>
      <c r="B1477" s="2">
        <v>648644</v>
      </c>
      <c r="C1477" s="3">
        <v>0.26899999999999996</v>
      </c>
      <c r="D1477" s="4" t="s">
        <v>258</v>
      </c>
      <c r="E1477" s="4" t="s">
        <v>241</v>
      </c>
    </row>
    <row r="1478" spans="1:5" hidden="1" x14ac:dyDescent="0.15">
      <c r="A1478" s="1" t="s">
        <v>34</v>
      </c>
      <c r="B1478" s="2">
        <v>160323</v>
      </c>
      <c r="C1478" s="3">
        <v>6.7000000000000004E-2</v>
      </c>
      <c r="D1478" s="4" t="s">
        <v>258</v>
      </c>
      <c r="E1478" s="4" t="s">
        <v>241</v>
      </c>
    </row>
    <row r="1479" spans="1:5" hidden="1" x14ac:dyDescent="0.15">
      <c r="A1479" s="1" t="s">
        <v>35</v>
      </c>
      <c r="B1479" s="2">
        <v>159092</v>
      </c>
      <c r="C1479" s="3">
        <v>6.6000000000000003E-2</v>
      </c>
      <c r="D1479" s="4" t="s">
        <v>258</v>
      </c>
      <c r="E1479" s="4" t="s">
        <v>241</v>
      </c>
    </row>
    <row r="1480" spans="1:5" ht="26" hidden="1" x14ac:dyDescent="0.15">
      <c r="A1480" s="1" t="s">
        <v>36</v>
      </c>
      <c r="B1480" s="2">
        <v>26508</v>
      </c>
      <c r="C1480" s="3">
        <v>1.1000000000000001E-2</v>
      </c>
      <c r="D1480" s="4" t="s">
        <v>258</v>
      </c>
      <c r="E1480" s="4" t="s">
        <v>241</v>
      </c>
    </row>
    <row r="1481" spans="1:5" hidden="1" x14ac:dyDescent="0.15">
      <c r="A1481" s="1" t="s">
        <v>37</v>
      </c>
      <c r="B1481" s="2">
        <v>17967</v>
      </c>
      <c r="C1481" s="3">
        <v>6.9999999999999993E-3</v>
      </c>
      <c r="D1481" s="4" t="s">
        <v>258</v>
      </c>
      <c r="E1481" s="4" t="s">
        <v>241</v>
      </c>
    </row>
    <row r="1482" spans="1:5" ht="39" hidden="1" x14ac:dyDescent="0.15">
      <c r="A1482" s="1" t="s">
        <v>38</v>
      </c>
      <c r="B1482" s="2">
        <v>55555</v>
      </c>
      <c r="C1482" s="3">
        <v>2.3E-2</v>
      </c>
      <c r="D1482" s="4" t="s">
        <v>258</v>
      </c>
      <c r="E1482" s="4" t="s">
        <v>241</v>
      </c>
    </row>
    <row r="1483" spans="1:5" hidden="1" x14ac:dyDescent="0.15">
      <c r="A1483" s="1" t="s">
        <v>39</v>
      </c>
      <c r="B1483" s="2">
        <v>106340</v>
      </c>
      <c r="C1483" s="3">
        <v>4.4000000000000004E-2</v>
      </c>
      <c r="D1483" s="4" t="s">
        <v>258</v>
      </c>
      <c r="E1483" s="4" t="s">
        <v>241</v>
      </c>
    </row>
    <row r="1484" spans="1:5" hidden="1" x14ac:dyDescent="0.15">
      <c r="A1484" s="1" t="s">
        <v>40</v>
      </c>
      <c r="B1484" s="2">
        <v>16787</v>
      </c>
      <c r="C1484" s="3">
        <v>6.9999999999999993E-3</v>
      </c>
      <c r="D1484" s="4" t="s">
        <v>258</v>
      </c>
      <c r="E1484" s="4" t="s">
        <v>241</v>
      </c>
    </row>
    <row r="1485" spans="1:5" hidden="1" x14ac:dyDescent="0.15">
      <c r="A1485" s="1" t="s">
        <v>41</v>
      </c>
      <c r="B1485" s="2">
        <v>44488</v>
      </c>
      <c r="C1485" s="3">
        <v>1.8000000000000002E-2</v>
      </c>
      <c r="D1485" s="4" t="s">
        <v>258</v>
      </c>
      <c r="E1485" s="4" t="s">
        <v>241</v>
      </c>
    </row>
    <row r="1486" spans="1:5" hidden="1" x14ac:dyDescent="0.15">
      <c r="A1486" s="1" t="s">
        <v>42</v>
      </c>
      <c r="B1486" s="2">
        <v>40973</v>
      </c>
      <c r="C1486" s="3">
        <v>1.7000000000000001E-2</v>
      </c>
      <c r="D1486" s="4" t="s">
        <v>258</v>
      </c>
      <c r="E1486" s="4" t="s">
        <v>241</v>
      </c>
    </row>
    <row r="1487" spans="1:5" hidden="1" x14ac:dyDescent="0.15">
      <c r="A1487" s="1" t="s">
        <v>43</v>
      </c>
      <c r="B1487" s="2">
        <v>192451</v>
      </c>
      <c r="C1487" s="3">
        <v>0.08</v>
      </c>
      <c r="D1487" s="4" t="s">
        <v>258</v>
      </c>
      <c r="E1487" s="4" t="s">
        <v>241</v>
      </c>
    </row>
    <row r="1488" spans="1:5" ht="26" hidden="1" x14ac:dyDescent="0.15">
      <c r="A1488" s="1" t="s">
        <v>44</v>
      </c>
      <c r="B1488" s="2">
        <v>158642</v>
      </c>
      <c r="C1488" s="3">
        <v>6.6000000000000003E-2</v>
      </c>
      <c r="D1488" s="4" t="s">
        <v>258</v>
      </c>
      <c r="E1488" s="4" t="s">
        <v>241</v>
      </c>
    </row>
    <row r="1489" spans="1:5" hidden="1" x14ac:dyDescent="0.15">
      <c r="A1489" s="1" t="s">
        <v>45</v>
      </c>
      <c r="B1489" s="2">
        <v>344642</v>
      </c>
      <c r="C1489" s="3">
        <v>0.14300000000000002</v>
      </c>
      <c r="D1489" s="4" t="s">
        <v>258</v>
      </c>
      <c r="E1489" s="4" t="s">
        <v>241</v>
      </c>
    </row>
    <row r="1490" spans="1:5" ht="26" hidden="1" x14ac:dyDescent="0.15">
      <c r="A1490" s="1" t="s">
        <v>46</v>
      </c>
      <c r="B1490" s="2">
        <v>617380</v>
      </c>
      <c r="C1490" s="3">
        <v>0.25600000000000001</v>
      </c>
      <c r="D1490" s="4" t="s">
        <v>258</v>
      </c>
      <c r="E1490" s="4" t="s">
        <v>241</v>
      </c>
    </row>
    <row r="1491" spans="1:5" hidden="1" x14ac:dyDescent="0.15">
      <c r="A1491" s="1" t="s">
        <v>47</v>
      </c>
      <c r="B1491" s="2">
        <v>881885</v>
      </c>
      <c r="C1491" s="3">
        <v>0.36599999999999999</v>
      </c>
      <c r="D1491" s="4" t="s">
        <v>258</v>
      </c>
      <c r="E1491" s="4" t="s">
        <v>241</v>
      </c>
    </row>
    <row r="1492" spans="1:5" hidden="1" x14ac:dyDescent="0.15">
      <c r="A1492" s="1" t="s">
        <v>48</v>
      </c>
      <c r="B1492" s="2">
        <v>151316</v>
      </c>
      <c r="C1492" s="3">
        <v>6.3E-2</v>
      </c>
      <c r="D1492" s="4" t="s">
        <v>258</v>
      </c>
      <c r="E1492" s="4" t="s">
        <v>241</v>
      </c>
    </row>
    <row r="1493" spans="1:5" hidden="1" x14ac:dyDescent="0.15">
      <c r="A1493" s="1" t="s">
        <v>49</v>
      </c>
      <c r="B1493" s="2">
        <v>446527</v>
      </c>
      <c r="C1493" s="3">
        <v>0.185</v>
      </c>
      <c r="D1493" s="4" t="s">
        <v>258</v>
      </c>
      <c r="E1493" s="4" t="s">
        <v>241</v>
      </c>
    </row>
    <row r="1494" spans="1:5" ht="26" hidden="1" x14ac:dyDescent="0.15">
      <c r="A1494" s="1" t="s">
        <v>50</v>
      </c>
      <c r="B1494" s="2">
        <v>458883</v>
      </c>
      <c r="C1494" s="3">
        <v>0.191</v>
      </c>
      <c r="D1494" s="4" t="s">
        <v>258</v>
      </c>
      <c r="E1494" s="4" t="s">
        <v>241</v>
      </c>
    </row>
    <row r="1495" spans="1:5" hidden="1" x14ac:dyDescent="0.15">
      <c r="A1495" s="1" t="s">
        <v>51</v>
      </c>
      <c r="B1495" s="2">
        <v>693180</v>
      </c>
      <c r="C1495" s="3">
        <v>0.28800000000000003</v>
      </c>
      <c r="D1495" s="4" t="s">
        <v>258</v>
      </c>
      <c r="E1495" s="4" t="s">
        <v>241</v>
      </c>
    </row>
    <row r="1496" spans="1:5" hidden="1" x14ac:dyDescent="0.15">
      <c r="A1496" s="1" t="s">
        <v>52</v>
      </c>
      <c r="B1496" s="2">
        <v>301304</v>
      </c>
      <c r="C1496" s="3">
        <v>0.125</v>
      </c>
      <c r="D1496" s="4" t="s">
        <v>258</v>
      </c>
      <c r="E1496" s="4" t="s">
        <v>241</v>
      </c>
    </row>
    <row r="1497" spans="1:5" ht="26" hidden="1" x14ac:dyDescent="0.15">
      <c r="A1497" s="1" t="s">
        <v>53</v>
      </c>
      <c r="B1497" s="2">
        <v>187781</v>
      </c>
      <c r="C1497" s="3">
        <v>7.8E-2</v>
      </c>
      <c r="D1497" s="4" t="s">
        <v>258</v>
      </c>
      <c r="E1497" s="4" t="s">
        <v>241</v>
      </c>
    </row>
    <row r="1498" spans="1:5" hidden="1" x14ac:dyDescent="0.15">
      <c r="A1498" s="1" t="s">
        <v>54</v>
      </c>
      <c r="B1498" s="2">
        <v>854467</v>
      </c>
      <c r="C1498" s="3">
        <v>0.35499999999999998</v>
      </c>
      <c r="D1498" s="4" t="s">
        <v>258</v>
      </c>
      <c r="E1498" s="4" t="s">
        <v>241</v>
      </c>
    </row>
    <row r="1499" spans="1:5" ht="26" hidden="1" x14ac:dyDescent="0.15">
      <c r="A1499" s="1" t="s">
        <v>55</v>
      </c>
      <c r="B1499" s="2">
        <v>492221</v>
      </c>
      <c r="C1499" s="3">
        <v>0.20399999999999999</v>
      </c>
      <c r="D1499" s="4" t="s">
        <v>258</v>
      </c>
      <c r="E1499" s="4" t="s">
        <v>241</v>
      </c>
    </row>
    <row r="1500" spans="1:5" hidden="1" x14ac:dyDescent="0.15">
      <c r="A1500" s="1" t="s">
        <v>56</v>
      </c>
      <c r="B1500" s="2">
        <v>550948</v>
      </c>
      <c r="C1500" s="3">
        <v>0.22899999999999998</v>
      </c>
      <c r="D1500" s="4" t="s">
        <v>258</v>
      </c>
      <c r="E1500" s="4" t="s">
        <v>241</v>
      </c>
    </row>
    <row r="1501" spans="1:5" hidden="1" x14ac:dyDescent="0.15">
      <c r="A1501" s="1" t="s">
        <v>57</v>
      </c>
      <c r="B1501" s="2">
        <v>278786</v>
      </c>
      <c r="C1501" s="3">
        <v>0.11599999999999999</v>
      </c>
      <c r="D1501" s="4" t="s">
        <v>258</v>
      </c>
      <c r="E1501" s="4" t="s">
        <v>241</v>
      </c>
    </row>
    <row r="1502" spans="1:5" hidden="1" x14ac:dyDescent="0.15">
      <c r="A1502" s="1" t="s">
        <v>58</v>
      </c>
      <c r="B1502" s="2">
        <v>279075</v>
      </c>
      <c r="C1502" s="3">
        <v>0.11599999999999999</v>
      </c>
      <c r="D1502" s="4" t="s">
        <v>258</v>
      </c>
      <c r="E1502" s="4" t="s">
        <v>241</v>
      </c>
    </row>
    <row r="1503" spans="1:5" hidden="1" x14ac:dyDescent="0.15">
      <c r="A1503" s="1" t="s">
        <v>59</v>
      </c>
      <c r="B1503" s="2">
        <v>1225213</v>
      </c>
      <c r="C1503" s="3">
        <v>0.50900000000000001</v>
      </c>
      <c r="D1503" s="4" t="s">
        <v>258</v>
      </c>
      <c r="E1503" s="4" t="s">
        <v>241</v>
      </c>
    </row>
    <row r="1504" spans="1:5" hidden="1" x14ac:dyDescent="0.15">
      <c r="A1504" s="1" t="s">
        <v>60</v>
      </c>
      <c r="B1504" s="2">
        <v>466611</v>
      </c>
      <c r="C1504" s="3">
        <v>0.19399999999999998</v>
      </c>
      <c r="D1504" s="4" t="s">
        <v>258</v>
      </c>
      <c r="E1504" s="4" t="s">
        <v>241</v>
      </c>
    </row>
    <row r="1505" spans="1:5" ht="26" hidden="1" x14ac:dyDescent="0.15">
      <c r="A1505" s="1" t="s">
        <v>61</v>
      </c>
      <c r="B1505" s="2">
        <v>433499</v>
      </c>
      <c r="C1505" s="3">
        <v>0.18</v>
      </c>
      <c r="D1505" s="4" t="s">
        <v>258</v>
      </c>
      <c r="E1505" s="4" t="s">
        <v>241</v>
      </c>
    </row>
    <row r="1506" spans="1:5" hidden="1" x14ac:dyDescent="0.15">
      <c r="A1506" s="1" t="s">
        <v>62</v>
      </c>
      <c r="B1506" s="2">
        <v>442842</v>
      </c>
      <c r="C1506" s="3">
        <v>0.184</v>
      </c>
      <c r="D1506" s="4" t="s">
        <v>258</v>
      </c>
      <c r="E1506" s="4" t="s">
        <v>241</v>
      </c>
    </row>
    <row r="1507" spans="1:5" ht="26" hidden="1" x14ac:dyDescent="0.15">
      <c r="A1507" s="1" t="s">
        <v>63</v>
      </c>
      <c r="B1507" s="2">
        <v>253152</v>
      </c>
      <c r="C1507" s="3">
        <v>0.105</v>
      </c>
      <c r="D1507" s="4" t="s">
        <v>258</v>
      </c>
      <c r="E1507" s="4" t="s">
        <v>241</v>
      </c>
    </row>
    <row r="1508" spans="1:5" ht="26" hidden="1" x14ac:dyDescent="0.15">
      <c r="A1508" s="1" t="s">
        <v>64</v>
      </c>
      <c r="B1508" s="2">
        <v>62817</v>
      </c>
      <c r="C1508" s="3">
        <v>2.6000000000000002E-2</v>
      </c>
      <c r="D1508" s="4" t="s">
        <v>258</v>
      </c>
      <c r="E1508" s="4" t="s">
        <v>241</v>
      </c>
    </row>
    <row r="1509" spans="1:5" hidden="1" x14ac:dyDescent="0.15">
      <c r="A1509" s="1" t="s">
        <v>65</v>
      </c>
      <c r="B1509" s="2">
        <v>293720</v>
      </c>
      <c r="C1509" s="3">
        <v>0.122</v>
      </c>
      <c r="D1509" s="4" t="s">
        <v>258</v>
      </c>
      <c r="E1509" s="4" t="s">
        <v>241</v>
      </c>
    </row>
    <row r="1510" spans="1:5" hidden="1" x14ac:dyDescent="0.15">
      <c r="A1510" s="1" t="s">
        <v>66</v>
      </c>
      <c r="B1510" s="2">
        <v>191164</v>
      </c>
      <c r="C1510" s="3">
        <v>7.9000000000000001E-2</v>
      </c>
      <c r="D1510" s="4" t="s">
        <v>258</v>
      </c>
      <c r="E1510" s="4" t="s">
        <v>241</v>
      </c>
    </row>
    <row r="1511" spans="1:5" hidden="1" x14ac:dyDescent="0.15">
      <c r="A1511" s="1" t="s">
        <v>67</v>
      </c>
      <c r="B1511" s="2">
        <v>442715</v>
      </c>
      <c r="C1511" s="3">
        <v>0.184</v>
      </c>
      <c r="D1511" s="4" t="s">
        <v>258</v>
      </c>
      <c r="E1511" s="4" t="s">
        <v>241</v>
      </c>
    </row>
    <row r="1512" spans="1:5" hidden="1" x14ac:dyDescent="0.15">
      <c r="A1512" s="1" t="s">
        <v>68</v>
      </c>
      <c r="B1512" s="2">
        <v>775179</v>
      </c>
      <c r="C1512" s="3">
        <v>0.32200000000000001</v>
      </c>
      <c r="D1512" s="4" t="s">
        <v>258</v>
      </c>
      <c r="E1512" s="4" t="s">
        <v>241</v>
      </c>
    </row>
    <row r="1513" spans="1:5" hidden="1" x14ac:dyDescent="0.15">
      <c r="A1513" s="1" t="s">
        <v>69</v>
      </c>
      <c r="B1513" s="2">
        <v>1516209</v>
      </c>
      <c r="C1513" s="3">
        <v>0.63</v>
      </c>
      <c r="D1513" s="4" t="s">
        <v>258</v>
      </c>
      <c r="E1513" s="4" t="s">
        <v>241</v>
      </c>
    </row>
    <row r="1514" spans="1:5" hidden="1" x14ac:dyDescent="0.15">
      <c r="A1514" s="1" t="s">
        <v>70</v>
      </c>
      <c r="B1514" s="2">
        <v>427360</v>
      </c>
      <c r="C1514" s="3">
        <v>0.17699999999999999</v>
      </c>
      <c r="D1514" s="4" t="s">
        <v>258</v>
      </c>
      <c r="E1514" s="4" t="s">
        <v>241</v>
      </c>
    </row>
    <row r="1515" spans="1:5" ht="26" hidden="1" x14ac:dyDescent="0.15">
      <c r="A1515" s="1" t="s">
        <v>71</v>
      </c>
      <c r="B1515" s="2">
        <v>111213</v>
      </c>
      <c r="C1515" s="3">
        <v>4.5999999999999999E-2</v>
      </c>
      <c r="D1515" s="4" t="s">
        <v>258</v>
      </c>
      <c r="E1515" s="4" t="s">
        <v>241</v>
      </c>
    </row>
    <row r="1516" spans="1:5" hidden="1" x14ac:dyDescent="0.15">
      <c r="A1516" s="1" t="s">
        <v>72</v>
      </c>
      <c r="B1516" s="2">
        <v>238808</v>
      </c>
      <c r="C1516" s="3">
        <v>9.9000000000000005E-2</v>
      </c>
      <c r="D1516" s="4" t="s">
        <v>258</v>
      </c>
      <c r="E1516" s="4" t="s">
        <v>241</v>
      </c>
    </row>
    <row r="1517" spans="1:5" hidden="1" x14ac:dyDescent="0.15">
      <c r="A1517" s="1" t="s">
        <v>73</v>
      </c>
      <c r="B1517" s="2">
        <v>1481508</v>
      </c>
      <c r="C1517" s="3">
        <v>0.61499999999999999</v>
      </c>
      <c r="D1517" s="4" t="s">
        <v>258</v>
      </c>
      <c r="E1517" s="4" t="s">
        <v>241</v>
      </c>
    </row>
    <row r="1518" spans="1:5" hidden="1" x14ac:dyDescent="0.15">
      <c r="A1518" s="1" t="s">
        <v>74</v>
      </c>
      <c r="B1518" s="2">
        <v>583896</v>
      </c>
      <c r="C1518" s="3">
        <v>0.24199999999999999</v>
      </c>
      <c r="D1518" s="4" t="s">
        <v>258</v>
      </c>
      <c r="E1518" s="4" t="s">
        <v>241</v>
      </c>
    </row>
    <row r="1519" spans="1:5" hidden="1" x14ac:dyDescent="0.15">
      <c r="A1519" s="1" t="s">
        <v>75</v>
      </c>
      <c r="B1519" s="2">
        <v>568330</v>
      </c>
      <c r="C1519" s="3">
        <v>0.23600000000000002</v>
      </c>
      <c r="D1519" s="4" t="s">
        <v>258</v>
      </c>
      <c r="E1519" s="4" t="s">
        <v>241</v>
      </c>
    </row>
    <row r="1520" spans="1:5" hidden="1" x14ac:dyDescent="0.15">
      <c r="A1520" s="1" t="s">
        <v>76</v>
      </c>
      <c r="B1520" s="2">
        <v>211627</v>
      </c>
      <c r="C1520" s="3">
        <v>8.8000000000000009E-2</v>
      </c>
      <c r="D1520" s="4" t="s">
        <v>258</v>
      </c>
      <c r="E1520" s="4" t="s">
        <v>241</v>
      </c>
    </row>
    <row r="1521" spans="1:5" hidden="1" x14ac:dyDescent="0.15">
      <c r="A1521" s="1" t="s">
        <v>77</v>
      </c>
      <c r="B1521" s="2">
        <v>203049</v>
      </c>
      <c r="C1521" s="3">
        <v>8.4000000000000005E-2</v>
      </c>
      <c r="D1521" s="4" t="s">
        <v>258</v>
      </c>
      <c r="E1521" s="4" t="s">
        <v>241</v>
      </c>
    </row>
    <row r="1522" spans="1:5" ht="26" hidden="1" x14ac:dyDescent="0.15">
      <c r="A1522" s="1" t="s">
        <v>78</v>
      </c>
      <c r="B1522" s="2">
        <v>292941</v>
      </c>
      <c r="C1522" s="3">
        <v>0.122</v>
      </c>
      <c r="D1522" s="4" t="s">
        <v>258</v>
      </c>
      <c r="E1522" s="4" t="s">
        <v>241</v>
      </c>
    </row>
    <row r="1523" spans="1:5" hidden="1" x14ac:dyDescent="0.15">
      <c r="A1523" s="1" t="s">
        <v>79</v>
      </c>
      <c r="B1523" s="2">
        <v>452813</v>
      </c>
      <c r="C1523" s="3">
        <v>0.188</v>
      </c>
      <c r="D1523" s="4" t="s">
        <v>258</v>
      </c>
      <c r="E1523" s="4" t="s">
        <v>241</v>
      </c>
    </row>
    <row r="1524" spans="1:5" hidden="1" x14ac:dyDescent="0.15">
      <c r="A1524" s="1" t="s">
        <v>80</v>
      </c>
      <c r="B1524" s="2">
        <v>223412</v>
      </c>
      <c r="C1524" s="3">
        <v>9.3000000000000013E-2</v>
      </c>
      <c r="D1524" s="4" t="s">
        <v>258</v>
      </c>
      <c r="E1524" s="4" t="s">
        <v>241</v>
      </c>
    </row>
    <row r="1525" spans="1:5" ht="26" hidden="1" x14ac:dyDescent="0.15">
      <c r="A1525" s="1" t="s">
        <v>81</v>
      </c>
      <c r="B1525" s="2">
        <v>412639</v>
      </c>
      <c r="C1525" s="3">
        <v>0.17100000000000001</v>
      </c>
      <c r="D1525" s="4" t="s">
        <v>258</v>
      </c>
      <c r="E1525" s="4" t="s">
        <v>241</v>
      </c>
    </row>
    <row r="1526" spans="1:5" hidden="1" x14ac:dyDescent="0.15">
      <c r="A1526" s="1" t="s">
        <v>82</v>
      </c>
      <c r="B1526" s="2">
        <v>225182</v>
      </c>
      <c r="C1526" s="3">
        <v>9.4E-2</v>
      </c>
      <c r="D1526" s="4" t="s">
        <v>258</v>
      </c>
      <c r="E1526" s="4" t="s">
        <v>241</v>
      </c>
    </row>
    <row r="1527" spans="1:5" hidden="1" x14ac:dyDescent="0.15">
      <c r="A1527" s="4"/>
      <c r="B1527" s="4"/>
      <c r="C1527" s="4"/>
      <c r="D1527" s="4" t="s">
        <v>258</v>
      </c>
      <c r="E1527" s="4" t="s">
        <v>241</v>
      </c>
    </row>
    <row r="1528" spans="1:5" hidden="1" x14ac:dyDescent="0.15">
      <c r="A1528" s="16"/>
      <c r="B1528" s="16"/>
      <c r="C1528" s="16"/>
      <c r="D1528" s="4" t="s">
        <v>258</v>
      </c>
      <c r="E1528" s="4" t="s">
        <v>241</v>
      </c>
    </row>
    <row r="1529" spans="1:5" ht="26" hidden="1" x14ac:dyDescent="0.15">
      <c r="A1529" s="1" t="s">
        <v>259</v>
      </c>
      <c r="B1529" s="2">
        <v>168628</v>
      </c>
      <c r="C1529" s="3">
        <v>7.0000000000000007E-2</v>
      </c>
      <c r="D1529" s="4" t="s">
        <v>258</v>
      </c>
      <c r="E1529" s="4" t="s">
        <v>241</v>
      </c>
    </row>
    <row r="1530" spans="1:5" ht="26" hidden="1" x14ac:dyDescent="0.15">
      <c r="A1530" s="1" t="s">
        <v>260</v>
      </c>
      <c r="B1530" s="2">
        <v>274357</v>
      </c>
      <c r="C1530" s="3">
        <v>0.114</v>
      </c>
      <c r="D1530" s="4" t="s">
        <v>258</v>
      </c>
      <c r="E1530" s="4" t="s">
        <v>241</v>
      </c>
    </row>
    <row r="1531" spans="1:5" ht="26" hidden="1" x14ac:dyDescent="0.15">
      <c r="A1531" s="1" t="s">
        <v>261</v>
      </c>
      <c r="B1531" s="2">
        <v>1144621</v>
      </c>
      <c r="C1531" s="3">
        <v>0.47499999999999998</v>
      </c>
      <c r="D1531" s="4" t="s">
        <v>258</v>
      </c>
      <c r="E1531" s="4" t="s">
        <v>241</v>
      </c>
    </row>
    <row r="1532" spans="1:5" hidden="1" x14ac:dyDescent="0.15">
      <c r="A1532" s="4"/>
      <c r="B1532" s="4"/>
      <c r="C1532" s="4"/>
      <c r="D1532" s="4" t="s">
        <v>258</v>
      </c>
      <c r="E1532" s="4" t="s">
        <v>241</v>
      </c>
    </row>
    <row r="1533" spans="1:5" hidden="1" x14ac:dyDescent="0.15">
      <c r="A1533" s="16"/>
      <c r="B1533" s="16"/>
      <c r="C1533" s="16"/>
      <c r="D1533" s="4" t="s">
        <v>258</v>
      </c>
      <c r="E1533" s="4" t="s">
        <v>241</v>
      </c>
    </row>
    <row r="1534" spans="1:5" hidden="1" x14ac:dyDescent="0.15">
      <c r="A1534" s="1" t="s">
        <v>262</v>
      </c>
      <c r="B1534" s="2">
        <v>81347</v>
      </c>
      <c r="C1534" s="3">
        <v>3.4000000000000002E-2</v>
      </c>
      <c r="D1534" s="4" t="s">
        <v>258</v>
      </c>
      <c r="E1534" s="4" t="s">
        <v>241</v>
      </c>
    </row>
    <row r="1535" spans="1:5" hidden="1" x14ac:dyDescent="0.15">
      <c r="A1535" s="4"/>
      <c r="B1535" s="4"/>
      <c r="C1535" s="4"/>
      <c r="D1535" s="4" t="s">
        <v>258</v>
      </c>
      <c r="E1535" s="4" t="s">
        <v>241</v>
      </c>
    </row>
    <row r="1536" spans="1:5" hidden="1" x14ac:dyDescent="0.15">
      <c r="A1536" s="16"/>
      <c r="B1536" s="16"/>
      <c r="C1536" s="16"/>
      <c r="D1536" s="4" t="s">
        <v>258</v>
      </c>
      <c r="E1536" s="4" t="s">
        <v>241</v>
      </c>
    </row>
    <row r="1537" spans="1:5" ht="26" hidden="1" x14ac:dyDescent="0.15">
      <c r="A1537" s="1" t="s">
        <v>263</v>
      </c>
      <c r="B1537" s="2">
        <v>286132</v>
      </c>
      <c r="C1537" s="3">
        <v>0.11900000000000001</v>
      </c>
      <c r="D1537" s="4" t="s">
        <v>258</v>
      </c>
      <c r="E1537" s="4" t="s">
        <v>241</v>
      </c>
    </row>
    <row r="1538" spans="1:5" ht="26" hidden="1" x14ac:dyDescent="0.15">
      <c r="A1538" s="1" t="s">
        <v>264</v>
      </c>
      <c r="B1538" s="2">
        <v>434798</v>
      </c>
      <c r="C1538" s="3">
        <v>0.18100000000000002</v>
      </c>
      <c r="D1538" s="4" t="s">
        <v>258</v>
      </c>
      <c r="E1538" s="4" t="s">
        <v>241</v>
      </c>
    </row>
    <row r="1539" spans="1:5" hidden="1" x14ac:dyDescent="0.15">
      <c r="A1539" s="4"/>
      <c r="B1539" s="4"/>
      <c r="C1539" s="4"/>
      <c r="D1539" s="4" t="s">
        <v>258</v>
      </c>
      <c r="E1539" s="4" t="s">
        <v>241</v>
      </c>
    </row>
    <row r="1540" spans="1:5" hidden="1" x14ac:dyDescent="0.15">
      <c r="A1540" s="16"/>
      <c r="B1540" s="16"/>
      <c r="C1540" s="16"/>
      <c r="D1540" s="4" t="s">
        <v>258</v>
      </c>
      <c r="E1540" s="4" t="s">
        <v>241</v>
      </c>
    </row>
    <row r="1541" spans="1:5" ht="26" hidden="1" x14ac:dyDescent="0.15">
      <c r="A1541" s="1" t="s">
        <v>265</v>
      </c>
      <c r="B1541" s="2">
        <v>1347853</v>
      </c>
      <c r="C1541" s="3">
        <v>0.56000000000000005</v>
      </c>
      <c r="D1541" s="4" t="s">
        <v>258</v>
      </c>
      <c r="E1541" s="4" t="s">
        <v>241</v>
      </c>
    </row>
    <row r="1542" spans="1:5" hidden="1" x14ac:dyDescent="0.15">
      <c r="A1542" s="4"/>
      <c r="B1542" s="4"/>
      <c r="C1542" s="4"/>
      <c r="D1542" s="4" t="s">
        <v>258</v>
      </c>
      <c r="E1542" s="4" t="s">
        <v>241</v>
      </c>
    </row>
    <row r="1543" spans="1:5" hidden="1" x14ac:dyDescent="0.15">
      <c r="A1543" s="16"/>
      <c r="B1543" s="16"/>
      <c r="C1543" s="16"/>
      <c r="D1543" s="4" t="s">
        <v>258</v>
      </c>
      <c r="E1543" s="4" t="s">
        <v>241</v>
      </c>
    </row>
    <row r="1544" spans="1:5" hidden="1" x14ac:dyDescent="0.15">
      <c r="A1544" s="1" t="s">
        <v>266</v>
      </c>
      <c r="B1544" s="2">
        <v>63871</v>
      </c>
      <c r="C1544" s="3">
        <v>2.7000000000000003E-2</v>
      </c>
      <c r="D1544" s="4" t="s">
        <v>258</v>
      </c>
      <c r="E1544" s="4" t="s">
        <v>241</v>
      </c>
    </row>
    <row r="1545" spans="1:5" ht="26" hidden="1" x14ac:dyDescent="0.15">
      <c r="A1545" s="1" t="s">
        <v>267</v>
      </c>
      <c r="B1545" s="2">
        <v>127599</v>
      </c>
      <c r="C1545" s="3">
        <v>5.2999999999999999E-2</v>
      </c>
      <c r="D1545" s="4" t="s">
        <v>258</v>
      </c>
      <c r="E1545" s="4" t="s">
        <v>241</v>
      </c>
    </row>
    <row r="1546" spans="1:5" hidden="1" x14ac:dyDescent="0.15">
      <c r="A1546" s="4"/>
      <c r="B1546" s="4"/>
      <c r="C1546" s="4"/>
      <c r="D1546" s="4" t="s">
        <v>258</v>
      </c>
      <c r="E1546" s="4" t="s">
        <v>241</v>
      </c>
    </row>
    <row r="1547" spans="1:5" hidden="1" x14ac:dyDescent="0.15">
      <c r="A1547" s="16"/>
      <c r="B1547" s="16"/>
      <c r="C1547" s="16"/>
      <c r="D1547" s="4" t="s">
        <v>258</v>
      </c>
      <c r="E1547" s="4" t="s">
        <v>241</v>
      </c>
    </row>
    <row r="1548" spans="1:5" ht="39" hidden="1" x14ac:dyDescent="0.15">
      <c r="A1548" s="1" t="s">
        <v>268</v>
      </c>
      <c r="B1548" s="2">
        <v>346741</v>
      </c>
      <c r="C1548" s="3">
        <v>0.14400000000000002</v>
      </c>
      <c r="D1548" s="4" t="s">
        <v>258</v>
      </c>
      <c r="E1548" s="4" t="s">
        <v>241</v>
      </c>
    </row>
    <row r="1549" spans="1:5" ht="26" hidden="1" x14ac:dyDescent="0.15">
      <c r="A1549" s="1" t="s">
        <v>269</v>
      </c>
      <c r="B1549" s="2">
        <v>386831</v>
      </c>
      <c r="C1549" s="3">
        <v>0.161</v>
      </c>
      <c r="D1549" s="4" t="s">
        <v>258</v>
      </c>
      <c r="E1549" s="4" t="s">
        <v>241</v>
      </c>
    </row>
    <row r="1550" spans="1:5" ht="39" hidden="1" x14ac:dyDescent="0.15">
      <c r="A1550" s="1" t="s">
        <v>270</v>
      </c>
      <c r="B1550" s="2">
        <v>63473</v>
      </c>
      <c r="C1550" s="3">
        <v>2.6000000000000002E-2</v>
      </c>
      <c r="D1550" s="4" t="s">
        <v>258</v>
      </c>
      <c r="E1550" s="4" t="s">
        <v>241</v>
      </c>
    </row>
    <row r="1551" spans="1:5" hidden="1" x14ac:dyDescent="0.15">
      <c r="A1551" s="1" t="s">
        <v>0</v>
      </c>
      <c r="B1551" s="2">
        <v>1865866</v>
      </c>
      <c r="C1551" s="3">
        <v>1</v>
      </c>
      <c r="D1551" s="4" t="s">
        <v>271</v>
      </c>
      <c r="E1551" s="4" t="s">
        <v>272</v>
      </c>
    </row>
    <row r="1552" spans="1:5" ht="26" hidden="1" x14ac:dyDescent="0.15">
      <c r="A1552" s="1" t="s">
        <v>3</v>
      </c>
      <c r="B1552" s="2">
        <v>36485</v>
      </c>
      <c r="C1552" s="3">
        <v>0.02</v>
      </c>
      <c r="D1552" s="4" t="s">
        <v>271</v>
      </c>
      <c r="E1552" s="4" t="s">
        <v>272</v>
      </c>
    </row>
    <row r="1553" spans="1:5" hidden="1" x14ac:dyDescent="0.15">
      <c r="A1553" s="1" t="s">
        <v>4</v>
      </c>
      <c r="B1553" s="2">
        <v>33074</v>
      </c>
      <c r="C1553" s="3">
        <v>1.8000000000000002E-2</v>
      </c>
      <c r="D1553" s="4" t="s">
        <v>271</v>
      </c>
      <c r="E1553" s="4" t="s">
        <v>272</v>
      </c>
    </row>
    <row r="1554" spans="1:5" ht="26" hidden="1" x14ac:dyDescent="0.15">
      <c r="A1554" s="1" t="s">
        <v>5</v>
      </c>
      <c r="B1554" s="2">
        <v>63997</v>
      </c>
      <c r="C1554" s="3">
        <v>3.4000000000000002E-2</v>
      </c>
      <c r="D1554" s="4" t="s">
        <v>271</v>
      </c>
      <c r="E1554" s="4" t="s">
        <v>272</v>
      </c>
    </row>
    <row r="1555" spans="1:5" ht="26" hidden="1" x14ac:dyDescent="0.15">
      <c r="A1555" s="1" t="s">
        <v>6</v>
      </c>
      <c r="B1555" s="2">
        <v>118219</v>
      </c>
      <c r="C1555" s="3">
        <v>6.3E-2</v>
      </c>
      <c r="D1555" s="4" t="s">
        <v>271</v>
      </c>
      <c r="E1555" s="4" t="s">
        <v>272</v>
      </c>
    </row>
    <row r="1556" spans="1:5" ht="26" hidden="1" x14ac:dyDescent="0.15">
      <c r="A1556" s="1" t="s">
        <v>7</v>
      </c>
      <c r="B1556" s="2">
        <v>303385</v>
      </c>
      <c r="C1556" s="3">
        <v>0.16300000000000001</v>
      </c>
      <c r="D1556" s="4" t="s">
        <v>271</v>
      </c>
      <c r="E1556" s="4" t="s">
        <v>272</v>
      </c>
    </row>
    <row r="1557" spans="1:5" ht="26" hidden="1" x14ac:dyDescent="0.15">
      <c r="A1557" s="1" t="s">
        <v>8</v>
      </c>
      <c r="B1557" s="2">
        <v>13159</v>
      </c>
      <c r="C1557" s="3">
        <v>6.9999999999999993E-3</v>
      </c>
      <c r="D1557" s="4" t="s">
        <v>271</v>
      </c>
      <c r="E1557" s="4" t="s">
        <v>272</v>
      </c>
    </row>
    <row r="1558" spans="1:5" ht="26" hidden="1" x14ac:dyDescent="0.15">
      <c r="A1558" s="1" t="s">
        <v>9</v>
      </c>
      <c r="B1558" s="2">
        <v>55577</v>
      </c>
      <c r="C1558" s="3">
        <v>0.03</v>
      </c>
      <c r="D1558" s="4" t="s">
        <v>271</v>
      </c>
      <c r="E1558" s="4" t="s">
        <v>272</v>
      </c>
    </row>
    <row r="1559" spans="1:5" ht="26" hidden="1" x14ac:dyDescent="0.15">
      <c r="A1559" s="1" t="s">
        <v>10</v>
      </c>
      <c r="B1559" s="2">
        <v>78958</v>
      </c>
      <c r="C1559" s="3">
        <v>4.2000000000000003E-2</v>
      </c>
      <c r="D1559" s="4" t="s">
        <v>271</v>
      </c>
      <c r="E1559" s="4" t="s">
        <v>272</v>
      </c>
    </row>
    <row r="1560" spans="1:5" ht="26" hidden="1" x14ac:dyDescent="0.15">
      <c r="A1560" s="1" t="s">
        <v>11</v>
      </c>
      <c r="B1560" s="2">
        <v>119102</v>
      </c>
      <c r="C1560" s="3">
        <v>6.4000000000000001E-2</v>
      </c>
      <c r="D1560" s="4" t="s">
        <v>271</v>
      </c>
      <c r="E1560" s="4" t="s">
        <v>272</v>
      </c>
    </row>
    <row r="1561" spans="1:5" ht="26" hidden="1" x14ac:dyDescent="0.15">
      <c r="A1561" s="1" t="s">
        <v>12</v>
      </c>
      <c r="B1561" s="2">
        <v>41596</v>
      </c>
      <c r="C1561" s="3">
        <v>2.2000000000000002E-2</v>
      </c>
      <c r="D1561" s="4" t="s">
        <v>271</v>
      </c>
      <c r="E1561" s="4" t="s">
        <v>272</v>
      </c>
    </row>
    <row r="1562" spans="1:5" ht="26" hidden="1" x14ac:dyDescent="0.15">
      <c r="A1562" s="1" t="s">
        <v>13</v>
      </c>
      <c r="B1562" s="2">
        <v>14084</v>
      </c>
      <c r="C1562" s="3">
        <v>8.0000000000000002E-3</v>
      </c>
      <c r="D1562" s="4" t="s">
        <v>271</v>
      </c>
      <c r="E1562" s="4" t="s">
        <v>272</v>
      </c>
    </row>
    <row r="1563" spans="1:5" hidden="1" x14ac:dyDescent="0.15">
      <c r="A1563" s="1" t="s">
        <v>14</v>
      </c>
      <c r="B1563" s="2">
        <v>154799</v>
      </c>
      <c r="C1563" s="3">
        <v>8.3000000000000004E-2</v>
      </c>
      <c r="D1563" s="4" t="s">
        <v>271</v>
      </c>
      <c r="E1563" s="4" t="s">
        <v>272</v>
      </c>
    </row>
    <row r="1564" spans="1:5" ht="26" hidden="1" x14ac:dyDescent="0.15">
      <c r="A1564" s="1" t="s">
        <v>15</v>
      </c>
      <c r="B1564" s="2">
        <v>150935</v>
      </c>
      <c r="C1564" s="3">
        <v>8.1000000000000003E-2</v>
      </c>
      <c r="D1564" s="4" t="s">
        <v>271</v>
      </c>
      <c r="E1564" s="4" t="s">
        <v>272</v>
      </c>
    </row>
    <row r="1565" spans="1:5" ht="26" hidden="1" x14ac:dyDescent="0.15">
      <c r="A1565" s="1" t="s">
        <v>16</v>
      </c>
      <c r="B1565" s="2">
        <v>52138</v>
      </c>
      <c r="C1565" s="3">
        <v>2.7999999999999997E-2</v>
      </c>
      <c r="D1565" s="4" t="s">
        <v>271</v>
      </c>
      <c r="E1565" s="4" t="s">
        <v>272</v>
      </c>
    </row>
    <row r="1566" spans="1:5" ht="26" hidden="1" x14ac:dyDescent="0.15">
      <c r="A1566" s="1" t="s">
        <v>17</v>
      </c>
      <c r="B1566" s="2">
        <v>51910</v>
      </c>
      <c r="C1566" s="3">
        <v>2.7999999999999997E-2</v>
      </c>
      <c r="D1566" s="4" t="s">
        <v>271</v>
      </c>
      <c r="E1566" s="4" t="s">
        <v>272</v>
      </c>
    </row>
    <row r="1567" spans="1:5" hidden="1" x14ac:dyDescent="0.15">
      <c r="A1567" s="1" t="s">
        <v>18</v>
      </c>
      <c r="B1567" s="2">
        <v>16713</v>
      </c>
      <c r="C1567" s="3">
        <v>9.0000000000000011E-3</v>
      </c>
      <c r="D1567" s="4" t="s">
        <v>271</v>
      </c>
      <c r="E1567" s="4" t="s">
        <v>272</v>
      </c>
    </row>
    <row r="1568" spans="1:5" hidden="1" x14ac:dyDescent="0.15">
      <c r="A1568" s="1" t="s">
        <v>19</v>
      </c>
      <c r="B1568" s="2">
        <v>236132</v>
      </c>
      <c r="C1568" s="3">
        <v>0.127</v>
      </c>
      <c r="D1568" s="4" t="s">
        <v>271</v>
      </c>
      <c r="E1568" s="4" t="s">
        <v>272</v>
      </c>
    </row>
    <row r="1569" spans="1:5" hidden="1" x14ac:dyDescent="0.15">
      <c r="A1569" s="1" t="s">
        <v>20</v>
      </c>
      <c r="B1569" s="2">
        <v>49354</v>
      </c>
      <c r="C1569" s="3">
        <v>2.6000000000000002E-2</v>
      </c>
      <c r="D1569" s="4" t="s">
        <v>271</v>
      </c>
      <c r="E1569" s="4" t="s">
        <v>272</v>
      </c>
    </row>
    <row r="1570" spans="1:5" ht="26" hidden="1" x14ac:dyDescent="0.15">
      <c r="A1570" s="1" t="s">
        <v>21</v>
      </c>
      <c r="B1570" s="2">
        <v>34155</v>
      </c>
      <c r="C1570" s="3">
        <v>1.8000000000000002E-2</v>
      </c>
      <c r="D1570" s="4" t="s">
        <v>271</v>
      </c>
      <c r="E1570" s="4" t="s">
        <v>272</v>
      </c>
    </row>
    <row r="1571" spans="1:5" ht="26" hidden="1" x14ac:dyDescent="0.15">
      <c r="A1571" s="1" t="s">
        <v>22</v>
      </c>
      <c r="B1571" s="2">
        <v>81109</v>
      </c>
      <c r="C1571" s="3">
        <v>4.2999999999999997E-2</v>
      </c>
      <c r="D1571" s="4" t="s">
        <v>271</v>
      </c>
      <c r="E1571" s="4" t="s">
        <v>272</v>
      </c>
    </row>
    <row r="1572" spans="1:5" ht="26" hidden="1" x14ac:dyDescent="0.15">
      <c r="A1572" s="1" t="s">
        <v>23</v>
      </c>
      <c r="B1572" s="2">
        <v>41195</v>
      </c>
      <c r="C1572" s="3">
        <v>2.2000000000000002E-2</v>
      </c>
      <c r="D1572" s="4" t="s">
        <v>271</v>
      </c>
      <c r="E1572" s="4" t="s">
        <v>272</v>
      </c>
    </row>
    <row r="1573" spans="1:5" ht="26" hidden="1" x14ac:dyDescent="0.15">
      <c r="A1573" s="1" t="s">
        <v>24</v>
      </c>
      <c r="B1573" s="2">
        <v>37304</v>
      </c>
      <c r="C1573" s="3">
        <v>0.02</v>
      </c>
      <c r="D1573" s="4" t="s">
        <v>271</v>
      </c>
      <c r="E1573" s="4" t="s">
        <v>272</v>
      </c>
    </row>
    <row r="1574" spans="1:5" ht="26" hidden="1" x14ac:dyDescent="0.15">
      <c r="A1574" s="1" t="s">
        <v>25</v>
      </c>
      <c r="B1574" s="2">
        <v>87041</v>
      </c>
      <c r="C1574" s="3">
        <v>4.7E-2</v>
      </c>
      <c r="D1574" s="4" t="s">
        <v>271</v>
      </c>
      <c r="E1574" s="4" t="s">
        <v>272</v>
      </c>
    </row>
    <row r="1575" spans="1:5" hidden="1" x14ac:dyDescent="0.15">
      <c r="A1575" s="1" t="s">
        <v>26</v>
      </c>
      <c r="B1575" s="2">
        <v>16031</v>
      </c>
      <c r="C1575" s="3">
        <v>9.0000000000000011E-3</v>
      </c>
      <c r="D1575" s="4" t="s">
        <v>271</v>
      </c>
      <c r="E1575" s="4" t="s">
        <v>272</v>
      </c>
    </row>
    <row r="1576" spans="1:5" hidden="1" x14ac:dyDescent="0.15">
      <c r="A1576" s="1" t="s">
        <v>27</v>
      </c>
      <c r="B1576" s="2">
        <v>95998</v>
      </c>
      <c r="C1576" s="3">
        <v>5.0999999999999997E-2</v>
      </c>
      <c r="D1576" s="4" t="s">
        <v>271</v>
      </c>
      <c r="E1576" s="4" t="s">
        <v>272</v>
      </c>
    </row>
    <row r="1577" spans="1:5" hidden="1" x14ac:dyDescent="0.15">
      <c r="A1577" s="1" t="s">
        <v>28</v>
      </c>
      <c r="B1577" s="2">
        <v>489116</v>
      </c>
      <c r="C1577" s="3">
        <v>0.26200000000000001</v>
      </c>
      <c r="D1577" s="4" t="s">
        <v>271</v>
      </c>
      <c r="E1577" s="4" t="s">
        <v>272</v>
      </c>
    </row>
    <row r="1578" spans="1:5" hidden="1" x14ac:dyDescent="0.15">
      <c r="A1578" s="1" t="s">
        <v>29</v>
      </c>
      <c r="B1578" s="2">
        <v>552468</v>
      </c>
      <c r="C1578" s="3">
        <v>0.29600000000000004</v>
      </c>
      <c r="D1578" s="4" t="s">
        <v>271</v>
      </c>
      <c r="E1578" s="4" t="s">
        <v>272</v>
      </c>
    </row>
    <row r="1579" spans="1:5" hidden="1" x14ac:dyDescent="0.15">
      <c r="A1579" s="1" t="s">
        <v>30</v>
      </c>
      <c r="B1579" s="2">
        <v>61857</v>
      </c>
      <c r="C1579" s="3">
        <v>3.3000000000000002E-2</v>
      </c>
      <c r="D1579" s="4" t="s">
        <v>271</v>
      </c>
      <c r="E1579" s="4" t="s">
        <v>272</v>
      </c>
    </row>
    <row r="1580" spans="1:5" ht="39" hidden="1" x14ac:dyDescent="0.15">
      <c r="A1580" s="1" t="s">
        <v>31</v>
      </c>
      <c r="B1580" s="2">
        <v>33560</v>
      </c>
      <c r="C1580" s="3">
        <v>1.8000000000000002E-2</v>
      </c>
      <c r="D1580" s="4" t="s">
        <v>271</v>
      </c>
      <c r="E1580" s="4" t="s">
        <v>272</v>
      </c>
    </row>
    <row r="1581" spans="1:5" hidden="1" x14ac:dyDescent="0.15">
      <c r="A1581" s="1" t="s">
        <v>32</v>
      </c>
      <c r="B1581" s="2">
        <v>53118</v>
      </c>
      <c r="C1581" s="3">
        <v>2.7999999999999997E-2</v>
      </c>
      <c r="D1581" s="4" t="s">
        <v>271</v>
      </c>
      <c r="E1581" s="4" t="s">
        <v>272</v>
      </c>
    </row>
    <row r="1582" spans="1:5" hidden="1" x14ac:dyDescent="0.15">
      <c r="A1582" s="1" t="s">
        <v>33</v>
      </c>
      <c r="B1582" s="2">
        <v>452418</v>
      </c>
      <c r="C1582" s="3">
        <v>0.24199999999999999</v>
      </c>
      <c r="D1582" s="4" t="s">
        <v>271</v>
      </c>
      <c r="E1582" s="4" t="s">
        <v>272</v>
      </c>
    </row>
    <row r="1583" spans="1:5" hidden="1" x14ac:dyDescent="0.15">
      <c r="A1583" s="1" t="s">
        <v>34</v>
      </c>
      <c r="B1583" s="2">
        <v>72661</v>
      </c>
      <c r="C1583" s="3">
        <v>3.9E-2</v>
      </c>
      <c r="D1583" s="4" t="s">
        <v>271</v>
      </c>
      <c r="E1583" s="4" t="s">
        <v>272</v>
      </c>
    </row>
    <row r="1584" spans="1:5" hidden="1" x14ac:dyDescent="0.15">
      <c r="A1584" s="1" t="s">
        <v>35</v>
      </c>
      <c r="B1584" s="2">
        <v>204641</v>
      </c>
      <c r="C1584" s="3">
        <v>0.11</v>
      </c>
      <c r="D1584" s="4" t="s">
        <v>271</v>
      </c>
      <c r="E1584" s="4" t="s">
        <v>272</v>
      </c>
    </row>
    <row r="1585" spans="1:5" ht="26" hidden="1" x14ac:dyDescent="0.15">
      <c r="A1585" s="1" t="s">
        <v>36</v>
      </c>
      <c r="B1585" s="2">
        <v>102745</v>
      </c>
      <c r="C1585" s="3">
        <v>5.5E-2</v>
      </c>
      <c r="D1585" s="4" t="s">
        <v>271</v>
      </c>
      <c r="E1585" s="4" t="s">
        <v>272</v>
      </c>
    </row>
    <row r="1586" spans="1:5" hidden="1" x14ac:dyDescent="0.15">
      <c r="A1586" s="1" t="s">
        <v>37</v>
      </c>
      <c r="B1586" s="2">
        <v>79028</v>
      </c>
      <c r="C1586" s="3">
        <v>4.2000000000000003E-2</v>
      </c>
      <c r="D1586" s="4" t="s">
        <v>271</v>
      </c>
      <c r="E1586" s="4" t="s">
        <v>272</v>
      </c>
    </row>
    <row r="1587" spans="1:5" ht="39" hidden="1" x14ac:dyDescent="0.15">
      <c r="A1587" s="1" t="s">
        <v>38</v>
      </c>
      <c r="B1587" s="2">
        <v>51946</v>
      </c>
      <c r="C1587" s="3">
        <v>2.7999999999999997E-2</v>
      </c>
      <c r="D1587" s="4" t="s">
        <v>271</v>
      </c>
      <c r="E1587" s="4" t="s">
        <v>272</v>
      </c>
    </row>
    <row r="1588" spans="1:5" hidden="1" x14ac:dyDescent="0.15">
      <c r="A1588" s="1" t="s">
        <v>39</v>
      </c>
      <c r="B1588" s="2">
        <v>128412</v>
      </c>
      <c r="C1588" s="3">
        <v>6.9000000000000006E-2</v>
      </c>
      <c r="D1588" s="4" t="s">
        <v>271</v>
      </c>
      <c r="E1588" s="4" t="s">
        <v>272</v>
      </c>
    </row>
    <row r="1589" spans="1:5" hidden="1" x14ac:dyDescent="0.15">
      <c r="A1589" s="1" t="s">
        <v>40</v>
      </c>
      <c r="B1589" s="2">
        <v>41010</v>
      </c>
      <c r="C1589" s="3">
        <v>2.2000000000000002E-2</v>
      </c>
      <c r="D1589" s="4" t="s">
        <v>271</v>
      </c>
      <c r="E1589" s="4" t="s">
        <v>272</v>
      </c>
    </row>
    <row r="1590" spans="1:5" hidden="1" x14ac:dyDescent="0.15">
      <c r="A1590" s="1" t="s">
        <v>41</v>
      </c>
      <c r="B1590" s="2">
        <v>37691</v>
      </c>
      <c r="C1590" s="3">
        <v>0.02</v>
      </c>
      <c r="D1590" s="4" t="s">
        <v>271</v>
      </c>
      <c r="E1590" s="4" t="s">
        <v>272</v>
      </c>
    </row>
    <row r="1591" spans="1:5" hidden="1" x14ac:dyDescent="0.15">
      <c r="A1591" s="1" t="s">
        <v>42</v>
      </c>
      <c r="B1591" s="2">
        <v>142871</v>
      </c>
      <c r="C1591" s="3">
        <v>7.6999999999999999E-2</v>
      </c>
      <c r="D1591" s="4" t="s">
        <v>271</v>
      </c>
      <c r="E1591" s="4" t="s">
        <v>272</v>
      </c>
    </row>
    <row r="1592" spans="1:5" hidden="1" x14ac:dyDescent="0.15">
      <c r="A1592" s="1" t="s">
        <v>43</v>
      </c>
      <c r="B1592" s="2">
        <v>182027</v>
      </c>
      <c r="C1592" s="3">
        <v>9.8000000000000004E-2</v>
      </c>
      <c r="D1592" s="4" t="s">
        <v>271</v>
      </c>
      <c r="E1592" s="4" t="s">
        <v>272</v>
      </c>
    </row>
    <row r="1593" spans="1:5" ht="26" hidden="1" x14ac:dyDescent="0.15">
      <c r="A1593" s="1" t="s">
        <v>44</v>
      </c>
      <c r="B1593" s="2">
        <v>289972</v>
      </c>
      <c r="C1593" s="3">
        <v>0.155</v>
      </c>
      <c r="D1593" s="4" t="s">
        <v>271</v>
      </c>
      <c r="E1593" s="4" t="s">
        <v>272</v>
      </c>
    </row>
    <row r="1594" spans="1:5" hidden="1" x14ac:dyDescent="0.15">
      <c r="A1594" s="1" t="s">
        <v>45</v>
      </c>
      <c r="B1594" s="2">
        <v>363550</v>
      </c>
      <c r="C1594" s="3">
        <v>0.19500000000000001</v>
      </c>
      <c r="D1594" s="4" t="s">
        <v>271</v>
      </c>
      <c r="E1594" s="4" t="s">
        <v>272</v>
      </c>
    </row>
    <row r="1595" spans="1:5" ht="26" hidden="1" x14ac:dyDescent="0.15">
      <c r="A1595" s="1" t="s">
        <v>46</v>
      </c>
      <c r="B1595" s="2">
        <v>531395</v>
      </c>
      <c r="C1595" s="3">
        <v>0.28499999999999998</v>
      </c>
      <c r="D1595" s="4" t="s">
        <v>271</v>
      </c>
      <c r="E1595" s="4" t="s">
        <v>272</v>
      </c>
    </row>
    <row r="1596" spans="1:5" hidden="1" x14ac:dyDescent="0.15">
      <c r="A1596" s="1" t="s">
        <v>47</v>
      </c>
      <c r="B1596" s="2">
        <v>784759</v>
      </c>
      <c r="C1596" s="3">
        <v>0.42100000000000004</v>
      </c>
      <c r="D1596" s="4" t="s">
        <v>271</v>
      </c>
      <c r="E1596" s="4" t="s">
        <v>272</v>
      </c>
    </row>
    <row r="1597" spans="1:5" hidden="1" x14ac:dyDescent="0.15">
      <c r="A1597" s="1" t="s">
        <v>48</v>
      </c>
      <c r="B1597" s="2">
        <v>121187</v>
      </c>
      <c r="C1597" s="3">
        <v>6.5000000000000002E-2</v>
      </c>
      <c r="D1597" s="4" t="s">
        <v>271</v>
      </c>
      <c r="E1597" s="4" t="s">
        <v>272</v>
      </c>
    </row>
    <row r="1598" spans="1:5" hidden="1" x14ac:dyDescent="0.15">
      <c r="A1598" s="1" t="s">
        <v>49</v>
      </c>
      <c r="B1598" s="2">
        <v>227903</v>
      </c>
      <c r="C1598" s="3">
        <v>0.122</v>
      </c>
      <c r="D1598" s="4" t="s">
        <v>271</v>
      </c>
      <c r="E1598" s="4" t="s">
        <v>272</v>
      </c>
    </row>
    <row r="1599" spans="1:5" ht="26" hidden="1" x14ac:dyDescent="0.15">
      <c r="A1599" s="1" t="s">
        <v>50</v>
      </c>
      <c r="B1599" s="2">
        <v>304712</v>
      </c>
      <c r="C1599" s="3">
        <v>0.16300000000000001</v>
      </c>
      <c r="D1599" s="4" t="s">
        <v>271</v>
      </c>
      <c r="E1599" s="4" t="s">
        <v>272</v>
      </c>
    </row>
    <row r="1600" spans="1:5" hidden="1" x14ac:dyDescent="0.15">
      <c r="A1600" s="1" t="s">
        <v>51</v>
      </c>
      <c r="B1600" s="2">
        <v>486480</v>
      </c>
      <c r="C1600" s="3">
        <v>0.26100000000000001</v>
      </c>
      <c r="D1600" s="4" t="s">
        <v>271</v>
      </c>
      <c r="E1600" s="4" t="s">
        <v>272</v>
      </c>
    </row>
    <row r="1601" spans="1:5" hidden="1" x14ac:dyDescent="0.15">
      <c r="A1601" s="1" t="s">
        <v>52</v>
      </c>
      <c r="B1601" s="2">
        <v>217437</v>
      </c>
      <c r="C1601" s="3">
        <v>0.11699999999999999</v>
      </c>
      <c r="D1601" s="4" t="s">
        <v>271</v>
      </c>
      <c r="E1601" s="4" t="s">
        <v>272</v>
      </c>
    </row>
    <row r="1602" spans="1:5" ht="26" hidden="1" x14ac:dyDescent="0.15">
      <c r="A1602" s="1" t="s">
        <v>53</v>
      </c>
      <c r="B1602" s="2">
        <v>140041</v>
      </c>
      <c r="C1602" s="3">
        <v>7.4999999999999997E-2</v>
      </c>
      <c r="D1602" s="4" t="s">
        <v>271</v>
      </c>
      <c r="E1602" s="4" t="s">
        <v>272</v>
      </c>
    </row>
    <row r="1603" spans="1:5" hidden="1" x14ac:dyDescent="0.15">
      <c r="A1603" s="1" t="s">
        <v>54</v>
      </c>
      <c r="B1603" s="2">
        <v>593769</v>
      </c>
      <c r="C1603" s="3">
        <v>0.318</v>
      </c>
      <c r="D1603" s="4" t="s">
        <v>271</v>
      </c>
      <c r="E1603" s="4" t="s">
        <v>272</v>
      </c>
    </row>
    <row r="1604" spans="1:5" ht="26" hidden="1" x14ac:dyDescent="0.15">
      <c r="A1604" s="1" t="s">
        <v>55</v>
      </c>
      <c r="B1604" s="2">
        <v>563861</v>
      </c>
      <c r="C1604" s="3">
        <v>0.30199999999999999</v>
      </c>
      <c r="D1604" s="4" t="s">
        <v>271</v>
      </c>
      <c r="E1604" s="4" t="s">
        <v>272</v>
      </c>
    </row>
    <row r="1605" spans="1:5" hidden="1" x14ac:dyDescent="0.15">
      <c r="A1605" s="1" t="s">
        <v>56</v>
      </c>
      <c r="B1605" s="2">
        <v>456822</v>
      </c>
      <c r="C1605" s="3">
        <v>0.245</v>
      </c>
      <c r="D1605" s="4" t="s">
        <v>271</v>
      </c>
      <c r="E1605" s="4" t="s">
        <v>272</v>
      </c>
    </row>
    <row r="1606" spans="1:5" hidden="1" x14ac:dyDescent="0.15">
      <c r="A1606" s="1" t="s">
        <v>57</v>
      </c>
      <c r="B1606" s="2">
        <v>211053</v>
      </c>
      <c r="C1606" s="3">
        <v>0.113</v>
      </c>
      <c r="D1606" s="4" t="s">
        <v>271</v>
      </c>
      <c r="E1606" s="4" t="s">
        <v>272</v>
      </c>
    </row>
    <row r="1607" spans="1:5" hidden="1" x14ac:dyDescent="0.15">
      <c r="A1607" s="1" t="s">
        <v>58</v>
      </c>
      <c r="B1607" s="2">
        <v>156560</v>
      </c>
      <c r="C1607" s="3">
        <v>8.4000000000000005E-2</v>
      </c>
      <c r="D1607" s="4" t="s">
        <v>271</v>
      </c>
      <c r="E1607" s="4" t="s">
        <v>272</v>
      </c>
    </row>
    <row r="1608" spans="1:5" hidden="1" x14ac:dyDescent="0.15">
      <c r="A1608" s="1" t="s">
        <v>59</v>
      </c>
      <c r="B1608" s="2">
        <v>766876</v>
      </c>
      <c r="C1608" s="3">
        <v>0.41100000000000003</v>
      </c>
      <c r="D1608" s="4" t="s">
        <v>271</v>
      </c>
      <c r="E1608" s="4" t="s">
        <v>272</v>
      </c>
    </row>
    <row r="1609" spans="1:5" hidden="1" x14ac:dyDescent="0.15">
      <c r="A1609" s="1" t="s">
        <v>60</v>
      </c>
      <c r="B1609" s="2">
        <v>304310</v>
      </c>
      <c r="C1609" s="3">
        <v>0.16300000000000001</v>
      </c>
      <c r="D1609" s="4" t="s">
        <v>271</v>
      </c>
      <c r="E1609" s="4" t="s">
        <v>272</v>
      </c>
    </row>
    <row r="1610" spans="1:5" ht="26" hidden="1" x14ac:dyDescent="0.15">
      <c r="A1610" s="1" t="s">
        <v>61</v>
      </c>
      <c r="B1610" s="2">
        <v>275574</v>
      </c>
      <c r="C1610" s="3">
        <v>0.14800000000000002</v>
      </c>
      <c r="D1610" s="4" t="s">
        <v>271</v>
      </c>
      <c r="E1610" s="4" t="s">
        <v>272</v>
      </c>
    </row>
    <row r="1611" spans="1:5" hidden="1" x14ac:dyDescent="0.15">
      <c r="A1611" s="1" t="s">
        <v>62</v>
      </c>
      <c r="B1611" s="2">
        <v>271225</v>
      </c>
      <c r="C1611" s="3">
        <v>0.14499999999999999</v>
      </c>
      <c r="D1611" s="4" t="s">
        <v>271</v>
      </c>
      <c r="E1611" s="4" t="s">
        <v>272</v>
      </c>
    </row>
    <row r="1612" spans="1:5" ht="26" hidden="1" x14ac:dyDescent="0.15">
      <c r="A1612" s="1" t="s">
        <v>63</v>
      </c>
      <c r="B1612" s="2">
        <v>258256</v>
      </c>
      <c r="C1612" s="3">
        <v>0.13800000000000001</v>
      </c>
      <c r="D1612" s="4" t="s">
        <v>271</v>
      </c>
      <c r="E1612" s="4" t="s">
        <v>272</v>
      </c>
    </row>
    <row r="1613" spans="1:5" ht="26" hidden="1" x14ac:dyDescent="0.15">
      <c r="A1613" s="1" t="s">
        <v>64</v>
      </c>
      <c r="B1613" s="2">
        <v>130659</v>
      </c>
      <c r="C1613" s="3">
        <v>7.0000000000000007E-2</v>
      </c>
      <c r="D1613" s="4" t="s">
        <v>271</v>
      </c>
      <c r="E1613" s="4" t="s">
        <v>272</v>
      </c>
    </row>
    <row r="1614" spans="1:5" hidden="1" x14ac:dyDescent="0.15">
      <c r="A1614" s="1" t="s">
        <v>65</v>
      </c>
      <c r="B1614" s="2">
        <v>377239</v>
      </c>
      <c r="C1614" s="3">
        <v>0.20199999999999999</v>
      </c>
      <c r="D1614" s="4" t="s">
        <v>271</v>
      </c>
      <c r="E1614" s="4" t="s">
        <v>272</v>
      </c>
    </row>
    <row r="1615" spans="1:5" hidden="1" x14ac:dyDescent="0.15">
      <c r="A1615" s="1" t="s">
        <v>66</v>
      </c>
      <c r="B1615" s="2">
        <v>177438</v>
      </c>
      <c r="C1615" s="3">
        <v>9.5000000000000001E-2</v>
      </c>
      <c r="D1615" s="4" t="s">
        <v>271</v>
      </c>
      <c r="E1615" s="4" t="s">
        <v>272</v>
      </c>
    </row>
    <row r="1616" spans="1:5" hidden="1" x14ac:dyDescent="0.15">
      <c r="A1616" s="1" t="s">
        <v>67</v>
      </c>
      <c r="B1616" s="2">
        <v>379975</v>
      </c>
      <c r="C1616" s="3">
        <v>0.20399999999999999</v>
      </c>
      <c r="D1616" s="4" t="s">
        <v>271</v>
      </c>
      <c r="E1616" s="4" t="s">
        <v>272</v>
      </c>
    </row>
    <row r="1617" spans="1:5" hidden="1" x14ac:dyDescent="0.15">
      <c r="A1617" s="1" t="s">
        <v>68</v>
      </c>
      <c r="B1617" s="2">
        <v>1072296</v>
      </c>
      <c r="C1617" s="3">
        <v>0.57499999999999996</v>
      </c>
      <c r="D1617" s="4" t="s">
        <v>271</v>
      </c>
      <c r="E1617" s="4" t="s">
        <v>272</v>
      </c>
    </row>
    <row r="1618" spans="1:5" hidden="1" x14ac:dyDescent="0.15">
      <c r="A1618" s="1" t="s">
        <v>69</v>
      </c>
      <c r="B1618" s="2">
        <v>1178289</v>
      </c>
      <c r="C1618" s="3">
        <v>0.63100000000000001</v>
      </c>
      <c r="D1618" s="4" t="s">
        <v>271</v>
      </c>
      <c r="E1618" s="4" t="s">
        <v>272</v>
      </c>
    </row>
    <row r="1619" spans="1:5" hidden="1" x14ac:dyDescent="0.15">
      <c r="A1619" s="1" t="s">
        <v>70</v>
      </c>
      <c r="B1619" s="2">
        <v>307555</v>
      </c>
      <c r="C1619" s="3">
        <v>0.16500000000000001</v>
      </c>
      <c r="D1619" s="4" t="s">
        <v>271</v>
      </c>
      <c r="E1619" s="4" t="s">
        <v>272</v>
      </c>
    </row>
    <row r="1620" spans="1:5" ht="26" hidden="1" x14ac:dyDescent="0.15">
      <c r="A1620" s="1" t="s">
        <v>71</v>
      </c>
      <c r="B1620" s="2">
        <v>159373</v>
      </c>
      <c r="C1620" s="3">
        <v>8.5000000000000006E-2</v>
      </c>
      <c r="D1620" s="4" t="s">
        <v>271</v>
      </c>
      <c r="E1620" s="4" t="s">
        <v>272</v>
      </c>
    </row>
    <row r="1621" spans="1:5" hidden="1" x14ac:dyDescent="0.15">
      <c r="A1621" s="1" t="s">
        <v>72</v>
      </c>
      <c r="B1621" s="2">
        <v>229086</v>
      </c>
      <c r="C1621" s="3">
        <v>0.12300000000000001</v>
      </c>
      <c r="D1621" s="4" t="s">
        <v>271</v>
      </c>
      <c r="E1621" s="4" t="s">
        <v>272</v>
      </c>
    </row>
    <row r="1622" spans="1:5" hidden="1" x14ac:dyDescent="0.15">
      <c r="A1622" s="1" t="s">
        <v>73</v>
      </c>
      <c r="B1622" s="2">
        <v>986712</v>
      </c>
      <c r="C1622" s="3">
        <v>0.52900000000000003</v>
      </c>
      <c r="D1622" s="4" t="s">
        <v>271</v>
      </c>
      <c r="E1622" s="4" t="s">
        <v>272</v>
      </c>
    </row>
    <row r="1623" spans="1:5" hidden="1" x14ac:dyDescent="0.15">
      <c r="A1623" s="1" t="s">
        <v>74</v>
      </c>
      <c r="B1623" s="2">
        <v>374128</v>
      </c>
      <c r="C1623" s="3">
        <v>0.20100000000000001</v>
      </c>
      <c r="D1623" s="4" t="s">
        <v>271</v>
      </c>
      <c r="E1623" s="4" t="s">
        <v>272</v>
      </c>
    </row>
    <row r="1624" spans="1:5" hidden="1" x14ac:dyDescent="0.15">
      <c r="A1624" s="1" t="s">
        <v>75</v>
      </c>
      <c r="B1624" s="2">
        <v>562625</v>
      </c>
      <c r="C1624" s="3">
        <v>0.30199999999999999</v>
      </c>
      <c r="D1624" s="4" t="s">
        <v>271</v>
      </c>
      <c r="E1624" s="4" t="s">
        <v>272</v>
      </c>
    </row>
    <row r="1625" spans="1:5" hidden="1" x14ac:dyDescent="0.15">
      <c r="A1625" s="1" t="s">
        <v>76</v>
      </c>
      <c r="B1625" s="2">
        <v>433214</v>
      </c>
      <c r="C1625" s="3">
        <v>0.23199999999999998</v>
      </c>
      <c r="D1625" s="4" t="s">
        <v>271</v>
      </c>
      <c r="E1625" s="4" t="s">
        <v>272</v>
      </c>
    </row>
    <row r="1626" spans="1:5" hidden="1" x14ac:dyDescent="0.15">
      <c r="A1626" s="1" t="s">
        <v>77</v>
      </c>
      <c r="B1626" s="2">
        <v>390526</v>
      </c>
      <c r="C1626" s="3">
        <v>0.20899999999999999</v>
      </c>
      <c r="D1626" s="4" t="s">
        <v>271</v>
      </c>
      <c r="E1626" s="4" t="s">
        <v>272</v>
      </c>
    </row>
    <row r="1627" spans="1:5" ht="26" hidden="1" x14ac:dyDescent="0.15">
      <c r="A1627" s="1" t="s">
        <v>78</v>
      </c>
      <c r="B1627" s="2">
        <v>227383</v>
      </c>
      <c r="C1627" s="3">
        <v>0.122</v>
      </c>
      <c r="D1627" s="4" t="s">
        <v>271</v>
      </c>
      <c r="E1627" s="4" t="s">
        <v>272</v>
      </c>
    </row>
    <row r="1628" spans="1:5" hidden="1" x14ac:dyDescent="0.15">
      <c r="A1628" s="1" t="s">
        <v>79</v>
      </c>
      <c r="B1628" s="2">
        <v>406343</v>
      </c>
      <c r="C1628" s="3">
        <v>0.218</v>
      </c>
      <c r="D1628" s="4" t="s">
        <v>271</v>
      </c>
      <c r="E1628" s="4" t="s">
        <v>272</v>
      </c>
    </row>
    <row r="1629" spans="1:5" hidden="1" x14ac:dyDescent="0.15">
      <c r="A1629" s="1" t="s">
        <v>80</v>
      </c>
      <c r="B1629" s="2">
        <v>342549</v>
      </c>
      <c r="C1629" s="3">
        <v>0.184</v>
      </c>
      <c r="D1629" s="4" t="s">
        <v>271</v>
      </c>
      <c r="E1629" s="4" t="s">
        <v>272</v>
      </c>
    </row>
    <row r="1630" spans="1:5" ht="26" hidden="1" x14ac:dyDescent="0.15">
      <c r="A1630" s="1" t="s">
        <v>81</v>
      </c>
      <c r="B1630" s="2">
        <v>294411</v>
      </c>
      <c r="C1630" s="3">
        <v>0.158</v>
      </c>
      <c r="D1630" s="4" t="s">
        <v>271</v>
      </c>
      <c r="E1630" s="4" t="s">
        <v>272</v>
      </c>
    </row>
    <row r="1631" spans="1:5" hidden="1" x14ac:dyDescent="0.15">
      <c r="A1631" s="1" t="s">
        <v>82</v>
      </c>
      <c r="B1631" s="2">
        <v>316955</v>
      </c>
      <c r="C1631" s="3">
        <v>0.17</v>
      </c>
      <c r="D1631" s="4" t="s">
        <v>271</v>
      </c>
      <c r="E1631" s="4" t="s">
        <v>272</v>
      </c>
    </row>
    <row r="1632" spans="1:5" hidden="1" x14ac:dyDescent="0.15">
      <c r="A1632" s="4"/>
      <c r="B1632" s="4"/>
      <c r="C1632" s="4"/>
      <c r="D1632" s="4" t="s">
        <v>271</v>
      </c>
      <c r="E1632" s="4" t="s">
        <v>272</v>
      </c>
    </row>
    <row r="1633" spans="1:5" hidden="1" x14ac:dyDescent="0.15">
      <c r="A1633" s="16"/>
      <c r="B1633" s="16"/>
      <c r="C1633" s="16"/>
      <c r="D1633" s="4" t="s">
        <v>271</v>
      </c>
      <c r="E1633" s="4" t="s">
        <v>272</v>
      </c>
    </row>
    <row r="1634" spans="1:5" hidden="1" x14ac:dyDescent="0.15">
      <c r="A1634" s="1" t="s">
        <v>273</v>
      </c>
      <c r="B1634" s="2">
        <v>296824</v>
      </c>
      <c r="C1634" s="3">
        <v>0.159</v>
      </c>
      <c r="D1634" s="4" t="s">
        <v>271</v>
      </c>
      <c r="E1634" s="4" t="s">
        <v>272</v>
      </c>
    </row>
    <row r="1635" spans="1:5" hidden="1" x14ac:dyDescent="0.15">
      <c r="A1635" s="1" t="s">
        <v>274</v>
      </c>
      <c r="B1635" s="2">
        <v>417961</v>
      </c>
      <c r="C1635" s="3">
        <v>0.22399999999999998</v>
      </c>
      <c r="D1635" s="4" t="s">
        <v>271</v>
      </c>
      <c r="E1635" s="4" t="s">
        <v>272</v>
      </c>
    </row>
    <row r="1636" spans="1:5" hidden="1" x14ac:dyDescent="0.15">
      <c r="A1636" s="4"/>
      <c r="B1636" s="4"/>
      <c r="C1636" s="4"/>
      <c r="D1636" s="4" t="s">
        <v>271</v>
      </c>
      <c r="E1636" s="4" t="s">
        <v>272</v>
      </c>
    </row>
    <row r="1637" spans="1:5" hidden="1" x14ac:dyDescent="0.15">
      <c r="A1637" s="16"/>
      <c r="B1637" s="16"/>
      <c r="C1637" s="16"/>
      <c r="D1637" s="4" t="s">
        <v>271</v>
      </c>
      <c r="E1637" s="4" t="s">
        <v>272</v>
      </c>
    </row>
    <row r="1638" spans="1:5" ht="26" hidden="1" x14ac:dyDescent="0.15">
      <c r="A1638" s="1" t="s">
        <v>275</v>
      </c>
      <c r="B1638" s="2">
        <v>1121770</v>
      </c>
      <c r="C1638" s="3">
        <v>0.60099999999999998</v>
      </c>
      <c r="D1638" s="4" t="s">
        <v>271</v>
      </c>
      <c r="E1638" s="4" t="s">
        <v>272</v>
      </c>
    </row>
    <row r="1639" spans="1:5" hidden="1" x14ac:dyDescent="0.15">
      <c r="A1639" s="4"/>
      <c r="B1639" s="4"/>
      <c r="C1639" s="4"/>
      <c r="D1639" s="4" t="s">
        <v>271</v>
      </c>
      <c r="E1639" s="4" t="s">
        <v>272</v>
      </c>
    </row>
    <row r="1640" spans="1:5" hidden="1" x14ac:dyDescent="0.15">
      <c r="A1640" s="16"/>
      <c r="B1640" s="16"/>
      <c r="C1640" s="16"/>
      <c r="D1640" s="4" t="s">
        <v>271</v>
      </c>
      <c r="E1640" s="4" t="s">
        <v>272</v>
      </c>
    </row>
    <row r="1641" spans="1:5" hidden="1" x14ac:dyDescent="0.15">
      <c r="A1641" s="1" t="s">
        <v>276</v>
      </c>
      <c r="B1641" s="2">
        <v>917422</v>
      </c>
      <c r="C1641" s="3">
        <v>0.49200000000000005</v>
      </c>
      <c r="D1641" s="4" t="s">
        <v>271</v>
      </c>
      <c r="E1641" s="4" t="s">
        <v>272</v>
      </c>
    </row>
    <row r="1642" spans="1:5" hidden="1" x14ac:dyDescent="0.15">
      <c r="A1642" s="1" t="s">
        <v>277</v>
      </c>
      <c r="B1642" s="2">
        <v>544922</v>
      </c>
      <c r="C1642" s="3">
        <v>0.29199999999999998</v>
      </c>
      <c r="D1642" s="4" t="s">
        <v>271</v>
      </c>
      <c r="E1642" s="4" t="s">
        <v>272</v>
      </c>
    </row>
    <row r="1643" spans="1:5" hidden="1" x14ac:dyDescent="0.15">
      <c r="A1643" s="4"/>
      <c r="B1643" s="4"/>
      <c r="C1643" s="4"/>
      <c r="D1643" s="4" t="s">
        <v>271</v>
      </c>
      <c r="E1643" s="4" t="s">
        <v>272</v>
      </c>
    </row>
    <row r="1644" spans="1:5" hidden="1" x14ac:dyDescent="0.15">
      <c r="A1644" s="16"/>
      <c r="B1644" s="16"/>
      <c r="C1644" s="16"/>
      <c r="D1644" s="4" t="s">
        <v>271</v>
      </c>
      <c r="E1644" s="4" t="s">
        <v>272</v>
      </c>
    </row>
    <row r="1645" spans="1:5" hidden="1" x14ac:dyDescent="0.15">
      <c r="A1645" s="1" t="s">
        <v>278</v>
      </c>
      <c r="B1645" s="2">
        <v>49247</v>
      </c>
      <c r="C1645" s="3">
        <v>2.6000000000000002E-2</v>
      </c>
      <c r="D1645" s="4" t="s">
        <v>271</v>
      </c>
      <c r="E1645" s="4" t="s">
        <v>272</v>
      </c>
    </row>
    <row r="1646" spans="1:5" hidden="1" x14ac:dyDescent="0.15">
      <c r="A1646" s="4"/>
      <c r="B1646" s="4"/>
      <c r="C1646" s="4"/>
      <c r="D1646" s="4" t="s">
        <v>271</v>
      </c>
      <c r="E1646" s="4" t="s">
        <v>272</v>
      </c>
    </row>
    <row r="1647" spans="1:5" hidden="1" x14ac:dyDescent="0.15">
      <c r="A1647" s="16"/>
      <c r="B1647" s="16"/>
      <c r="C1647" s="16"/>
      <c r="D1647" s="4" t="s">
        <v>271</v>
      </c>
      <c r="E1647" s="4" t="s">
        <v>272</v>
      </c>
    </row>
    <row r="1648" spans="1:5" ht="26" hidden="1" x14ac:dyDescent="0.15">
      <c r="A1648" s="1" t="s">
        <v>279</v>
      </c>
      <c r="B1648" s="2">
        <v>260281</v>
      </c>
      <c r="C1648" s="3">
        <v>0.13900000000000001</v>
      </c>
      <c r="D1648" s="4" t="s">
        <v>271</v>
      </c>
      <c r="E1648" s="4" t="s">
        <v>272</v>
      </c>
    </row>
    <row r="1649" spans="1:5" ht="26" hidden="1" x14ac:dyDescent="0.15">
      <c r="A1649" s="1" t="s">
        <v>280</v>
      </c>
      <c r="B1649" s="2">
        <v>418828</v>
      </c>
      <c r="C1649" s="3">
        <v>0.22399999999999998</v>
      </c>
      <c r="D1649" s="4" t="s">
        <v>271</v>
      </c>
      <c r="E1649" s="4" t="s">
        <v>272</v>
      </c>
    </row>
    <row r="1650" spans="1:5" ht="26" hidden="1" x14ac:dyDescent="0.15">
      <c r="A1650" s="1" t="s">
        <v>281</v>
      </c>
      <c r="B1650" s="2">
        <v>337966</v>
      </c>
      <c r="C1650" s="3">
        <v>0.18100000000000002</v>
      </c>
      <c r="D1650" s="4" t="s">
        <v>271</v>
      </c>
      <c r="E1650" s="4" t="s">
        <v>272</v>
      </c>
    </row>
    <row r="1651" spans="1:5" hidden="1" x14ac:dyDescent="0.15">
      <c r="A1651" s="1" t="s">
        <v>282</v>
      </c>
      <c r="B1651" s="2">
        <v>480461</v>
      </c>
      <c r="C1651" s="3">
        <v>0.25800000000000001</v>
      </c>
      <c r="D1651" s="4" t="s">
        <v>271</v>
      </c>
      <c r="E1651" s="4" t="s">
        <v>272</v>
      </c>
    </row>
    <row r="1652" spans="1:5" hidden="1" x14ac:dyDescent="0.15">
      <c r="A1652" s="1" t="s">
        <v>0</v>
      </c>
      <c r="B1652" s="2">
        <v>2109498</v>
      </c>
      <c r="C1652" s="3">
        <v>1</v>
      </c>
      <c r="D1652" s="4" t="s">
        <v>283</v>
      </c>
      <c r="E1652" s="4" t="s">
        <v>284</v>
      </c>
    </row>
    <row r="1653" spans="1:5" ht="26" hidden="1" x14ac:dyDescent="0.15">
      <c r="A1653" s="1" t="s">
        <v>3</v>
      </c>
      <c r="B1653" s="2">
        <v>28901</v>
      </c>
      <c r="C1653" s="3">
        <v>1.3999999999999999E-2</v>
      </c>
      <c r="D1653" s="4" t="s">
        <v>283</v>
      </c>
      <c r="E1653" s="4" t="s">
        <v>284</v>
      </c>
    </row>
    <row r="1654" spans="1:5" hidden="1" x14ac:dyDescent="0.15">
      <c r="A1654" s="1" t="s">
        <v>4</v>
      </c>
      <c r="B1654" s="2">
        <v>26518</v>
      </c>
      <c r="C1654" s="3">
        <v>1.3000000000000001E-2</v>
      </c>
      <c r="D1654" s="4" t="s">
        <v>283</v>
      </c>
      <c r="E1654" s="4" t="s">
        <v>284</v>
      </c>
    </row>
    <row r="1655" spans="1:5" ht="26" hidden="1" x14ac:dyDescent="0.15">
      <c r="A1655" s="1" t="s">
        <v>5</v>
      </c>
      <c r="B1655" s="2">
        <v>23799</v>
      </c>
      <c r="C1655" s="3">
        <v>1.1000000000000001E-2</v>
      </c>
      <c r="D1655" s="4" t="s">
        <v>283</v>
      </c>
      <c r="E1655" s="4" t="s">
        <v>284</v>
      </c>
    </row>
    <row r="1656" spans="1:5" ht="26" hidden="1" x14ac:dyDescent="0.15">
      <c r="A1656" s="1" t="s">
        <v>6</v>
      </c>
      <c r="B1656" s="2">
        <v>246633</v>
      </c>
      <c r="C1656" s="3">
        <v>0.11699999999999999</v>
      </c>
      <c r="D1656" s="4" t="s">
        <v>283</v>
      </c>
      <c r="E1656" s="4" t="s">
        <v>284</v>
      </c>
    </row>
    <row r="1657" spans="1:5" ht="26" hidden="1" x14ac:dyDescent="0.15">
      <c r="A1657" s="1" t="s">
        <v>7</v>
      </c>
      <c r="B1657" s="2">
        <v>422239</v>
      </c>
      <c r="C1657" s="3">
        <v>0.2</v>
      </c>
      <c r="D1657" s="4" t="s">
        <v>283</v>
      </c>
      <c r="E1657" s="4" t="s">
        <v>284</v>
      </c>
    </row>
    <row r="1658" spans="1:5" ht="26" hidden="1" x14ac:dyDescent="0.15">
      <c r="A1658" s="1" t="s">
        <v>8</v>
      </c>
      <c r="B1658" s="2">
        <v>20287</v>
      </c>
      <c r="C1658" s="3">
        <v>0.01</v>
      </c>
      <c r="D1658" s="4" t="s">
        <v>283</v>
      </c>
      <c r="E1658" s="4" t="s">
        <v>284</v>
      </c>
    </row>
    <row r="1659" spans="1:5" ht="26" hidden="1" x14ac:dyDescent="0.15">
      <c r="A1659" s="1" t="s">
        <v>9</v>
      </c>
      <c r="B1659" s="2">
        <v>33217</v>
      </c>
      <c r="C1659" s="3">
        <v>1.6E-2</v>
      </c>
      <c r="D1659" s="4" t="s">
        <v>283</v>
      </c>
      <c r="E1659" s="4" t="s">
        <v>284</v>
      </c>
    </row>
    <row r="1660" spans="1:5" ht="26" hidden="1" x14ac:dyDescent="0.15">
      <c r="A1660" s="1" t="s">
        <v>10</v>
      </c>
      <c r="B1660" s="2">
        <v>64144</v>
      </c>
      <c r="C1660" s="3">
        <v>0.03</v>
      </c>
      <c r="D1660" s="4" t="s">
        <v>283</v>
      </c>
      <c r="E1660" s="4" t="s">
        <v>284</v>
      </c>
    </row>
    <row r="1661" spans="1:5" ht="26" hidden="1" x14ac:dyDescent="0.15">
      <c r="A1661" s="1" t="s">
        <v>11</v>
      </c>
      <c r="B1661" s="2">
        <v>110532</v>
      </c>
      <c r="C1661" s="3">
        <v>5.2000000000000005E-2</v>
      </c>
      <c r="D1661" s="4" t="s">
        <v>283</v>
      </c>
      <c r="E1661" s="4" t="s">
        <v>284</v>
      </c>
    </row>
    <row r="1662" spans="1:5" ht="26" hidden="1" x14ac:dyDescent="0.15">
      <c r="A1662" s="1" t="s">
        <v>12</v>
      </c>
      <c r="B1662" s="2">
        <v>14749</v>
      </c>
      <c r="C1662" s="3">
        <v>6.9999999999999993E-3</v>
      </c>
      <c r="D1662" s="4" t="s">
        <v>283</v>
      </c>
      <c r="E1662" s="4" t="s">
        <v>284</v>
      </c>
    </row>
    <row r="1663" spans="1:5" ht="26" hidden="1" x14ac:dyDescent="0.15">
      <c r="A1663" s="1" t="s">
        <v>13</v>
      </c>
      <c r="B1663" s="2">
        <v>3526</v>
      </c>
      <c r="C1663" s="3">
        <v>2E-3</v>
      </c>
      <c r="D1663" s="4" t="s">
        <v>283</v>
      </c>
      <c r="E1663" s="4" t="s">
        <v>284</v>
      </c>
    </row>
    <row r="1664" spans="1:5" hidden="1" x14ac:dyDescent="0.15">
      <c r="A1664" s="1" t="s">
        <v>14</v>
      </c>
      <c r="B1664" s="2">
        <v>117428</v>
      </c>
      <c r="C1664" s="3">
        <v>5.5999999999999994E-2</v>
      </c>
      <c r="D1664" s="4" t="s">
        <v>283</v>
      </c>
      <c r="E1664" s="4" t="s">
        <v>284</v>
      </c>
    </row>
    <row r="1665" spans="1:5" ht="26" hidden="1" x14ac:dyDescent="0.15">
      <c r="A1665" s="1" t="s">
        <v>15</v>
      </c>
      <c r="B1665" s="2">
        <v>115528</v>
      </c>
      <c r="C1665" s="3">
        <v>5.5E-2</v>
      </c>
      <c r="D1665" s="4" t="s">
        <v>283</v>
      </c>
      <c r="E1665" s="4" t="s">
        <v>284</v>
      </c>
    </row>
    <row r="1666" spans="1:5" ht="26" hidden="1" x14ac:dyDescent="0.15">
      <c r="A1666" s="1" t="s">
        <v>16</v>
      </c>
      <c r="B1666" s="2">
        <v>47788</v>
      </c>
      <c r="C1666" s="3">
        <v>2.3E-2</v>
      </c>
      <c r="D1666" s="4" t="s">
        <v>283</v>
      </c>
      <c r="E1666" s="4" t="s">
        <v>284</v>
      </c>
    </row>
    <row r="1667" spans="1:5" ht="26" hidden="1" x14ac:dyDescent="0.15">
      <c r="A1667" s="1" t="s">
        <v>17</v>
      </c>
      <c r="B1667" s="2">
        <v>18592</v>
      </c>
      <c r="C1667" s="3">
        <v>9.0000000000000011E-3</v>
      </c>
      <c r="D1667" s="4" t="s">
        <v>283</v>
      </c>
      <c r="E1667" s="4" t="s">
        <v>284</v>
      </c>
    </row>
    <row r="1668" spans="1:5" hidden="1" x14ac:dyDescent="0.15">
      <c r="A1668" s="1" t="s">
        <v>18</v>
      </c>
      <c r="B1668" s="2">
        <v>18714</v>
      </c>
      <c r="C1668" s="3">
        <v>9.0000000000000011E-3</v>
      </c>
      <c r="D1668" s="4" t="s">
        <v>283</v>
      </c>
      <c r="E1668" s="4" t="s">
        <v>284</v>
      </c>
    </row>
    <row r="1669" spans="1:5" hidden="1" x14ac:dyDescent="0.15">
      <c r="A1669" s="1" t="s">
        <v>19</v>
      </c>
      <c r="B1669" s="2">
        <v>127789</v>
      </c>
      <c r="C1669" s="3">
        <v>6.0999999999999999E-2</v>
      </c>
      <c r="D1669" s="4" t="s">
        <v>283</v>
      </c>
      <c r="E1669" s="4" t="s">
        <v>284</v>
      </c>
    </row>
    <row r="1670" spans="1:5" hidden="1" x14ac:dyDescent="0.15">
      <c r="A1670" s="1" t="s">
        <v>20</v>
      </c>
      <c r="B1670" s="2">
        <v>55239</v>
      </c>
      <c r="C1670" s="3">
        <v>2.6000000000000002E-2</v>
      </c>
      <c r="D1670" s="4" t="s">
        <v>283</v>
      </c>
      <c r="E1670" s="4" t="s">
        <v>284</v>
      </c>
    </row>
    <row r="1671" spans="1:5" ht="26" hidden="1" x14ac:dyDescent="0.15">
      <c r="A1671" s="1" t="s">
        <v>21</v>
      </c>
      <c r="B1671" s="2">
        <v>49033</v>
      </c>
      <c r="C1671" s="3">
        <v>2.3E-2</v>
      </c>
      <c r="D1671" s="4" t="s">
        <v>283</v>
      </c>
      <c r="E1671" s="4" t="s">
        <v>284</v>
      </c>
    </row>
    <row r="1672" spans="1:5" ht="26" hidden="1" x14ac:dyDescent="0.15">
      <c r="A1672" s="1" t="s">
        <v>22</v>
      </c>
      <c r="B1672" s="2">
        <v>22772</v>
      </c>
      <c r="C1672" s="3">
        <v>1.1000000000000001E-2</v>
      </c>
      <c r="D1672" s="4" t="s">
        <v>283</v>
      </c>
      <c r="E1672" s="4" t="s">
        <v>284</v>
      </c>
    </row>
    <row r="1673" spans="1:5" ht="26" hidden="1" x14ac:dyDescent="0.15">
      <c r="A1673" s="1" t="s">
        <v>23</v>
      </c>
      <c r="B1673" s="2">
        <v>27831</v>
      </c>
      <c r="C1673" s="3">
        <v>1.3000000000000001E-2</v>
      </c>
      <c r="D1673" s="4" t="s">
        <v>283</v>
      </c>
      <c r="E1673" s="4" t="s">
        <v>284</v>
      </c>
    </row>
    <row r="1674" spans="1:5" ht="26" hidden="1" x14ac:dyDescent="0.15">
      <c r="A1674" s="1" t="s">
        <v>24</v>
      </c>
      <c r="B1674" s="2">
        <v>7558</v>
      </c>
      <c r="C1674" s="3">
        <v>4.0000000000000001E-3</v>
      </c>
      <c r="D1674" s="4" t="s">
        <v>283</v>
      </c>
      <c r="E1674" s="4" t="s">
        <v>284</v>
      </c>
    </row>
    <row r="1675" spans="1:5" ht="26" hidden="1" x14ac:dyDescent="0.15">
      <c r="A1675" s="1" t="s">
        <v>25</v>
      </c>
      <c r="B1675" s="2">
        <v>31758</v>
      </c>
      <c r="C1675" s="3">
        <v>1.4999999999999999E-2</v>
      </c>
      <c r="D1675" s="4" t="s">
        <v>283</v>
      </c>
      <c r="E1675" s="4" t="s">
        <v>284</v>
      </c>
    </row>
    <row r="1676" spans="1:5" hidden="1" x14ac:dyDescent="0.15">
      <c r="A1676" s="1" t="s">
        <v>26</v>
      </c>
      <c r="B1676" s="2">
        <v>16816</v>
      </c>
      <c r="C1676" s="3">
        <v>8.0000000000000002E-3</v>
      </c>
      <c r="D1676" s="4" t="s">
        <v>283</v>
      </c>
      <c r="E1676" s="4" t="s">
        <v>284</v>
      </c>
    </row>
    <row r="1677" spans="1:5" hidden="1" x14ac:dyDescent="0.15">
      <c r="A1677" s="1" t="s">
        <v>27</v>
      </c>
      <c r="B1677" s="2">
        <v>75065</v>
      </c>
      <c r="C1677" s="3">
        <v>3.6000000000000004E-2</v>
      </c>
      <c r="D1677" s="4" t="s">
        <v>283</v>
      </c>
      <c r="E1677" s="4" t="s">
        <v>284</v>
      </c>
    </row>
    <row r="1678" spans="1:5" hidden="1" x14ac:dyDescent="0.15">
      <c r="A1678" s="1" t="s">
        <v>28</v>
      </c>
      <c r="B1678" s="2">
        <v>296614</v>
      </c>
      <c r="C1678" s="3">
        <v>0.14099999999999999</v>
      </c>
      <c r="D1678" s="4" t="s">
        <v>283</v>
      </c>
      <c r="E1678" s="4" t="s">
        <v>284</v>
      </c>
    </row>
    <row r="1679" spans="1:5" hidden="1" x14ac:dyDescent="0.15">
      <c r="A1679" s="1" t="s">
        <v>29</v>
      </c>
      <c r="B1679" s="2">
        <v>425763</v>
      </c>
      <c r="C1679" s="3">
        <v>0.20199999999999999</v>
      </c>
      <c r="D1679" s="4" t="s">
        <v>283</v>
      </c>
      <c r="E1679" s="4" t="s">
        <v>284</v>
      </c>
    </row>
    <row r="1680" spans="1:5" hidden="1" x14ac:dyDescent="0.15">
      <c r="A1680" s="1" t="s">
        <v>30</v>
      </c>
      <c r="B1680" s="2">
        <v>61715</v>
      </c>
      <c r="C1680" s="3">
        <v>2.8999999999999998E-2</v>
      </c>
      <c r="D1680" s="4" t="s">
        <v>283</v>
      </c>
      <c r="E1680" s="4" t="s">
        <v>284</v>
      </c>
    </row>
    <row r="1681" spans="1:5" ht="39" hidden="1" x14ac:dyDescent="0.15">
      <c r="A1681" s="1" t="s">
        <v>31</v>
      </c>
      <c r="B1681" s="2">
        <v>17862</v>
      </c>
      <c r="C1681" s="3">
        <v>8.0000000000000002E-3</v>
      </c>
      <c r="D1681" s="4" t="s">
        <v>283</v>
      </c>
      <c r="E1681" s="4" t="s">
        <v>284</v>
      </c>
    </row>
    <row r="1682" spans="1:5" hidden="1" x14ac:dyDescent="0.15">
      <c r="A1682" s="1" t="s">
        <v>32</v>
      </c>
      <c r="B1682" s="2">
        <v>33146</v>
      </c>
      <c r="C1682" s="3">
        <v>1.6E-2</v>
      </c>
      <c r="D1682" s="4" t="s">
        <v>283</v>
      </c>
      <c r="E1682" s="4" t="s">
        <v>284</v>
      </c>
    </row>
    <row r="1683" spans="1:5" hidden="1" x14ac:dyDescent="0.15">
      <c r="A1683" s="1" t="s">
        <v>33</v>
      </c>
      <c r="B1683" s="2">
        <v>692879</v>
      </c>
      <c r="C1683" s="3">
        <v>0.32799999999999996</v>
      </c>
      <c r="D1683" s="4" t="s">
        <v>283</v>
      </c>
      <c r="E1683" s="4" t="s">
        <v>284</v>
      </c>
    </row>
    <row r="1684" spans="1:5" hidden="1" x14ac:dyDescent="0.15">
      <c r="A1684" s="1" t="s">
        <v>34</v>
      </c>
      <c r="B1684" s="2">
        <v>104643</v>
      </c>
      <c r="C1684" s="3">
        <v>0.05</v>
      </c>
      <c r="D1684" s="4" t="s">
        <v>283</v>
      </c>
      <c r="E1684" s="4" t="s">
        <v>284</v>
      </c>
    </row>
    <row r="1685" spans="1:5" hidden="1" x14ac:dyDescent="0.15">
      <c r="A1685" s="1" t="s">
        <v>35</v>
      </c>
      <c r="B1685" s="2">
        <v>35442</v>
      </c>
      <c r="C1685" s="3">
        <v>1.7000000000000001E-2</v>
      </c>
      <c r="D1685" s="4" t="s">
        <v>283</v>
      </c>
      <c r="E1685" s="4" t="s">
        <v>284</v>
      </c>
    </row>
    <row r="1686" spans="1:5" ht="26" hidden="1" x14ac:dyDescent="0.15">
      <c r="A1686" s="1" t="s">
        <v>36</v>
      </c>
      <c r="B1686" s="2">
        <v>51483</v>
      </c>
      <c r="C1686" s="3">
        <v>2.4E-2</v>
      </c>
      <c r="D1686" s="4" t="s">
        <v>283</v>
      </c>
      <c r="E1686" s="4" t="s">
        <v>284</v>
      </c>
    </row>
    <row r="1687" spans="1:5" hidden="1" x14ac:dyDescent="0.15">
      <c r="A1687" s="1" t="s">
        <v>37</v>
      </c>
      <c r="B1687" s="2">
        <v>47019</v>
      </c>
      <c r="C1687" s="3">
        <v>2.2000000000000002E-2</v>
      </c>
      <c r="D1687" s="4" t="s">
        <v>283</v>
      </c>
      <c r="E1687" s="4" t="s">
        <v>284</v>
      </c>
    </row>
    <row r="1688" spans="1:5" ht="39" hidden="1" x14ac:dyDescent="0.15">
      <c r="A1688" s="1" t="s">
        <v>38</v>
      </c>
      <c r="B1688" s="2">
        <v>44617</v>
      </c>
      <c r="C1688" s="3">
        <v>2.1000000000000001E-2</v>
      </c>
      <c r="D1688" s="4" t="s">
        <v>283</v>
      </c>
      <c r="E1688" s="4" t="s">
        <v>284</v>
      </c>
    </row>
    <row r="1689" spans="1:5" hidden="1" x14ac:dyDescent="0.15">
      <c r="A1689" s="1" t="s">
        <v>39</v>
      </c>
      <c r="B1689" s="2">
        <v>69400</v>
      </c>
      <c r="C1689" s="3">
        <v>3.3000000000000002E-2</v>
      </c>
      <c r="D1689" s="4" t="s">
        <v>283</v>
      </c>
      <c r="E1689" s="4" t="s">
        <v>284</v>
      </c>
    </row>
    <row r="1690" spans="1:5" hidden="1" x14ac:dyDescent="0.15">
      <c r="A1690" s="1" t="s">
        <v>40</v>
      </c>
      <c r="B1690" s="2">
        <v>7408</v>
      </c>
      <c r="C1690" s="3">
        <v>4.0000000000000001E-3</v>
      </c>
      <c r="D1690" s="4" t="s">
        <v>283</v>
      </c>
      <c r="E1690" s="4" t="s">
        <v>284</v>
      </c>
    </row>
    <row r="1691" spans="1:5" hidden="1" x14ac:dyDescent="0.15">
      <c r="A1691" s="1" t="s">
        <v>41</v>
      </c>
      <c r="B1691" s="2">
        <v>35876</v>
      </c>
      <c r="C1691" s="3">
        <v>1.7000000000000001E-2</v>
      </c>
      <c r="D1691" s="4" t="s">
        <v>283</v>
      </c>
      <c r="E1691" s="4" t="s">
        <v>284</v>
      </c>
    </row>
    <row r="1692" spans="1:5" hidden="1" x14ac:dyDescent="0.15">
      <c r="A1692" s="1" t="s">
        <v>42</v>
      </c>
      <c r="B1692" s="2">
        <v>33717</v>
      </c>
      <c r="C1692" s="3">
        <v>1.6E-2</v>
      </c>
      <c r="D1692" s="4" t="s">
        <v>283</v>
      </c>
      <c r="E1692" s="4" t="s">
        <v>284</v>
      </c>
    </row>
    <row r="1693" spans="1:5" hidden="1" x14ac:dyDescent="0.15">
      <c r="A1693" s="1" t="s">
        <v>43</v>
      </c>
      <c r="B1693" s="2">
        <v>235021</v>
      </c>
      <c r="C1693" s="3">
        <v>0.111</v>
      </c>
      <c r="D1693" s="4" t="s">
        <v>283</v>
      </c>
      <c r="E1693" s="4" t="s">
        <v>284</v>
      </c>
    </row>
    <row r="1694" spans="1:5" ht="26" hidden="1" x14ac:dyDescent="0.15">
      <c r="A1694" s="1" t="s">
        <v>44</v>
      </c>
      <c r="B1694" s="2">
        <v>284475</v>
      </c>
      <c r="C1694" s="3">
        <v>0.13500000000000001</v>
      </c>
      <c r="D1694" s="4" t="s">
        <v>283</v>
      </c>
      <c r="E1694" s="4" t="s">
        <v>284</v>
      </c>
    </row>
    <row r="1695" spans="1:5" hidden="1" x14ac:dyDescent="0.15">
      <c r="A1695" s="1" t="s">
        <v>45</v>
      </c>
      <c r="B1695" s="2">
        <v>326490</v>
      </c>
      <c r="C1695" s="3">
        <v>0.155</v>
      </c>
      <c r="D1695" s="4" t="s">
        <v>283</v>
      </c>
      <c r="E1695" s="4" t="s">
        <v>284</v>
      </c>
    </row>
    <row r="1696" spans="1:5" ht="26" hidden="1" x14ac:dyDescent="0.15">
      <c r="A1696" s="1" t="s">
        <v>46</v>
      </c>
      <c r="B1696" s="2">
        <v>929061</v>
      </c>
      <c r="C1696" s="3">
        <v>0.44</v>
      </c>
      <c r="D1696" s="4" t="s">
        <v>283</v>
      </c>
      <c r="E1696" s="4" t="s">
        <v>284</v>
      </c>
    </row>
    <row r="1697" spans="1:5" hidden="1" x14ac:dyDescent="0.15">
      <c r="A1697" s="1" t="s">
        <v>47</v>
      </c>
      <c r="B1697" s="2">
        <v>1141268</v>
      </c>
      <c r="C1697" s="3">
        <v>0.54100000000000004</v>
      </c>
      <c r="D1697" s="4" t="s">
        <v>283</v>
      </c>
      <c r="E1697" s="4" t="s">
        <v>284</v>
      </c>
    </row>
    <row r="1698" spans="1:5" hidden="1" x14ac:dyDescent="0.15">
      <c r="A1698" s="1" t="s">
        <v>48</v>
      </c>
      <c r="B1698" s="2">
        <v>167320</v>
      </c>
      <c r="C1698" s="3">
        <v>7.9000000000000001E-2</v>
      </c>
      <c r="D1698" s="4" t="s">
        <v>283</v>
      </c>
      <c r="E1698" s="4" t="s">
        <v>284</v>
      </c>
    </row>
    <row r="1699" spans="1:5" hidden="1" x14ac:dyDescent="0.15">
      <c r="A1699" s="1" t="s">
        <v>49</v>
      </c>
      <c r="B1699" s="2">
        <v>248954</v>
      </c>
      <c r="C1699" s="3">
        <v>0.11800000000000001</v>
      </c>
      <c r="D1699" s="4" t="s">
        <v>283</v>
      </c>
      <c r="E1699" s="4" t="s">
        <v>284</v>
      </c>
    </row>
    <row r="1700" spans="1:5" ht="26" hidden="1" x14ac:dyDescent="0.15">
      <c r="A1700" s="1" t="s">
        <v>50</v>
      </c>
      <c r="B1700" s="2">
        <v>418621</v>
      </c>
      <c r="C1700" s="3">
        <v>0.19800000000000001</v>
      </c>
      <c r="D1700" s="4" t="s">
        <v>283</v>
      </c>
      <c r="E1700" s="4" t="s">
        <v>284</v>
      </c>
    </row>
    <row r="1701" spans="1:5" hidden="1" x14ac:dyDescent="0.15">
      <c r="A1701" s="1" t="s">
        <v>51</v>
      </c>
      <c r="B1701" s="2">
        <v>738089</v>
      </c>
      <c r="C1701" s="3">
        <v>0.35</v>
      </c>
      <c r="D1701" s="4" t="s">
        <v>283</v>
      </c>
      <c r="E1701" s="4" t="s">
        <v>284</v>
      </c>
    </row>
    <row r="1702" spans="1:5" hidden="1" x14ac:dyDescent="0.15">
      <c r="A1702" s="1" t="s">
        <v>52</v>
      </c>
      <c r="B1702" s="2">
        <v>211532</v>
      </c>
      <c r="C1702" s="3">
        <v>0.1</v>
      </c>
      <c r="D1702" s="4" t="s">
        <v>283</v>
      </c>
      <c r="E1702" s="4" t="s">
        <v>284</v>
      </c>
    </row>
    <row r="1703" spans="1:5" ht="26" hidden="1" x14ac:dyDescent="0.15">
      <c r="A1703" s="1" t="s">
        <v>53</v>
      </c>
      <c r="B1703" s="2">
        <v>136607</v>
      </c>
      <c r="C1703" s="3">
        <v>6.5000000000000002E-2</v>
      </c>
      <c r="D1703" s="4" t="s">
        <v>283</v>
      </c>
      <c r="E1703" s="4" t="s">
        <v>284</v>
      </c>
    </row>
    <row r="1704" spans="1:5" hidden="1" x14ac:dyDescent="0.15">
      <c r="A1704" s="1" t="s">
        <v>54</v>
      </c>
      <c r="B1704" s="2">
        <v>888381</v>
      </c>
      <c r="C1704" s="3">
        <v>0.42100000000000004</v>
      </c>
      <c r="D1704" s="4" t="s">
        <v>283</v>
      </c>
      <c r="E1704" s="4" t="s">
        <v>284</v>
      </c>
    </row>
    <row r="1705" spans="1:5" ht="26" hidden="1" x14ac:dyDescent="0.15">
      <c r="A1705" s="1" t="s">
        <v>55</v>
      </c>
      <c r="B1705" s="2">
        <v>697270</v>
      </c>
      <c r="C1705" s="3">
        <v>0.33100000000000002</v>
      </c>
      <c r="D1705" s="4" t="s">
        <v>283</v>
      </c>
      <c r="E1705" s="4" t="s">
        <v>284</v>
      </c>
    </row>
    <row r="1706" spans="1:5" hidden="1" x14ac:dyDescent="0.15">
      <c r="A1706" s="1" t="s">
        <v>56</v>
      </c>
      <c r="B1706" s="2">
        <v>395072</v>
      </c>
      <c r="C1706" s="3">
        <v>0.187</v>
      </c>
      <c r="D1706" s="4" t="s">
        <v>283</v>
      </c>
      <c r="E1706" s="4" t="s">
        <v>284</v>
      </c>
    </row>
    <row r="1707" spans="1:5" hidden="1" x14ac:dyDescent="0.15">
      <c r="A1707" s="1" t="s">
        <v>57</v>
      </c>
      <c r="B1707" s="2">
        <v>218404</v>
      </c>
      <c r="C1707" s="3">
        <v>0.10400000000000001</v>
      </c>
      <c r="D1707" s="4" t="s">
        <v>283</v>
      </c>
      <c r="E1707" s="4" t="s">
        <v>284</v>
      </c>
    </row>
    <row r="1708" spans="1:5" hidden="1" x14ac:dyDescent="0.15">
      <c r="A1708" s="1" t="s">
        <v>58</v>
      </c>
      <c r="B1708" s="2">
        <v>169887</v>
      </c>
      <c r="C1708" s="3">
        <v>8.1000000000000003E-2</v>
      </c>
      <c r="D1708" s="4" t="s">
        <v>283</v>
      </c>
      <c r="E1708" s="4" t="s">
        <v>284</v>
      </c>
    </row>
    <row r="1709" spans="1:5" hidden="1" x14ac:dyDescent="0.15">
      <c r="A1709" s="1" t="s">
        <v>59</v>
      </c>
      <c r="B1709" s="2">
        <v>834442</v>
      </c>
      <c r="C1709" s="3">
        <v>0.39600000000000002</v>
      </c>
      <c r="D1709" s="4" t="s">
        <v>283</v>
      </c>
      <c r="E1709" s="4" t="s">
        <v>284</v>
      </c>
    </row>
    <row r="1710" spans="1:5" hidden="1" x14ac:dyDescent="0.15">
      <c r="A1710" s="1" t="s">
        <v>60</v>
      </c>
      <c r="B1710" s="2">
        <v>496108</v>
      </c>
      <c r="C1710" s="3">
        <v>0.23499999999999999</v>
      </c>
      <c r="D1710" s="4" t="s">
        <v>283</v>
      </c>
      <c r="E1710" s="4" t="s">
        <v>284</v>
      </c>
    </row>
    <row r="1711" spans="1:5" ht="26" hidden="1" x14ac:dyDescent="0.15">
      <c r="A1711" s="1" t="s">
        <v>61</v>
      </c>
      <c r="B1711" s="2">
        <v>400001</v>
      </c>
      <c r="C1711" s="3">
        <v>0.19</v>
      </c>
      <c r="D1711" s="4" t="s">
        <v>283</v>
      </c>
      <c r="E1711" s="4" t="s">
        <v>284</v>
      </c>
    </row>
    <row r="1712" spans="1:5" hidden="1" x14ac:dyDescent="0.15">
      <c r="A1712" s="1" t="s">
        <v>62</v>
      </c>
      <c r="B1712" s="2">
        <v>158775</v>
      </c>
      <c r="C1712" s="3">
        <v>7.4999999999999997E-2</v>
      </c>
      <c r="D1712" s="4" t="s">
        <v>283</v>
      </c>
      <c r="E1712" s="4" t="s">
        <v>284</v>
      </c>
    </row>
    <row r="1713" spans="1:5" ht="26" hidden="1" x14ac:dyDescent="0.15">
      <c r="A1713" s="1" t="s">
        <v>63</v>
      </c>
      <c r="B1713" s="2">
        <v>356596</v>
      </c>
      <c r="C1713" s="3">
        <v>0.16899999999999998</v>
      </c>
      <c r="D1713" s="4" t="s">
        <v>283</v>
      </c>
      <c r="E1713" s="4" t="s">
        <v>284</v>
      </c>
    </row>
    <row r="1714" spans="1:5" ht="26" hidden="1" x14ac:dyDescent="0.15">
      <c r="A1714" s="1" t="s">
        <v>64</v>
      </c>
      <c r="B1714" s="2">
        <v>121127</v>
      </c>
      <c r="C1714" s="3">
        <v>5.7000000000000002E-2</v>
      </c>
      <c r="D1714" s="4" t="s">
        <v>283</v>
      </c>
      <c r="E1714" s="4" t="s">
        <v>284</v>
      </c>
    </row>
    <row r="1715" spans="1:5" hidden="1" x14ac:dyDescent="0.15">
      <c r="A1715" s="1" t="s">
        <v>65</v>
      </c>
      <c r="B1715" s="2">
        <v>311696</v>
      </c>
      <c r="C1715" s="3">
        <v>0.14800000000000002</v>
      </c>
      <c r="D1715" s="4" t="s">
        <v>283</v>
      </c>
      <c r="E1715" s="4" t="s">
        <v>284</v>
      </c>
    </row>
    <row r="1716" spans="1:5" hidden="1" x14ac:dyDescent="0.15">
      <c r="A1716" s="1" t="s">
        <v>66</v>
      </c>
      <c r="B1716" s="2">
        <v>198271</v>
      </c>
      <c r="C1716" s="3">
        <v>9.4E-2</v>
      </c>
      <c r="D1716" s="4" t="s">
        <v>283</v>
      </c>
      <c r="E1716" s="4" t="s">
        <v>284</v>
      </c>
    </row>
    <row r="1717" spans="1:5" hidden="1" x14ac:dyDescent="0.15">
      <c r="A1717" s="1" t="s">
        <v>67</v>
      </c>
      <c r="B1717" s="2">
        <v>378859</v>
      </c>
      <c r="C1717" s="3">
        <v>0.18</v>
      </c>
      <c r="D1717" s="4" t="s">
        <v>283</v>
      </c>
      <c r="E1717" s="4" t="s">
        <v>284</v>
      </c>
    </row>
    <row r="1718" spans="1:5" hidden="1" x14ac:dyDescent="0.15">
      <c r="A1718" s="1" t="s">
        <v>68</v>
      </c>
      <c r="B1718" s="2">
        <v>1093822</v>
      </c>
      <c r="C1718" s="3">
        <v>0.51900000000000002</v>
      </c>
      <c r="D1718" s="4" t="s">
        <v>283</v>
      </c>
      <c r="E1718" s="4" t="s">
        <v>284</v>
      </c>
    </row>
    <row r="1719" spans="1:5" hidden="1" x14ac:dyDescent="0.15">
      <c r="A1719" s="1" t="s">
        <v>69</v>
      </c>
      <c r="B1719" s="2">
        <v>1200199</v>
      </c>
      <c r="C1719" s="3">
        <v>0.56899999999999995</v>
      </c>
      <c r="D1719" s="4" t="s">
        <v>283</v>
      </c>
      <c r="E1719" s="4" t="s">
        <v>284</v>
      </c>
    </row>
    <row r="1720" spans="1:5" hidden="1" x14ac:dyDescent="0.15">
      <c r="A1720" s="1" t="s">
        <v>70</v>
      </c>
      <c r="B1720" s="2">
        <v>411510</v>
      </c>
      <c r="C1720" s="3">
        <v>0.19500000000000001</v>
      </c>
      <c r="D1720" s="4" t="s">
        <v>283</v>
      </c>
      <c r="E1720" s="4" t="s">
        <v>284</v>
      </c>
    </row>
    <row r="1721" spans="1:5" ht="26" hidden="1" x14ac:dyDescent="0.15">
      <c r="A1721" s="1" t="s">
        <v>71</v>
      </c>
      <c r="B1721" s="2">
        <v>158006</v>
      </c>
      <c r="C1721" s="3">
        <v>7.4999999999999997E-2</v>
      </c>
      <c r="D1721" s="4" t="s">
        <v>283</v>
      </c>
      <c r="E1721" s="4" t="s">
        <v>284</v>
      </c>
    </row>
    <row r="1722" spans="1:5" hidden="1" x14ac:dyDescent="0.15">
      <c r="A1722" s="1" t="s">
        <v>72</v>
      </c>
      <c r="B1722" s="2">
        <v>239382</v>
      </c>
      <c r="C1722" s="3">
        <v>0.113</v>
      </c>
      <c r="D1722" s="4" t="s">
        <v>283</v>
      </c>
      <c r="E1722" s="4" t="s">
        <v>284</v>
      </c>
    </row>
    <row r="1723" spans="1:5" hidden="1" x14ac:dyDescent="0.15">
      <c r="A1723" s="1" t="s">
        <v>73</v>
      </c>
      <c r="B1723" s="2">
        <v>1449677</v>
      </c>
      <c r="C1723" s="3">
        <v>0.68700000000000006</v>
      </c>
      <c r="D1723" s="4" t="s">
        <v>283</v>
      </c>
      <c r="E1723" s="4" t="s">
        <v>284</v>
      </c>
    </row>
    <row r="1724" spans="1:5" hidden="1" x14ac:dyDescent="0.15">
      <c r="A1724" s="1" t="s">
        <v>74</v>
      </c>
      <c r="B1724" s="2">
        <v>498259</v>
      </c>
      <c r="C1724" s="3">
        <v>0.23600000000000002</v>
      </c>
      <c r="D1724" s="4" t="s">
        <v>283</v>
      </c>
      <c r="E1724" s="4" t="s">
        <v>284</v>
      </c>
    </row>
    <row r="1725" spans="1:5" hidden="1" x14ac:dyDescent="0.15">
      <c r="A1725" s="1" t="s">
        <v>75</v>
      </c>
      <c r="B1725" s="2">
        <v>329673</v>
      </c>
      <c r="C1725" s="3">
        <v>0.156</v>
      </c>
      <c r="D1725" s="4" t="s">
        <v>283</v>
      </c>
      <c r="E1725" s="4" t="s">
        <v>284</v>
      </c>
    </row>
    <row r="1726" spans="1:5" hidden="1" x14ac:dyDescent="0.15">
      <c r="A1726" s="1" t="s">
        <v>76</v>
      </c>
      <c r="B1726" s="2">
        <v>423060</v>
      </c>
      <c r="C1726" s="3">
        <v>0.20100000000000001</v>
      </c>
      <c r="D1726" s="4" t="s">
        <v>283</v>
      </c>
      <c r="E1726" s="4" t="s">
        <v>284</v>
      </c>
    </row>
    <row r="1727" spans="1:5" hidden="1" x14ac:dyDescent="0.15">
      <c r="A1727" s="1" t="s">
        <v>77</v>
      </c>
      <c r="B1727" s="2">
        <v>383045</v>
      </c>
      <c r="C1727" s="3">
        <v>0.182</v>
      </c>
      <c r="D1727" s="4" t="s">
        <v>283</v>
      </c>
      <c r="E1727" s="4" t="s">
        <v>284</v>
      </c>
    </row>
    <row r="1728" spans="1:5" ht="26" hidden="1" x14ac:dyDescent="0.15">
      <c r="A1728" s="1" t="s">
        <v>78</v>
      </c>
      <c r="B1728" s="2">
        <v>290152</v>
      </c>
      <c r="C1728" s="3">
        <v>0.13800000000000001</v>
      </c>
      <c r="D1728" s="4" t="s">
        <v>283</v>
      </c>
      <c r="E1728" s="4" t="s">
        <v>284</v>
      </c>
    </row>
    <row r="1729" spans="1:5" hidden="1" x14ac:dyDescent="0.15">
      <c r="A1729" s="1" t="s">
        <v>79</v>
      </c>
      <c r="B1729" s="2">
        <v>363317</v>
      </c>
      <c r="C1729" s="3">
        <v>0.17199999999999999</v>
      </c>
      <c r="D1729" s="4" t="s">
        <v>283</v>
      </c>
      <c r="E1729" s="4" t="s">
        <v>284</v>
      </c>
    </row>
    <row r="1730" spans="1:5" hidden="1" x14ac:dyDescent="0.15">
      <c r="A1730" s="1" t="s">
        <v>80</v>
      </c>
      <c r="B1730" s="2">
        <v>137376</v>
      </c>
      <c r="C1730" s="3">
        <v>6.5000000000000002E-2</v>
      </c>
      <c r="D1730" s="4" t="s">
        <v>283</v>
      </c>
      <c r="E1730" s="4" t="s">
        <v>284</v>
      </c>
    </row>
    <row r="1731" spans="1:5" ht="26" hidden="1" x14ac:dyDescent="0.15">
      <c r="A1731" s="1" t="s">
        <v>81</v>
      </c>
      <c r="B1731" s="2">
        <v>400761</v>
      </c>
      <c r="C1731" s="3">
        <v>0.19</v>
      </c>
      <c r="D1731" s="4" t="s">
        <v>283</v>
      </c>
      <c r="E1731" s="4" t="s">
        <v>284</v>
      </c>
    </row>
    <row r="1732" spans="1:5" hidden="1" x14ac:dyDescent="0.15">
      <c r="A1732" s="1" t="s">
        <v>82</v>
      </c>
      <c r="B1732" s="2">
        <v>139604</v>
      </c>
      <c r="C1732" s="3">
        <v>6.6000000000000003E-2</v>
      </c>
      <c r="D1732" s="4" t="s">
        <v>283</v>
      </c>
      <c r="E1732" s="4" t="s">
        <v>284</v>
      </c>
    </row>
    <row r="1733" spans="1:5" hidden="1" x14ac:dyDescent="0.15">
      <c r="A1733" s="4"/>
      <c r="B1733" s="4"/>
      <c r="C1733" s="4"/>
      <c r="D1733" s="4" t="s">
        <v>283</v>
      </c>
      <c r="E1733" s="4" t="s">
        <v>284</v>
      </c>
    </row>
    <row r="1734" spans="1:5" hidden="1" x14ac:dyDescent="0.15">
      <c r="A1734" s="16"/>
      <c r="B1734" s="16"/>
      <c r="C1734" s="16"/>
      <c r="D1734" s="4" t="s">
        <v>283</v>
      </c>
      <c r="E1734" s="4" t="s">
        <v>284</v>
      </c>
    </row>
    <row r="1735" spans="1:5" hidden="1" x14ac:dyDescent="0.15">
      <c r="A1735" s="1" t="s">
        <v>285</v>
      </c>
      <c r="B1735" s="2">
        <v>350760</v>
      </c>
      <c r="C1735" s="3">
        <v>0.16600000000000001</v>
      </c>
      <c r="D1735" s="4" t="s">
        <v>283</v>
      </c>
      <c r="E1735" s="4" t="s">
        <v>284</v>
      </c>
    </row>
    <row r="1736" spans="1:5" hidden="1" x14ac:dyDescent="0.15">
      <c r="A1736" s="4"/>
      <c r="B1736" s="4"/>
      <c r="C1736" s="4"/>
      <c r="D1736" s="4" t="s">
        <v>283</v>
      </c>
      <c r="E1736" s="4" t="s">
        <v>284</v>
      </c>
    </row>
    <row r="1737" spans="1:5" hidden="1" x14ac:dyDescent="0.15">
      <c r="A1737" s="16"/>
      <c r="B1737" s="16"/>
      <c r="C1737" s="16"/>
      <c r="D1737" s="4" t="s">
        <v>283</v>
      </c>
      <c r="E1737" s="4" t="s">
        <v>284</v>
      </c>
    </row>
    <row r="1738" spans="1:5" hidden="1" x14ac:dyDescent="0.15">
      <c r="A1738" s="1" t="s">
        <v>286</v>
      </c>
      <c r="B1738" s="2">
        <v>949361</v>
      </c>
      <c r="C1738" s="3">
        <v>0.45</v>
      </c>
      <c r="D1738" s="4" t="s">
        <v>283</v>
      </c>
      <c r="E1738" s="4" t="s">
        <v>284</v>
      </c>
    </row>
    <row r="1739" spans="1:5" hidden="1" x14ac:dyDescent="0.15">
      <c r="A1739" s="4"/>
      <c r="B1739" s="4"/>
      <c r="C1739" s="4"/>
      <c r="D1739" s="4" t="s">
        <v>283</v>
      </c>
      <c r="E1739" s="4" t="s">
        <v>284</v>
      </c>
    </row>
    <row r="1740" spans="1:5" hidden="1" x14ac:dyDescent="0.15">
      <c r="A1740" s="16"/>
      <c r="B1740" s="16"/>
      <c r="C1740" s="16"/>
      <c r="D1740" s="4" t="s">
        <v>283</v>
      </c>
      <c r="E1740" s="4" t="s">
        <v>284</v>
      </c>
    </row>
    <row r="1741" spans="1:5" hidden="1" x14ac:dyDescent="0.15">
      <c r="A1741" s="1" t="s">
        <v>287</v>
      </c>
      <c r="B1741" s="2">
        <v>669333</v>
      </c>
      <c r="C1741" s="3">
        <v>0.317</v>
      </c>
      <c r="D1741" s="4" t="s">
        <v>283</v>
      </c>
      <c r="E1741" s="4" t="s">
        <v>284</v>
      </c>
    </row>
    <row r="1742" spans="1:5" ht="26" hidden="1" x14ac:dyDescent="0.15">
      <c r="A1742" s="1" t="s">
        <v>288</v>
      </c>
      <c r="B1742" s="2">
        <v>503202</v>
      </c>
      <c r="C1742" s="3">
        <v>0.23899999999999999</v>
      </c>
      <c r="D1742" s="4" t="s">
        <v>283</v>
      </c>
      <c r="E1742" s="4" t="s">
        <v>284</v>
      </c>
    </row>
    <row r="1743" spans="1:5" ht="26" hidden="1" x14ac:dyDescent="0.15">
      <c r="A1743" s="1" t="s">
        <v>289</v>
      </c>
      <c r="B1743" s="2">
        <v>61957</v>
      </c>
      <c r="C1743" s="3">
        <v>2.8999999999999998E-2</v>
      </c>
      <c r="D1743" s="4" t="s">
        <v>283</v>
      </c>
      <c r="E1743" s="4" t="s">
        <v>284</v>
      </c>
    </row>
    <row r="1744" spans="1:5" hidden="1" x14ac:dyDescent="0.15">
      <c r="A1744" s="1" t="s">
        <v>290</v>
      </c>
      <c r="B1744" s="2">
        <v>615604</v>
      </c>
      <c r="C1744" s="3">
        <v>0.29199999999999998</v>
      </c>
      <c r="D1744" s="4" t="s">
        <v>283</v>
      </c>
      <c r="E1744" s="4" t="s">
        <v>284</v>
      </c>
    </row>
    <row r="1745" spans="1:5" ht="26" hidden="1" x14ac:dyDescent="0.15">
      <c r="A1745" s="1" t="s">
        <v>291</v>
      </c>
      <c r="B1745" s="2">
        <v>296187</v>
      </c>
      <c r="C1745" s="3">
        <v>0.14000000000000001</v>
      </c>
      <c r="D1745" s="4" t="s">
        <v>283</v>
      </c>
      <c r="E1745" s="4" t="s">
        <v>284</v>
      </c>
    </row>
    <row r="1746" spans="1:5" ht="26" hidden="1" x14ac:dyDescent="0.15">
      <c r="A1746" s="1" t="s">
        <v>292</v>
      </c>
      <c r="B1746" s="2">
        <v>17505</v>
      </c>
      <c r="C1746" s="3">
        <v>8.0000000000000002E-3</v>
      </c>
      <c r="D1746" s="4" t="s">
        <v>283</v>
      </c>
      <c r="E1746" s="4" t="s">
        <v>284</v>
      </c>
    </row>
    <row r="1747" spans="1:5" hidden="1" x14ac:dyDescent="0.15">
      <c r="A1747" s="1" t="s">
        <v>0</v>
      </c>
      <c r="B1747" s="2">
        <v>3196096</v>
      </c>
      <c r="C1747" s="3">
        <v>1</v>
      </c>
      <c r="D1747" s="4" t="s">
        <v>293</v>
      </c>
      <c r="E1747" s="4" t="s">
        <v>241</v>
      </c>
    </row>
    <row r="1748" spans="1:5" ht="26" hidden="1" x14ac:dyDescent="0.15">
      <c r="A1748" s="1" t="s">
        <v>3</v>
      </c>
      <c r="B1748" s="2">
        <v>34602</v>
      </c>
      <c r="C1748" s="3">
        <v>1.1000000000000001E-2</v>
      </c>
      <c r="D1748" s="4" t="s">
        <v>293</v>
      </c>
      <c r="E1748" s="4" t="s">
        <v>241</v>
      </c>
    </row>
    <row r="1749" spans="1:5" hidden="1" x14ac:dyDescent="0.15">
      <c r="A1749" s="1" t="s">
        <v>4</v>
      </c>
      <c r="B1749" s="2">
        <v>10837</v>
      </c>
      <c r="C1749" s="3">
        <v>3.0000000000000001E-3</v>
      </c>
      <c r="D1749" s="4" t="s">
        <v>293</v>
      </c>
      <c r="E1749" s="4" t="s">
        <v>241</v>
      </c>
    </row>
    <row r="1750" spans="1:5" ht="26" hidden="1" x14ac:dyDescent="0.15">
      <c r="A1750" s="1" t="s">
        <v>5</v>
      </c>
      <c r="B1750" s="2">
        <v>88536</v>
      </c>
      <c r="C1750" s="3">
        <v>2.7999999999999997E-2</v>
      </c>
      <c r="D1750" s="4" t="s">
        <v>293</v>
      </c>
      <c r="E1750" s="4" t="s">
        <v>241</v>
      </c>
    </row>
    <row r="1751" spans="1:5" ht="26" hidden="1" x14ac:dyDescent="0.15">
      <c r="A1751" s="1" t="s">
        <v>6</v>
      </c>
      <c r="B1751" s="2">
        <v>153040</v>
      </c>
      <c r="C1751" s="3">
        <v>4.8000000000000001E-2</v>
      </c>
      <c r="D1751" s="4" t="s">
        <v>293</v>
      </c>
      <c r="E1751" s="4" t="s">
        <v>241</v>
      </c>
    </row>
    <row r="1752" spans="1:5" ht="26" hidden="1" x14ac:dyDescent="0.15">
      <c r="A1752" s="1" t="s">
        <v>7</v>
      </c>
      <c r="B1752" s="2">
        <v>321292</v>
      </c>
      <c r="C1752" s="3">
        <v>0.10099999999999999</v>
      </c>
      <c r="D1752" s="4" t="s">
        <v>293</v>
      </c>
      <c r="E1752" s="4" t="s">
        <v>241</v>
      </c>
    </row>
    <row r="1753" spans="1:5" ht="26" hidden="1" x14ac:dyDescent="0.15">
      <c r="A1753" s="1" t="s">
        <v>8</v>
      </c>
      <c r="B1753" s="2">
        <v>13502</v>
      </c>
      <c r="C1753" s="3">
        <v>4.0000000000000001E-3</v>
      </c>
      <c r="D1753" s="4" t="s">
        <v>293</v>
      </c>
      <c r="E1753" s="4" t="s">
        <v>241</v>
      </c>
    </row>
    <row r="1754" spans="1:5" ht="26" hidden="1" x14ac:dyDescent="0.15">
      <c r="A1754" s="1" t="s">
        <v>9</v>
      </c>
      <c r="B1754" s="2">
        <v>141587</v>
      </c>
      <c r="C1754" s="3">
        <v>4.4000000000000004E-2</v>
      </c>
      <c r="D1754" s="4" t="s">
        <v>293</v>
      </c>
      <c r="E1754" s="4" t="s">
        <v>241</v>
      </c>
    </row>
    <row r="1755" spans="1:5" ht="26" hidden="1" x14ac:dyDescent="0.15">
      <c r="A1755" s="1" t="s">
        <v>10</v>
      </c>
      <c r="B1755" s="2">
        <v>84506</v>
      </c>
      <c r="C1755" s="3">
        <v>2.6000000000000002E-2</v>
      </c>
      <c r="D1755" s="4" t="s">
        <v>293</v>
      </c>
      <c r="E1755" s="4" t="s">
        <v>241</v>
      </c>
    </row>
    <row r="1756" spans="1:5" ht="26" hidden="1" x14ac:dyDescent="0.15">
      <c r="A1756" s="1" t="s">
        <v>11</v>
      </c>
      <c r="B1756" s="2">
        <v>195122</v>
      </c>
      <c r="C1756" s="3">
        <v>6.0999999999999999E-2</v>
      </c>
      <c r="D1756" s="4" t="s">
        <v>293</v>
      </c>
      <c r="E1756" s="4" t="s">
        <v>241</v>
      </c>
    </row>
    <row r="1757" spans="1:5" ht="26" hidden="1" x14ac:dyDescent="0.15">
      <c r="A1757" s="1" t="s">
        <v>12</v>
      </c>
      <c r="B1757" s="2">
        <v>78880</v>
      </c>
      <c r="C1757" s="3">
        <v>2.5000000000000001E-2</v>
      </c>
      <c r="D1757" s="4" t="s">
        <v>293</v>
      </c>
      <c r="E1757" s="4" t="s">
        <v>241</v>
      </c>
    </row>
    <row r="1758" spans="1:5" ht="26" hidden="1" x14ac:dyDescent="0.15">
      <c r="A1758" s="1" t="s">
        <v>13</v>
      </c>
      <c r="B1758" s="2">
        <v>38921</v>
      </c>
      <c r="C1758" s="3">
        <v>1.2E-2</v>
      </c>
      <c r="D1758" s="4" t="s">
        <v>293</v>
      </c>
      <c r="E1758" s="4" t="s">
        <v>241</v>
      </c>
    </row>
    <row r="1759" spans="1:5" hidden="1" x14ac:dyDescent="0.15">
      <c r="A1759" s="1" t="s">
        <v>14</v>
      </c>
      <c r="B1759" s="2">
        <v>221827</v>
      </c>
      <c r="C1759" s="3">
        <v>6.9000000000000006E-2</v>
      </c>
      <c r="D1759" s="4" t="s">
        <v>293</v>
      </c>
      <c r="E1759" s="4" t="s">
        <v>241</v>
      </c>
    </row>
    <row r="1760" spans="1:5" ht="26" hidden="1" x14ac:dyDescent="0.15">
      <c r="A1760" s="1" t="s">
        <v>15</v>
      </c>
      <c r="B1760" s="2">
        <v>167130</v>
      </c>
      <c r="C1760" s="3">
        <v>5.2000000000000005E-2</v>
      </c>
      <c r="D1760" s="4" t="s">
        <v>293</v>
      </c>
      <c r="E1760" s="4" t="s">
        <v>241</v>
      </c>
    </row>
    <row r="1761" spans="1:5" ht="26" hidden="1" x14ac:dyDescent="0.15">
      <c r="A1761" s="1" t="s">
        <v>16</v>
      </c>
      <c r="B1761" s="2">
        <v>110675</v>
      </c>
      <c r="C1761" s="3">
        <v>3.5000000000000003E-2</v>
      </c>
      <c r="D1761" s="4" t="s">
        <v>293</v>
      </c>
      <c r="E1761" s="4" t="s">
        <v>241</v>
      </c>
    </row>
    <row r="1762" spans="1:5" ht="26" hidden="1" x14ac:dyDescent="0.15">
      <c r="A1762" s="1" t="s">
        <v>17</v>
      </c>
      <c r="B1762" s="2">
        <v>75309</v>
      </c>
      <c r="C1762" s="3">
        <v>2.4E-2</v>
      </c>
      <c r="D1762" s="4" t="s">
        <v>293</v>
      </c>
      <c r="E1762" s="4" t="s">
        <v>241</v>
      </c>
    </row>
    <row r="1763" spans="1:5" hidden="1" x14ac:dyDescent="0.15">
      <c r="A1763" s="1" t="s">
        <v>18</v>
      </c>
      <c r="B1763" s="2">
        <v>79088</v>
      </c>
      <c r="C1763" s="3">
        <v>2.5000000000000001E-2</v>
      </c>
      <c r="D1763" s="4" t="s">
        <v>293</v>
      </c>
      <c r="E1763" s="4" t="s">
        <v>241</v>
      </c>
    </row>
    <row r="1764" spans="1:5" hidden="1" x14ac:dyDescent="0.15">
      <c r="A1764" s="1" t="s">
        <v>19</v>
      </c>
      <c r="B1764" s="2">
        <v>650268</v>
      </c>
      <c r="C1764" s="3">
        <v>0.20300000000000001</v>
      </c>
      <c r="D1764" s="4" t="s">
        <v>293</v>
      </c>
      <c r="E1764" s="4" t="s">
        <v>241</v>
      </c>
    </row>
    <row r="1765" spans="1:5" hidden="1" x14ac:dyDescent="0.15">
      <c r="A1765" s="1" t="s">
        <v>20</v>
      </c>
      <c r="B1765" s="2">
        <v>90851</v>
      </c>
      <c r="C1765" s="3">
        <v>2.7999999999999997E-2</v>
      </c>
      <c r="D1765" s="4" t="s">
        <v>293</v>
      </c>
      <c r="E1765" s="4" t="s">
        <v>241</v>
      </c>
    </row>
    <row r="1766" spans="1:5" ht="26" hidden="1" x14ac:dyDescent="0.15">
      <c r="A1766" s="1" t="s">
        <v>21</v>
      </c>
      <c r="B1766" s="2">
        <v>150800</v>
      </c>
      <c r="C1766" s="3">
        <v>4.7E-2</v>
      </c>
      <c r="D1766" s="4" t="s">
        <v>293</v>
      </c>
      <c r="E1766" s="4" t="s">
        <v>241</v>
      </c>
    </row>
    <row r="1767" spans="1:5" ht="26" hidden="1" x14ac:dyDescent="0.15">
      <c r="A1767" s="1" t="s">
        <v>22</v>
      </c>
      <c r="B1767" s="2">
        <v>146130</v>
      </c>
      <c r="C1767" s="3">
        <v>4.5999999999999999E-2</v>
      </c>
      <c r="D1767" s="4" t="s">
        <v>293</v>
      </c>
      <c r="E1767" s="4" t="s">
        <v>241</v>
      </c>
    </row>
    <row r="1768" spans="1:5" ht="26" hidden="1" x14ac:dyDescent="0.15">
      <c r="A1768" s="1" t="s">
        <v>23</v>
      </c>
      <c r="B1768" s="2">
        <v>102121</v>
      </c>
      <c r="C1768" s="3">
        <v>3.2000000000000001E-2</v>
      </c>
      <c r="D1768" s="4" t="s">
        <v>293</v>
      </c>
      <c r="E1768" s="4" t="s">
        <v>241</v>
      </c>
    </row>
    <row r="1769" spans="1:5" ht="26" hidden="1" x14ac:dyDescent="0.15">
      <c r="A1769" s="1" t="s">
        <v>24</v>
      </c>
      <c r="B1769" s="2">
        <v>25097</v>
      </c>
      <c r="C1769" s="3">
        <v>8.0000000000000002E-3</v>
      </c>
      <c r="D1769" s="4" t="s">
        <v>293</v>
      </c>
      <c r="E1769" s="4" t="s">
        <v>241</v>
      </c>
    </row>
    <row r="1770" spans="1:5" ht="26" hidden="1" x14ac:dyDescent="0.15">
      <c r="A1770" s="1" t="s">
        <v>25</v>
      </c>
      <c r="B1770" s="2">
        <v>67773</v>
      </c>
      <c r="C1770" s="3">
        <v>2.1000000000000001E-2</v>
      </c>
      <c r="D1770" s="4" t="s">
        <v>293</v>
      </c>
      <c r="E1770" s="4" t="s">
        <v>241</v>
      </c>
    </row>
    <row r="1771" spans="1:5" hidden="1" x14ac:dyDescent="0.15">
      <c r="A1771" s="1" t="s">
        <v>26</v>
      </c>
      <c r="B1771" s="2">
        <v>26484</v>
      </c>
      <c r="C1771" s="3">
        <v>8.0000000000000002E-3</v>
      </c>
      <c r="D1771" s="4" t="s">
        <v>293</v>
      </c>
      <c r="E1771" s="4" t="s">
        <v>241</v>
      </c>
    </row>
    <row r="1772" spans="1:5" hidden="1" x14ac:dyDescent="0.15">
      <c r="A1772" s="1" t="s">
        <v>27</v>
      </c>
      <c r="B1772" s="2">
        <v>227815</v>
      </c>
      <c r="C1772" s="3">
        <v>7.0999999999999994E-2</v>
      </c>
      <c r="D1772" s="4" t="s">
        <v>293</v>
      </c>
      <c r="E1772" s="4" t="s">
        <v>241</v>
      </c>
    </row>
    <row r="1773" spans="1:5" hidden="1" x14ac:dyDescent="0.15">
      <c r="A1773" s="1" t="s">
        <v>28</v>
      </c>
      <c r="B1773" s="2">
        <v>325714</v>
      </c>
      <c r="C1773" s="3">
        <v>0.10199999999999999</v>
      </c>
      <c r="D1773" s="4" t="s">
        <v>293</v>
      </c>
      <c r="E1773" s="4" t="s">
        <v>241</v>
      </c>
    </row>
    <row r="1774" spans="1:5" hidden="1" x14ac:dyDescent="0.15">
      <c r="A1774" s="1" t="s">
        <v>29</v>
      </c>
      <c r="B1774" s="2">
        <v>928519</v>
      </c>
      <c r="C1774" s="3">
        <v>0.29100000000000004</v>
      </c>
      <c r="D1774" s="4" t="s">
        <v>293</v>
      </c>
      <c r="E1774" s="4" t="s">
        <v>241</v>
      </c>
    </row>
    <row r="1775" spans="1:5" hidden="1" x14ac:dyDescent="0.15">
      <c r="A1775" s="1" t="s">
        <v>30</v>
      </c>
      <c r="B1775" s="2">
        <v>92196</v>
      </c>
      <c r="C1775" s="3">
        <v>2.8999999999999998E-2</v>
      </c>
      <c r="D1775" s="4" t="s">
        <v>293</v>
      </c>
      <c r="E1775" s="4" t="s">
        <v>241</v>
      </c>
    </row>
    <row r="1776" spans="1:5" ht="39" hidden="1" x14ac:dyDescent="0.15">
      <c r="A1776" s="1" t="s">
        <v>31</v>
      </c>
      <c r="B1776" s="2">
        <v>36890</v>
      </c>
      <c r="C1776" s="3">
        <v>1.2E-2</v>
      </c>
      <c r="D1776" s="4" t="s">
        <v>293</v>
      </c>
      <c r="E1776" s="4" t="s">
        <v>241</v>
      </c>
    </row>
    <row r="1777" spans="1:5" hidden="1" x14ac:dyDescent="0.15">
      <c r="A1777" s="1" t="s">
        <v>32</v>
      </c>
      <c r="B1777" s="2">
        <v>124027</v>
      </c>
      <c r="C1777" s="3">
        <v>3.9E-2</v>
      </c>
      <c r="D1777" s="4" t="s">
        <v>293</v>
      </c>
      <c r="E1777" s="4" t="s">
        <v>241</v>
      </c>
    </row>
    <row r="1778" spans="1:5" hidden="1" x14ac:dyDescent="0.15">
      <c r="A1778" s="1" t="s">
        <v>33</v>
      </c>
      <c r="B1778" s="2">
        <v>868422</v>
      </c>
      <c r="C1778" s="3">
        <v>0.27200000000000002</v>
      </c>
      <c r="D1778" s="4" t="s">
        <v>293</v>
      </c>
      <c r="E1778" s="4" t="s">
        <v>241</v>
      </c>
    </row>
    <row r="1779" spans="1:5" hidden="1" x14ac:dyDescent="0.15">
      <c r="A1779" s="1" t="s">
        <v>34</v>
      </c>
      <c r="B1779" s="2">
        <v>330815</v>
      </c>
      <c r="C1779" s="3">
        <v>0.10400000000000001</v>
      </c>
      <c r="D1779" s="4" t="s">
        <v>293</v>
      </c>
      <c r="E1779" s="4" t="s">
        <v>241</v>
      </c>
    </row>
    <row r="1780" spans="1:5" hidden="1" x14ac:dyDescent="0.15">
      <c r="A1780" s="1" t="s">
        <v>35</v>
      </c>
      <c r="B1780" s="2">
        <v>121287</v>
      </c>
      <c r="C1780" s="3">
        <v>3.7999999999999999E-2</v>
      </c>
      <c r="D1780" s="4" t="s">
        <v>293</v>
      </c>
      <c r="E1780" s="4" t="s">
        <v>241</v>
      </c>
    </row>
    <row r="1781" spans="1:5" ht="26" hidden="1" x14ac:dyDescent="0.15">
      <c r="A1781" s="1" t="s">
        <v>36</v>
      </c>
      <c r="B1781" s="2">
        <v>79117</v>
      </c>
      <c r="C1781" s="3">
        <v>2.5000000000000001E-2</v>
      </c>
      <c r="D1781" s="4" t="s">
        <v>293</v>
      </c>
      <c r="E1781" s="4" t="s">
        <v>241</v>
      </c>
    </row>
    <row r="1782" spans="1:5" hidden="1" x14ac:dyDescent="0.15">
      <c r="A1782" s="1" t="s">
        <v>37</v>
      </c>
      <c r="B1782" s="2">
        <v>70465</v>
      </c>
      <c r="C1782" s="3">
        <v>2.2000000000000002E-2</v>
      </c>
      <c r="D1782" s="4" t="s">
        <v>293</v>
      </c>
      <c r="E1782" s="4" t="s">
        <v>241</v>
      </c>
    </row>
    <row r="1783" spans="1:5" ht="39" hidden="1" x14ac:dyDescent="0.15">
      <c r="A1783" s="1" t="s">
        <v>38</v>
      </c>
      <c r="B1783" s="2">
        <v>50487</v>
      </c>
      <c r="C1783" s="3">
        <v>1.6E-2</v>
      </c>
      <c r="D1783" s="4" t="s">
        <v>293</v>
      </c>
      <c r="E1783" s="4" t="s">
        <v>241</v>
      </c>
    </row>
    <row r="1784" spans="1:5" hidden="1" x14ac:dyDescent="0.15">
      <c r="A1784" s="1" t="s">
        <v>39</v>
      </c>
      <c r="B1784" s="2">
        <v>168632</v>
      </c>
      <c r="C1784" s="3">
        <v>5.2999999999999999E-2</v>
      </c>
      <c r="D1784" s="4" t="s">
        <v>293</v>
      </c>
      <c r="E1784" s="4" t="s">
        <v>241</v>
      </c>
    </row>
    <row r="1785" spans="1:5" hidden="1" x14ac:dyDescent="0.15">
      <c r="A1785" s="1" t="s">
        <v>40</v>
      </c>
      <c r="B1785" s="2">
        <v>28795</v>
      </c>
      <c r="C1785" s="3">
        <v>9.0000000000000011E-3</v>
      </c>
      <c r="D1785" s="4" t="s">
        <v>293</v>
      </c>
      <c r="E1785" s="4" t="s">
        <v>241</v>
      </c>
    </row>
    <row r="1786" spans="1:5" hidden="1" x14ac:dyDescent="0.15">
      <c r="A1786" s="1" t="s">
        <v>41</v>
      </c>
      <c r="B1786" s="2">
        <v>139406</v>
      </c>
      <c r="C1786" s="3">
        <v>4.4000000000000004E-2</v>
      </c>
      <c r="D1786" s="4" t="s">
        <v>293</v>
      </c>
      <c r="E1786" s="4" t="s">
        <v>241</v>
      </c>
    </row>
    <row r="1787" spans="1:5" hidden="1" x14ac:dyDescent="0.15">
      <c r="A1787" s="1" t="s">
        <v>42</v>
      </c>
      <c r="B1787" s="2">
        <v>92000</v>
      </c>
      <c r="C1787" s="3">
        <v>2.8999999999999998E-2</v>
      </c>
      <c r="D1787" s="4" t="s">
        <v>293</v>
      </c>
      <c r="E1787" s="4" t="s">
        <v>241</v>
      </c>
    </row>
    <row r="1788" spans="1:5" hidden="1" x14ac:dyDescent="0.15">
      <c r="A1788" s="1" t="s">
        <v>43</v>
      </c>
      <c r="B1788" s="2">
        <v>288463</v>
      </c>
      <c r="C1788" s="3">
        <v>0.09</v>
      </c>
      <c r="D1788" s="4" t="s">
        <v>293</v>
      </c>
      <c r="E1788" s="4" t="s">
        <v>241</v>
      </c>
    </row>
    <row r="1789" spans="1:5" ht="26" hidden="1" x14ac:dyDescent="0.15">
      <c r="A1789" s="1" t="s">
        <v>44</v>
      </c>
      <c r="B1789" s="2">
        <v>236912</v>
      </c>
      <c r="C1789" s="3">
        <v>7.400000000000001E-2</v>
      </c>
      <c r="D1789" s="4" t="s">
        <v>293</v>
      </c>
      <c r="E1789" s="4" t="s">
        <v>241</v>
      </c>
    </row>
    <row r="1790" spans="1:5" hidden="1" x14ac:dyDescent="0.15">
      <c r="A1790" s="1" t="s">
        <v>45</v>
      </c>
      <c r="B1790" s="2">
        <v>462593</v>
      </c>
      <c r="C1790" s="3">
        <v>0.14499999999999999</v>
      </c>
      <c r="D1790" s="4" t="s">
        <v>293</v>
      </c>
      <c r="E1790" s="4" t="s">
        <v>241</v>
      </c>
    </row>
    <row r="1791" spans="1:5" ht="26" hidden="1" x14ac:dyDescent="0.15">
      <c r="A1791" s="1" t="s">
        <v>46</v>
      </c>
      <c r="B1791" s="2">
        <v>689320</v>
      </c>
      <c r="C1791" s="3">
        <v>0.21600000000000003</v>
      </c>
      <c r="D1791" s="4" t="s">
        <v>293</v>
      </c>
      <c r="E1791" s="4" t="s">
        <v>241</v>
      </c>
    </row>
    <row r="1792" spans="1:5" hidden="1" x14ac:dyDescent="0.15">
      <c r="A1792" s="1" t="s">
        <v>47</v>
      </c>
      <c r="B1792" s="2">
        <v>1036350</v>
      </c>
      <c r="C1792" s="3">
        <v>0.32400000000000001</v>
      </c>
      <c r="D1792" s="4" t="s">
        <v>293</v>
      </c>
      <c r="E1792" s="4" t="s">
        <v>241</v>
      </c>
    </row>
    <row r="1793" spans="1:5" hidden="1" x14ac:dyDescent="0.15">
      <c r="A1793" s="1" t="s">
        <v>48</v>
      </c>
      <c r="B1793" s="2">
        <v>197650</v>
      </c>
      <c r="C1793" s="3">
        <v>6.2E-2</v>
      </c>
      <c r="D1793" s="4" t="s">
        <v>293</v>
      </c>
      <c r="E1793" s="4" t="s">
        <v>241</v>
      </c>
    </row>
    <row r="1794" spans="1:5" hidden="1" x14ac:dyDescent="0.15">
      <c r="A1794" s="1" t="s">
        <v>49</v>
      </c>
      <c r="B1794" s="2">
        <v>436384</v>
      </c>
      <c r="C1794" s="3">
        <v>0.13699999999999998</v>
      </c>
      <c r="D1794" s="4" t="s">
        <v>293</v>
      </c>
      <c r="E1794" s="4" t="s">
        <v>241</v>
      </c>
    </row>
    <row r="1795" spans="1:5" ht="26" hidden="1" x14ac:dyDescent="0.15">
      <c r="A1795" s="1" t="s">
        <v>50</v>
      </c>
      <c r="B1795" s="2">
        <v>559114</v>
      </c>
      <c r="C1795" s="3">
        <v>0.17499999999999999</v>
      </c>
      <c r="D1795" s="4" t="s">
        <v>293</v>
      </c>
      <c r="E1795" s="4" t="s">
        <v>241</v>
      </c>
    </row>
    <row r="1796" spans="1:5" hidden="1" x14ac:dyDescent="0.15">
      <c r="A1796" s="1" t="s">
        <v>51</v>
      </c>
      <c r="B1796" s="2">
        <v>933524</v>
      </c>
      <c r="C1796" s="3">
        <v>0.29199999999999998</v>
      </c>
      <c r="D1796" s="4" t="s">
        <v>293</v>
      </c>
      <c r="E1796" s="4" t="s">
        <v>241</v>
      </c>
    </row>
    <row r="1797" spans="1:5" hidden="1" x14ac:dyDescent="0.15">
      <c r="A1797" s="1" t="s">
        <v>52</v>
      </c>
      <c r="B1797" s="2">
        <v>405785</v>
      </c>
      <c r="C1797" s="3">
        <v>0.127</v>
      </c>
      <c r="D1797" s="4" t="s">
        <v>293</v>
      </c>
      <c r="E1797" s="4" t="s">
        <v>241</v>
      </c>
    </row>
    <row r="1798" spans="1:5" ht="26" hidden="1" x14ac:dyDescent="0.15">
      <c r="A1798" s="1" t="s">
        <v>53</v>
      </c>
      <c r="B1798" s="2">
        <v>239522</v>
      </c>
      <c r="C1798" s="3">
        <v>7.4999999999999997E-2</v>
      </c>
      <c r="D1798" s="4" t="s">
        <v>293</v>
      </c>
      <c r="E1798" s="4" t="s">
        <v>241</v>
      </c>
    </row>
    <row r="1799" spans="1:5" hidden="1" x14ac:dyDescent="0.15">
      <c r="A1799" s="1" t="s">
        <v>54</v>
      </c>
      <c r="B1799" s="2">
        <v>1048278</v>
      </c>
      <c r="C1799" s="3">
        <v>0.32799999999999996</v>
      </c>
      <c r="D1799" s="4" t="s">
        <v>293</v>
      </c>
      <c r="E1799" s="4" t="s">
        <v>241</v>
      </c>
    </row>
    <row r="1800" spans="1:5" ht="26" hidden="1" x14ac:dyDescent="0.15">
      <c r="A1800" s="1" t="s">
        <v>55</v>
      </c>
      <c r="B1800" s="2">
        <v>744115</v>
      </c>
      <c r="C1800" s="3">
        <v>0.23300000000000001</v>
      </c>
      <c r="D1800" s="4" t="s">
        <v>293</v>
      </c>
      <c r="E1800" s="4" t="s">
        <v>241</v>
      </c>
    </row>
    <row r="1801" spans="1:5" hidden="1" x14ac:dyDescent="0.15">
      <c r="A1801" s="1" t="s">
        <v>56</v>
      </c>
      <c r="B1801" s="2">
        <v>678280</v>
      </c>
      <c r="C1801" s="3">
        <v>0.21199999999999999</v>
      </c>
      <c r="D1801" s="4" t="s">
        <v>293</v>
      </c>
      <c r="E1801" s="4" t="s">
        <v>241</v>
      </c>
    </row>
    <row r="1802" spans="1:5" hidden="1" x14ac:dyDescent="0.15">
      <c r="A1802" s="1" t="s">
        <v>57</v>
      </c>
      <c r="B1802" s="2">
        <v>483518</v>
      </c>
      <c r="C1802" s="3">
        <v>0.151</v>
      </c>
      <c r="D1802" s="4" t="s">
        <v>293</v>
      </c>
      <c r="E1802" s="4" t="s">
        <v>241</v>
      </c>
    </row>
    <row r="1803" spans="1:5" hidden="1" x14ac:dyDescent="0.15">
      <c r="A1803" s="1" t="s">
        <v>58</v>
      </c>
      <c r="B1803" s="2">
        <v>404270</v>
      </c>
      <c r="C1803" s="3">
        <v>0.126</v>
      </c>
      <c r="D1803" s="4" t="s">
        <v>293</v>
      </c>
      <c r="E1803" s="4" t="s">
        <v>241</v>
      </c>
    </row>
    <row r="1804" spans="1:5" hidden="1" x14ac:dyDescent="0.15">
      <c r="A1804" s="1" t="s">
        <v>59</v>
      </c>
      <c r="B1804" s="2">
        <v>1543158</v>
      </c>
      <c r="C1804" s="3">
        <v>0.48299999999999998</v>
      </c>
      <c r="D1804" s="4" t="s">
        <v>293</v>
      </c>
      <c r="E1804" s="4" t="s">
        <v>241</v>
      </c>
    </row>
    <row r="1805" spans="1:5" hidden="1" x14ac:dyDescent="0.15">
      <c r="A1805" s="1" t="s">
        <v>60</v>
      </c>
      <c r="B1805" s="2">
        <v>474042</v>
      </c>
      <c r="C1805" s="3">
        <v>0.14800000000000002</v>
      </c>
      <c r="D1805" s="4" t="s">
        <v>293</v>
      </c>
      <c r="E1805" s="4" t="s">
        <v>241</v>
      </c>
    </row>
    <row r="1806" spans="1:5" ht="26" hidden="1" x14ac:dyDescent="0.15">
      <c r="A1806" s="1" t="s">
        <v>61</v>
      </c>
      <c r="B1806" s="2">
        <v>616871</v>
      </c>
      <c r="C1806" s="3">
        <v>0.193</v>
      </c>
      <c r="D1806" s="4" t="s">
        <v>293</v>
      </c>
      <c r="E1806" s="4" t="s">
        <v>241</v>
      </c>
    </row>
    <row r="1807" spans="1:5" hidden="1" x14ac:dyDescent="0.15">
      <c r="A1807" s="1" t="s">
        <v>62</v>
      </c>
      <c r="B1807" s="2">
        <v>409661</v>
      </c>
      <c r="C1807" s="3">
        <v>0.128</v>
      </c>
      <c r="D1807" s="4" t="s">
        <v>293</v>
      </c>
      <c r="E1807" s="4" t="s">
        <v>241</v>
      </c>
    </row>
    <row r="1808" spans="1:5" ht="26" hidden="1" x14ac:dyDescent="0.15">
      <c r="A1808" s="1" t="s">
        <v>63</v>
      </c>
      <c r="B1808" s="2">
        <v>630575</v>
      </c>
      <c r="C1808" s="3">
        <v>0.19699999999999998</v>
      </c>
      <c r="D1808" s="4" t="s">
        <v>293</v>
      </c>
      <c r="E1808" s="4" t="s">
        <v>241</v>
      </c>
    </row>
    <row r="1809" spans="1:5" ht="26" hidden="1" x14ac:dyDescent="0.15">
      <c r="A1809" s="1" t="s">
        <v>64</v>
      </c>
      <c r="B1809" s="2">
        <v>166415</v>
      </c>
      <c r="C1809" s="3">
        <v>5.2000000000000005E-2</v>
      </c>
      <c r="D1809" s="4" t="s">
        <v>293</v>
      </c>
      <c r="E1809" s="4" t="s">
        <v>241</v>
      </c>
    </row>
    <row r="1810" spans="1:5" hidden="1" x14ac:dyDescent="0.15">
      <c r="A1810" s="1" t="s">
        <v>65</v>
      </c>
      <c r="B1810" s="2">
        <v>362377</v>
      </c>
      <c r="C1810" s="3">
        <v>0.113</v>
      </c>
      <c r="D1810" s="4" t="s">
        <v>293</v>
      </c>
      <c r="E1810" s="4" t="s">
        <v>241</v>
      </c>
    </row>
    <row r="1811" spans="1:5" hidden="1" x14ac:dyDescent="0.15">
      <c r="A1811" s="1" t="s">
        <v>66</v>
      </c>
      <c r="B1811" s="2">
        <v>246254</v>
      </c>
      <c r="C1811" s="3">
        <v>7.6999999999999999E-2</v>
      </c>
      <c r="D1811" s="4" t="s">
        <v>293</v>
      </c>
      <c r="E1811" s="4" t="s">
        <v>241</v>
      </c>
    </row>
    <row r="1812" spans="1:5" hidden="1" x14ac:dyDescent="0.15">
      <c r="A1812" s="1" t="s">
        <v>67</v>
      </c>
      <c r="B1812" s="2">
        <v>791673</v>
      </c>
      <c r="C1812" s="3">
        <v>0.248</v>
      </c>
      <c r="D1812" s="4" t="s">
        <v>293</v>
      </c>
      <c r="E1812" s="4" t="s">
        <v>241</v>
      </c>
    </row>
    <row r="1813" spans="1:5" hidden="1" x14ac:dyDescent="0.15">
      <c r="A1813" s="1" t="s">
        <v>68</v>
      </c>
      <c r="B1813" s="2">
        <v>1125630</v>
      </c>
      <c r="C1813" s="3">
        <v>0.35200000000000004</v>
      </c>
      <c r="D1813" s="4" t="s">
        <v>293</v>
      </c>
      <c r="E1813" s="4" t="s">
        <v>241</v>
      </c>
    </row>
    <row r="1814" spans="1:5" hidden="1" x14ac:dyDescent="0.15">
      <c r="A1814" s="1" t="s">
        <v>69</v>
      </c>
      <c r="B1814" s="2">
        <v>1876740</v>
      </c>
      <c r="C1814" s="3">
        <v>0.58700000000000008</v>
      </c>
      <c r="D1814" s="4" t="s">
        <v>293</v>
      </c>
      <c r="E1814" s="4" t="s">
        <v>241</v>
      </c>
    </row>
    <row r="1815" spans="1:5" hidden="1" x14ac:dyDescent="0.15">
      <c r="A1815" s="1" t="s">
        <v>70</v>
      </c>
      <c r="B1815" s="2">
        <v>553561</v>
      </c>
      <c r="C1815" s="3">
        <v>0.17300000000000001</v>
      </c>
      <c r="D1815" s="4" t="s">
        <v>293</v>
      </c>
      <c r="E1815" s="4" t="s">
        <v>241</v>
      </c>
    </row>
    <row r="1816" spans="1:5" ht="26" hidden="1" x14ac:dyDescent="0.15">
      <c r="A1816" s="1" t="s">
        <v>71</v>
      </c>
      <c r="B1816" s="2">
        <v>200322</v>
      </c>
      <c r="C1816" s="3">
        <v>6.3E-2</v>
      </c>
      <c r="D1816" s="4" t="s">
        <v>293</v>
      </c>
      <c r="E1816" s="4" t="s">
        <v>241</v>
      </c>
    </row>
    <row r="1817" spans="1:5" hidden="1" x14ac:dyDescent="0.15">
      <c r="A1817" s="1" t="s">
        <v>72</v>
      </c>
      <c r="B1817" s="2">
        <v>416651</v>
      </c>
      <c r="C1817" s="3">
        <v>0.13</v>
      </c>
      <c r="D1817" s="4" t="s">
        <v>293</v>
      </c>
      <c r="E1817" s="4" t="s">
        <v>241</v>
      </c>
    </row>
    <row r="1818" spans="1:5" hidden="1" x14ac:dyDescent="0.15">
      <c r="A1818" s="1" t="s">
        <v>73</v>
      </c>
      <c r="B1818" s="2">
        <v>1835448</v>
      </c>
      <c r="C1818" s="3">
        <v>0.57399999999999995</v>
      </c>
      <c r="D1818" s="4" t="s">
        <v>293</v>
      </c>
      <c r="E1818" s="4" t="s">
        <v>241</v>
      </c>
    </row>
    <row r="1819" spans="1:5" hidden="1" x14ac:dyDescent="0.15">
      <c r="A1819" s="1" t="s">
        <v>74</v>
      </c>
      <c r="B1819" s="2">
        <v>804496</v>
      </c>
      <c r="C1819" s="3">
        <v>0.252</v>
      </c>
      <c r="D1819" s="4" t="s">
        <v>293</v>
      </c>
      <c r="E1819" s="4" t="s">
        <v>241</v>
      </c>
    </row>
    <row r="1820" spans="1:5" hidden="1" x14ac:dyDescent="0.15">
      <c r="A1820" s="1" t="s">
        <v>75</v>
      </c>
      <c r="B1820" s="2">
        <v>709549</v>
      </c>
      <c r="C1820" s="3">
        <v>0.222</v>
      </c>
      <c r="D1820" s="4" t="s">
        <v>293</v>
      </c>
      <c r="E1820" s="4" t="s">
        <v>241</v>
      </c>
    </row>
    <row r="1821" spans="1:5" hidden="1" x14ac:dyDescent="0.15">
      <c r="A1821" s="1" t="s">
        <v>76</v>
      </c>
      <c r="B1821" s="2">
        <v>489953</v>
      </c>
      <c r="C1821" s="3">
        <v>0.153</v>
      </c>
      <c r="D1821" s="4" t="s">
        <v>293</v>
      </c>
      <c r="E1821" s="4" t="s">
        <v>241</v>
      </c>
    </row>
    <row r="1822" spans="1:5" hidden="1" x14ac:dyDescent="0.15">
      <c r="A1822" s="1" t="s">
        <v>77</v>
      </c>
      <c r="B1822" s="2">
        <v>450048</v>
      </c>
      <c r="C1822" s="3">
        <v>0.14099999999999999</v>
      </c>
      <c r="D1822" s="4" t="s">
        <v>293</v>
      </c>
      <c r="E1822" s="4" t="s">
        <v>241</v>
      </c>
    </row>
    <row r="1823" spans="1:5" ht="26" hidden="1" x14ac:dyDescent="0.15">
      <c r="A1823" s="1" t="s">
        <v>78</v>
      </c>
      <c r="B1823" s="2">
        <v>369128</v>
      </c>
      <c r="C1823" s="3">
        <v>0.115</v>
      </c>
      <c r="D1823" s="4" t="s">
        <v>293</v>
      </c>
      <c r="E1823" s="4" t="s">
        <v>241</v>
      </c>
    </row>
    <row r="1824" spans="1:5" hidden="1" x14ac:dyDescent="0.15">
      <c r="A1824" s="1" t="s">
        <v>79</v>
      </c>
      <c r="B1824" s="2">
        <v>571318</v>
      </c>
      <c r="C1824" s="3">
        <v>0.17899999999999999</v>
      </c>
      <c r="D1824" s="4" t="s">
        <v>293</v>
      </c>
      <c r="E1824" s="4" t="s">
        <v>241</v>
      </c>
    </row>
    <row r="1825" spans="1:5" hidden="1" x14ac:dyDescent="0.15">
      <c r="A1825" s="1" t="s">
        <v>80</v>
      </c>
      <c r="B1825" s="2">
        <v>293846</v>
      </c>
      <c r="C1825" s="3">
        <v>9.1999999999999998E-2</v>
      </c>
      <c r="D1825" s="4" t="s">
        <v>293</v>
      </c>
      <c r="E1825" s="4" t="s">
        <v>241</v>
      </c>
    </row>
    <row r="1826" spans="1:5" ht="26" hidden="1" x14ac:dyDescent="0.15">
      <c r="A1826" s="1" t="s">
        <v>81</v>
      </c>
      <c r="B1826" s="2">
        <v>593698</v>
      </c>
      <c r="C1826" s="3">
        <v>0.18600000000000003</v>
      </c>
      <c r="D1826" s="4" t="s">
        <v>293</v>
      </c>
      <c r="E1826" s="4" t="s">
        <v>241</v>
      </c>
    </row>
    <row r="1827" spans="1:5" hidden="1" x14ac:dyDescent="0.15">
      <c r="A1827" s="1" t="s">
        <v>82</v>
      </c>
      <c r="B1827" s="2">
        <v>251634</v>
      </c>
      <c r="C1827" s="3">
        <v>7.9000000000000001E-2</v>
      </c>
      <c r="D1827" s="4" t="s">
        <v>293</v>
      </c>
      <c r="E1827" s="4" t="s">
        <v>241</v>
      </c>
    </row>
    <row r="1828" spans="1:5" hidden="1" x14ac:dyDescent="0.15">
      <c r="A1828" s="4"/>
      <c r="B1828" s="4"/>
      <c r="C1828" s="4"/>
      <c r="D1828" s="4" t="s">
        <v>293</v>
      </c>
      <c r="E1828" s="4" t="s">
        <v>241</v>
      </c>
    </row>
    <row r="1829" spans="1:5" hidden="1" x14ac:dyDescent="0.15">
      <c r="A1829" s="16"/>
      <c r="B1829" s="16"/>
      <c r="C1829" s="16"/>
      <c r="D1829" s="4" t="s">
        <v>293</v>
      </c>
      <c r="E1829" s="4" t="s">
        <v>241</v>
      </c>
    </row>
    <row r="1830" spans="1:5" ht="26" hidden="1" x14ac:dyDescent="0.15">
      <c r="A1830" s="1" t="s">
        <v>294</v>
      </c>
      <c r="B1830" s="2">
        <v>739168</v>
      </c>
      <c r="C1830" s="3">
        <v>0.23100000000000001</v>
      </c>
      <c r="D1830" s="4" t="s">
        <v>293</v>
      </c>
      <c r="E1830" s="4" t="s">
        <v>241</v>
      </c>
    </row>
    <row r="1831" spans="1:5" hidden="1" x14ac:dyDescent="0.15">
      <c r="A1831" s="1" t="s">
        <v>245</v>
      </c>
      <c r="B1831" s="2">
        <v>180005</v>
      </c>
      <c r="C1831" s="3">
        <v>5.5999999999999994E-2</v>
      </c>
      <c r="D1831" s="4" t="s">
        <v>293</v>
      </c>
      <c r="E1831" s="4" t="s">
        <v>241</v>
      </c>
    </row>
    <row r="1832" spans="1:5" hidden="1" x14ac:dyDescent="0.15">
      <c r="A1832" s="4"/>
      <c r="B1832" s="4"/>
      <c r="C1832" s="4"/>
      <c r="D1832" s="4" t="s">
        <v>293</v>
      </c>
      <c r="E1832" s="4" t="s">
        <v>241</v>
      </c>
    </row>
    <row r="1833" spans="1:5" hidden="1" x14ac:dyDescent="0.15">
      <c r="A1833" s="16"/>
      <c r="B1833" s="16"/>
      <c r="C1833" s="16"/>
      <c r="D1833" s="4" t="s">
        <v>293</v>
      </c>
      <c r="E1833" s="4" t="s">
        <v>241</v>
      </c>
    </row>
    <row r="1834" spans="1:5" ht="26" hidden="1" x14ac:dyDescent="0.15">
      <c r="A1834" s="1" t="s">
        <v>243</v>
      </c>
      <c r="B1834" s="2">
        <v>741889</v>
      </c>
      <c r="C1834" s="3">
        <v>0.23199999999999998</v>
      </c>
      <c r="D1834" s="4" t="s">
        <v>293</v>
      </c>
      <c r="E1834" s="4" t="s">
        <v>241</v>
      </c>
    </row>
    <row r="1835" spans="1:5" ht="26" hidden="1" x14ac:dyDescent="0.15">
      <c r="A1835" s="1" t="s">
        <v>242</v>
      </c>
      <c r="B1835" s="2">
        <v>1256899</v>
      </c>
      <c r="C1835" s="3">
        <v>0.39299999999999996</v>
      </c>
      <c r="D1835" s="4" t="s">
        <v>293</v>
      </c>
      <c r="E1835" s="4" t="s">
        <v>241</v>
      </c>
    </row>
    <row r="1836" spans="1:5" hidden="1" x14ac:dyDescent="0.15">
      <c r="A1836" s="4"/>
      <c r="B1836" s="4"/>
      <c r="C1836" s="4"/>
      <c r="D1836" s="4" t="s">
        <v>293</v>
      </c>
      <c r="E1836" s="4" t="s">
        <v>241</v>
      </c>
    </row>
    <row r="1837" spans="1:5" hidden="1" x14ac:dyDescent="0.15">
      <c r="A1837" s="16"/>
      <c r="B1837" s="16"/>
      <c r="C1837" s="16"/>
      <c r="D1837" s="4" t="s">
        <v>293</v>
      </c>
      <c r="E1837" s="4" t="s">
        <v>241</v>
      </c>
    </row>
    <row r="1838" spans="1:5" ht="26" hidden="1" x14ac:dyDescent="0.15">
      <c r="A1838" s="1" t="s">
        <v>244</v>
      </c>
      <c r="B1838" s="2">
        <v>0</v>
      </c>
      <c r="C1838" s="3">
        <v>0</v>
      </c>
      <c r="D1838" s="4" t="s">
        <v>293</v>
      </c>
      <c r="E1838" s="4" t="s">
        <v>241</v>
      </c>
    </row>
    <row r="1839" spans="1:5" hidden="1" x14ac:dyDescent="0.15">
      <c r="A1839" s="4"/>
      <c r="B1839" s="4"/>
      <c r="C1839" s="4"/>
      <c r="D1839" s="4" t="s">
        <v>293</v>
      </c>
      <c r="E1839" s="4" t="s">
        <v>241</v>
      </c>
    </row>
    <row r="1840" spans="1:5" hidden="1" x14ac:dyDescent="0.15">
      <c r="A1840" s="16"/>
      <c r="B1840" s="16"/>
      <c r="C1840" s="16"/>
      <c r="D1840" s="4" t="s">
        <v>293</v>
      </c>
      <c r="E1840" s="4" t="s">
        <v>241</v>
      </c>
    </row>
    <row r="1841" spans="1:5" hidden="1" x14ac:dyDescent="0.15">
      <c r="A1841" s="1" t="s">
        <v>246</v>
      </c>
      <c r="B1841" s="2">
        <v>917892</v>
      </c>
      <c r="C1841" s="3">
        <v>0.28699999999999998</v>
      </c>
      <c r="D1841" s="4" t="s">
        <v>293</v>
      </c>
      <c r="E1841" s="4" t="s">
        <v>241</v>
      </c>
    </row>
    <row r="1842" spans="1:5" ht="26" hidden="1" x14ac:dyDescent="0.15">
      <c r="A1842" s="1" t="s">
        <v>247</v>
      </c>
      <c r="B1842" s="2">
        <v>1322591</v>
      </c>
      <c r="C1842" s="3">
        <v>0.41399999999999998</v>
      </c>
      <c r="D1842" s="4" t="s">
        <v>293</v>
      </c>
      <c r="E1842" s="4" t="s">
        <v>241</v>
      </c>
    </row>
    <row r="1843" spans="1:5" hidden="1" x14ac:dyDescent="0.15">
      <c r="A1843" s="4"/>
      <c r="B1843" s="4"/>
      <c r="C1843" s="4"/>
      <c r="D1843" s="4" t="s">
        <v>293</v>
      </c>
      <c r="E1843" s="4" t="s">
        <v>241</v>
      </c>
    </row>
    <row r="1844" spans="1:5" hidden="1" x14ac:dyDescent="0.15">
      <c r="A1844" s="16"/>
      <c r="B1844" s="16"/>
      <c r="C1844" s="16"/>
      <c r="D1844" s="4" t="s">
        <v>293</v>
      </c>
      <c r="E1844" s="4" t="s">
        <v>241</v>
      </c>
    </row>
    <row r="1845" spans="1:5" ht="26" hidden="1" x14ac:dyDescent="0.15">
      <c r="A1845" s="1" t="s">
        <v>248</v>
      </c>
      <c r="B1845" s="2">
        <v>202351</v>
      </c>
      <c r="C1845" s="3">
        <v>6.3E-2</v>
      </c>
      <c r="D1845" s="4" t="s">
        <v>293</v>
      </c>
      <c r="E1845" s="4" t="s">
        <v>241</v>
      </c>
    </row>
    <row r="1846" spans="1:5" hidden="1" x14ac:dyDescent="0.15">
      <c r="A1846" s="4"/>
      <c r="B1846" s="4"/>
      <c r="C1846" s="4"/>
      <c r="D1846" s="4" t="s">
        <v>293</v>
      </c>
      <c r="E1846" s="4" t="s">
        <v>241</v>
      </c>
    </row>
    <row r="1847" spans="1:5" hidden="1" x14ac:dyDescent="0.15">
      <c r="A1847" s="16"/>
      <c r="B1847" s="16"/>
      <c r="C1847" s="16"/>
      <c r="D1847" s="4" t="s">
        <v>293</v>
      </c>
      <c r="E1847" s="4" t="s">
        <v>241</v>
      </c>
    </row>
    <row r="1848" spans="1:5" ht="26" hidden="1" x14ac:dyDescent="0.15">
      <c r="A1848" s="1" t="s">
        <v>295</v>
      </c>
      <c r="B1848" s="2">
        <v>87401</v>
      </c>
      <c r="C1848" s="3">
        <v>2.7000000000000003E-2</v>
      </c>
      <c r="D1848" s="4" t="s">
        <v>293</v>
      </c>
      <c r="E1848" s="4" t="s">
        <v>241</v>
      </c>
    </row>
    <row r="1849" spans="1:5" ht="26" hidden="1" x14ac:dyDescent="0.15">
      <c r="A1849" s="1" t="s">
        <v>296</v>
      </c>
      <c r="B1849" s="2">
        <v>12223</v>
      </c>
      <c r="C1849" s="3">
        <v>4.0000000000000001E-3</v>
      </c>
      <c r="D1849" s="4" t="s">
        <v>293</v>
      </c>
      <c r="E1849" s="4" t="s">
        <v>241</v>
      </c>
    </row>
    <row r="1850" spans="1:5" hidden="1" x14ac:dyDescent="0.15">
      <c r="A1850" s="1" t="s">
        <v>0</v>
      </c>
      <c r="B1850" s="2">
        <v>890620</v>
      </c>
      <c r="C1850" s="3">
        <v>1</v>
      </c>
      <c r="D1850" s="4" t="s">
        <v>297</v>
      </c>
      <c r="E1850" s="4" t="s">
        <v>191</v>
      </c>
    </row>
    <row r="1851" spans="1:5" ht="26" hidden="1" x14ac:dyDescent="0.15">
      <c r="A1851" s="1" t="s">
        <v>3</v>
      </c>
      <c r="B1851" s="2">
        <v>14271</v>
      </c>
      <c r="C1851" s="3">
        <v>1.6E-2</v>
      </c>
      <c r="D1851" s="4" t="s">
        <v>297</v>
      </c>
      <c r="E1851" s="4" t="s">
        <v>191</v>
      </c>
    </row>
    <row r="1852" spans="1:5" hidden="1" x14ac:dyDescent="0.15">
      <c r="A1852" s="1" t="s">
        <v>4</v>
      </c>
      <c r="B1852" s="2">
        <v>4394</v>
      </c>
      <c r="C1852" s="3">
        <v>5.0000000000000001E-3</v>
      </c>
      <c r="D1852" s="4" t="s">
        <v>297</v>
      </c>
      <c r="E1852" s="4" t="s">
        <v>191</v>
      </c>
    </row>
    <row r="1853" spans="1:5" ht="26" hidden="1" x14ac:dyDescent="0.15">
      <c r="A1853" s="1" t="s">
        <v>5</v>
      </c>
      <c r="B1853" s="2">
        <v>14621</v>
      </c>
      <c r="C1853" s="3">
        <v>1.6E-2</v>
      </c>
      <c r="D1853" s="4" t="s">
        <v>297</v>
      </c>
      <c r="E1853" s="4" t="s">
        <v>191</v>
      </c>
    </row>
    <row r="1854" spans="1:5" ht="26" hidden="1" x14ac:dyDescent="0.15">
      <c r="A1854" s="1" t="s">
        <v>6</v>
      </c>
      <c r="B1854" s="2">
        <v>96082</v>
      </c>
      <c r="C1854" s="3">
        <v>0.10800000000000001</v>
      </c>
      <c r="D1854" s="4" t="s">
        <v>297</v>
      </c>
      <c r="E1854" s="4" t="s">
        <v>191</v>
      </c>
    </row>
    <row r="1855" spans="1:5" ht="26" hidden="1" x14ac:dyDescent="0.15">
      <c r="A1855" s="1" t="s">
        <v>7</v>
      </c>
      <c r="B1855" s="2">
        <v>94615</v>
      </c>
      <c r="C1855" s="3">
        <v>0.106</v>
      </c>
      <c r="D1855" s="4" t="s">
        <v>297</v>
      </c>
      <c r="E1855" s="4" t="s">
        <v>191</v>
      </c>
    </row>
    <row r="1856" spans="1:5" ht="26" hidden="1" x14ac:dyDescent="0.15">
      <c r="A1856" s="1" t="s">
        <v>8</v>
      </c>
      <c r="B1856" s="2">
        <v>13834</v>
      </c>
      <c r="C1856" s="3">
        <v>1.6E-2</v>
      </c>
      <c r="D1856" s="4" t="s">
        <v>297</v>
      </c>
      <c r="E1856" s="4" t="s">
        <v>191</v>
      </c>
    </row>
    <row r="1857" spans="1:5" ht="26" hidden="1" x14ac:dyDescent="0.15">
      <c r="A1857" s="1" t="s">
        <v>9</v>
      </c>
      <c r="B1857" s="2">
        <v>13887</v>
      </c>
      <c r="C1857" s="3">
        <v>1.6E-2</v>
      </c>
      <c r="D1857" s="4" t="s">
        <v>297</v>
      </c>
      <c r="E1857" s="4" t="s">
        <v>191</v>
      </c>
    </row>
    <row r="1858" spans="1:5" ht="26" hidden="1" x14ac:dyDescent="0.15">
      <c r="A1858" s="1" t="s">
        <v>10</v>
      </c>
      <c r="B1858" s="2">
        <v>8819</v>
      </c>
      <c r="C1858" s="3">
        <v>0.01</v>
      </c>
      <c r="D1858" s="4" t="s">
        <v>297</v>
      </c>
      <c r="E1858" s="4" t="s">
        <v>191</v>
      </c>
    </row>
    <row r="1859" spans="1:5" ht="26" hidden="1" x14ac:dyDescent="0.15">
      <c r="A1859" s="1" t="s">
        <v>11</v>
      </c>
      <c r="B1859" s="2">
        <v>54520</v>
      </c>
      <c r="C1859" s="3">
        <v>6.0999999999999999E-2</v>
      </c>
      <c r="D1859" s="4" t="s">
        <v>297</v>
      </c>
      <c r="E1859" s="4" t="s">
        <v>191</v>
      </c>
    </row>
    <row r="1860" spans="1:5" ht="26" hidden="1" x14ac:dyDescent="0.15">
      <c r="A1860" s="1" t="s">
        <v>12</v>
      </c>
      <c r="B1860" s="2">
        <v>16054</v>
      </c>
      <c r="C1860" s="3">
        <v>1.8000000000000002E-2</v>
      </c>
      <c r="D1860" s="4" t="s">
        <v>297</v>
      </c>
      <c r="E1860" s="4" t="s">
        <v>191</v>
      </c>
    </row>
    <row r="1861" spans="1:5" ht="26" hidden="1" x14ac:dyDescent="0.15">
      <c r="A1861" s="1" t="s">
        <v>13</v>
      </c>
      <c r="B1861" s="2">
        <v>8328</v>
      </c>
      <c r="C1861" s="3">
        <v>9.0000000000000011E-3</v>
      </c>
      <c r="D1861" s="4" t="s">
        <v>297</v>
      </c>
      <c r="E1861" s="4" t="s">
        <v>191</v>
      </c>
    </row>
    <row r="1862" spans="1:5" hidden="1" x14ac:dyDescent="0.15">
      <c r="A1862" s="1" t="s">
        <v>14</v>
      </c>
      <c r="B1862" s="2">
        <v>60204</v>
      </c>
      <c r="C1862" s="3">
        <v>6.8000000000000005E-2</v>
      </c>
      <c r="D1862" s="4" t="s">
        <v>297</v>
      </c>
      <c r="E1862" s="4" t="s">
        <v>191</v>
      </c>
    </row>
    <row r="1863" spans="1:5" ht="26" hidden="1" x14ac:dyDescent="0.15">
      <c r="A1863" s="1" t="s">
        <v>15</v>
      </c>
      <c r="B1863" s="2">
        <v>50102</v>
      </c>
      <c r="C1863" s="3">
        <v>5.5999999999999994E-2</v>
      </c>
      <c r="D1863" s="4" t="s">
        <v>297</v>
      </c>
      <c r="E1863" s="4" t="s">
        <v>191</v>
      </c>
    </row>
    <row r="1864" spans="1:5" ht="26" hidden="1" x14ac:dyDescent="0.15">
      <c r="A1864" s="1" t="s">
        <v>16</v>
      </c>
      <c r="B1864" s="2">
        <v>25954</v>
      </c>
      <c r="C1864" s="3">
        <v>2.8999999999999998E-2</v>
      </c>
      <c r="D1864" s="4" t="s">
        <v>297</v>
      </c>
      <c r="E1864" s="4" t="s">
        <v>191</v>
      </c>
    </row>
    <row r="1865" spans="1:5" ht="26" hidden="1" x14ac:dyDescent="0.15">
      <c r="A1865" s="1" t="s">
        <v>17</v>
      </c>
      <c r="B1865" s="2">
        <v>16789</v>
      </c>
      <c r="C1865" s="3">
        <v>1.9E-2</v>
      </c>
      <c r="D1865" s="4" t="s">
        <v>297</v>
      </c>
      <c r="E1865" s="4" t="s">
        <v>191</v>
      </c>
    </row>
    <row r="1866" spans="1:5" hidden="1" x14ac:dyDescent="0.15">
      <c r="A1866" s="1" t="s">
        <v>18</v>
      </c>
      <c r="B1866" s="2">
        <v>27503</v>
      </c>
      <c r="C1866" s="3">
        <v>3.1E-2</v>
      </c>
      <c r="D1866" s="4" t="s">
        <v>297</v>
      </c>
      <c r="E1866" s="4" t="s">
        <v>191</v>
      </c>
    </row>
    <row r="1867" spans="1:5" hidden="1" x14ac:dyDescent="0.15">
      <c r="A1867" s="1" t="s">
        <v>19</v>
      </c>
      <c r="B1867" s="2">
        <v>121309</v>
      </c>
      <c r="C1867" s="3">
        <v>0.13600000000000001</v>
      </c>
      <c r="D1867" s="4" t="s">
        <v>297</v>
      </c>
      <c r="E1867" s="4" t="s">
        <v>191</v>
      </c>
    </row>
    <row r="1868" spans="1:5" hidden="1" x14ac:dyDescent="0.15">
      <c r="A1868" s="1" t="s">
        <v>20</v>
      </c>
      <c r="B1868" s="2">
        <v>9970</v>
      </c>
      <c r="C1868" s="3">
        <v>1.1000000000000001E-2</v>
      </c>
      <c r="D1868" s="4" t="s">
        <v>297</v>
      </c>
      <c r="E1868" s="4" t="s">
        <v>191</v>
      </c>
    </row>
    <row r="1869" spans="1:5" ht="26" hidden="1" x14ac:dyDescent="0.15">
      <c r="A1869" s="1" t="s">
        <v>21</v>
      </c>
      <c r="B1869" s="2">
        <v>28477</v>
      </c>
      <c r="C1869" s="3">
        <v>3.2000000000000001E-2</v>
      </c>
      <c r="D1869" s="4" t="s">
        <v>297</v>
      </c>
      <c r="E1869" s="4" t="s">
        <v>191</v>
      </c>
    </row>
    <row r="1870" spans="1:5" ht="26" hidden="1" x14ac:dyDescent="0.15">
      <c r="A1870" s="1" t="s">
        <v>22</v>
      </c>
      <c r="B1870" s="2">
        <v>3366</v>
      </c>
      <c r="C1870" s="3">
        <v>4.0000000000000001E-3</v>
      </c>
      <c r="D1870" s="4" t="s">
        <v>297</v>
      </c>
      <c r="E1870" s="4" t="s">
        <v>191</v>
      </c>
    </row>
    <row r="1871" spans="1:5" ht="26" hidden="1" x14ac:dyDescent="0.15">
      <c r="A1871" s="1" t="s">
        <v>23</v>
      </c>
      <c r="B1871" s="2">
        <v>25917</v>
      </c>
      <c r="C1871" s="3">
        <v>2.8999999999999998E-2</v>
      </c>
      <c r="D1871" s="4" t="s">
        <v>297</v>
      </c>
      <c r="E1871" s="4" t="s">
        <v>191</v>
      </c>
    </row>
    <row r="1872" spans="1:5" ht="26" hidden="1" x14ac:dyDescent="0.15">
      <c r="A1872" s="1" t="s">
        <v>24</v>
      </c>
      <c r="B1872" s="2">
        <v>17547</v>
      </c>
      <c r="C1872" s="3">
        <v>0.02</v>
      </c>
      <c r="D1872" s="4" t="s">
        <v>297</v>
      </c>
      <c r="E1872" s="4" t="s">
        <v>191</v>
      </c>
    </row>
    <row r="1873" spans="1:5" ht="26" hidden="1" x14ac:dyDescent="0.15">
      <c r="A1873" s="1" t="s">
        <v>25</v>
      </c>
      <c r="B1873" s="2">
        <v>14120</v>
      </c>
      <c r="C1873" s="3">
        <v>1.6E-2</v>
      </c>
      <c r="D1873" s="4" t="s">
        <v>297</v>
      </c>
      <c r="E1873" s="4" t="s">
        <v>191</v>
      </c>
    </row>
    <row r="1874" spans="1:5" hidden="1" x14ac:dyDescent="0.15">
      <c r="A1874" s="1" t="s">
        <v>26</v>
      </c>
      <c r="B1874" s="2">
        <v>6109</v>
      </c>
      <c r="C1874" s="3">
        <v>6.9999999999999993E-3</v>
      </c>
      <c r="D1874" s="4" t="s">
        <v>297</v>
      </c>
      <c r="E1874" s="4" t="s">
        <v>191</v>
      </c>
    </row>
    <row r="1875" spans="1:5" hidden="1" x14ac:dyDescent="0.15">
      <c r="A1875" s="1" t="s">
        <v>27</v>
      </c>
      <c r="B1875" s="2">
        <v>62438</v>
      </c>
      <c r="C1875" s="3">
        <v>7.0000000000000007E-2</v>
      </c>
      <c r="D1875" s="4" t="s">
        <v>297</v>
      </c>
      <c r="E1875" s="4" t="s">
        <v>191</v>
      </c>
    </row>
    <row r="1876" spans="1:5" hidden="1" x14ac:dyDescent="0.15">
      <c r="A1876" s="1" t="s">
        <v>28</v>
      </c>
      <c r="B1876" s="2">
        <v>49762</v>
      </c>
      <c r="C1876" s="3">
        <v>5.5999999999999994E-2</v>
      </c>
      <c r="D1876" s="4" t="s">
        <v>297</v>
      </c>
      <c r="E1876" s="4" t="s">
        <v>191</v>
      </c>
    </row>
    <row r="1877" spans="1:5" hidden="1" x14ac:dyDescent="0.15">
      <c r="A1877" s="1" t="s">
        <v>29</v>
      </c>
      <c r="B1877" s="2">
        <v>261411</v>
      </c>
      <c r="C1877" s="3">
        <v>0.29399999999999998</v>
      </c>
      <c r="D1877" s="4" t="s">
        <v>297</v>
      </c>
      <c r="E1877" s="4" t="s">
        <v>191</v>
      </c>
    </row>
    <row r="1878" spans="1:5" hidden="1" x14ac:dyDescent="0.15">
      <c r="A1878" s="1" t="s">
        <v>30</v>
      </c>
      <c r="B1878" s="2">
        <v>72914</v>
      </c>
      <c r="C1878" s="3">
        <v>8.199999999999999E-2</v>
      </c>
      <c r="D1878" s="4" t="s">
        <v>297</v>
      </c>
      <c r="E1878" s="4" t="s">
        <v>191</v>
      </c>
    </row>
    <row r="1879" spans="1:5" ht="39" hidden="1" x14ac:dyDescent="0.15">
      <c r="A1879" s="1" t="s">
        <v>31</v>
      </c>
      <c r="B1879" s="2">
        <v>4540</v>
      </c>
      <c r="C1879" s="3">
        <v>5.0000000000000001E-3</v>
      </c>
      <c r="D1879" s="4" t="s">
        <v>297</v>
      </c>
      <c r="E1879" s="4" t="s">
        <v>191</v>
      </c>
    </row>
    <row r="1880" spans="1:5" hidden="1" x14ac:dyDescent="0.15">
      <c r="A1880" s="1" t="s">
        <v>32</v>
      </c>
      <c r="B1880" s="2">
        <v>17715</v>
      </c>
      <c r="C1880" s="3">
        <v>0.02</v>
      </c>
      <c r="D1880" s="4" t="s">
        <v>297</v>
      </c>
      <c r="E1880" s="4" t="s">
        <v>191</v>
      </c>
    </row>
    <row r="1881" spans="1:5" hidden="1" x14ac:dyDescent="0.15">
      <c r="A1881" s="1" t="s">
        <v>33</v>
      </c>
      <c r="B1881" s="2">
        <v>229190</v>
      </c>
      <c r="C1881" s="3">
        <v>0.25700000000000001</v>
      </c>
      <c r="D1881" s="4" t="s">
        <v>297</v>
      </c>
      <c r="E1881" s="4" t="s">
        <v>191</v>
      </c>
    </row>
    <row r="1882" spans="1:5" hidden="1" x14ac:dyDescent="0.15">
      <c r="A1882" s="1" t="s">
        <v>34</v>
      </c>
      <c r="B1882" s="2">
        <v>67235</v>
      </c>
      <c r="C1882" s="3">
        <v>7.4999999999999997E-2</v>
      </c>
      <c r="D1882" s="4" t="s">
        <v>297</v>
      </c>
      <c r="E1882" s="4" t="s">
        <v>191</v>
      </c>
    </row>
    <row r="1883" spans="1:5" hidden="1" x14ac:dyDescent="0.15">
      <c r="A1883" s="1" t="s">
        <v>35</v>
      </c>
      <c r="B1883" s="2">
        <v>32489</v>
      </c>
      <c r="C1883" s="3">
        <v>3.6000000000000004E-2</v>
      </c>
      <c r="D1883" s="4" t="s">
        <v>297</v>
      </c>
      <c r="E1883" s="4" t="s">
        <v>191</v>
      </c>
    </row>
    <row r="1884" spans="1:5" ht="26" hidden="1" x14ac:dyDescent="0.15">
      <c r="A1884" s="1" t="s">
        <v>36</v>
      </c>
      <c r="B1884" s="2">
        <v>8306</v>
      </c>
      <c r="C1884" s="3">
        <v>9.0000000000000011E-3</v>
      </c>
      <c r="D1884" s="4" t="s">
        <v>297</v>
      </c>
      <c r="E1884" s="4" t="s">
        <v>191</v>
      </c>
    </row>
    <row r="1885" spans="1:5" hidden="1" x14ac:dyDescent="0.15">
      <c r="A1885" s="1" t="s">
        <v>37</v>
      </c>
      <c r="B1885" s="2">
        <v>6079</v>
      </c>
      <c r="C1885" s="3">
        <v>6.9999999999999993E-3</v>
      </c>
      <c r="D1885" s="4" t="s">
        <v>297</v>
      </c>
      <c r="E1885" s="4" t="s">
        <v>191</v>
      </c>
    </row>
    <row r="1886" spans="1:5" ht="39" hidden="1" x14ac:dyDescent="0.15">
      <c r="A1886" s="1" t="s">
        <v>38</v>
      </c>
      <c r="B1886" s="2">
        <v>6481</v>
      </c>
      <c r="C1886" s="3">
        <v>6.9999999999999993E-3</v>
      </c>
      <c r="D1886" s="4" t="s">
        <v>297</v>
      </c>
      <c r="E1886" s="4" t="s">
        <v>191</v>
      </c>
    </row>
    <row r="1887" spans="1:5" hidden="1" x14ac:dyDescent="0.15">
      <c r="A1887" s="1" t="s">
        <v>39</v>
      </c>
      <c r="B1887" s="2">
        <v>25068</v>
      </c>
      <c r="C1887" s="3">
        <v>2.7999999999999997E-2</v>
      </c>
      <c r="D1887" s="4" t="s">
        <v>297</v>
      </c>
      <c r="E1887" s="4" t="s">
        <v>191</v>
      </c>
    </row>
    <row r="1888" spans="1:5" hidden="1" x14ac:dyDescent="0.15">
      <c r="A1888" s="1" t="s">
        <v>40</v>
      </c>
      <c r="B1888" s="2">
        <v>11569</v>
      </c>
      <c r="C1888" s="3">
        <v>1.3000000000000001E-2</v>
      </c>
      <c r="D1888" s="4" t="s">
        <v>297</v>
      </c>
      <c r="E1888" s="4" t="s">
        <v>191</v>
      </c>
    </row>
    <row r="1889" spans="1:5" hidden="1" x14ac:dyDescent="0.15">
      <c r="A1889" s="1" t="s">
        <v>41</v>
      </c>
      <c r="B1889" s="2">
        <v>33039</v>
      </c>
      <c r="C1889" s="3">
        <v>3.7000000000000005E-2</v>
      </c>
      <c r="D1889" s="4" t="s">
        <v>297</v>
      </c>
      <c r="E1889" s="4" t="s">
        <v>191</v>
      </c>
    </row>
    <row r="1890" spans="1:5" hidden="1" x14ac:dyDescent="0.15">
      <c r="A1890" s="1" t="s">
        <v>42</v>
      </c>
      <c r="B1890" s="2">
        <v>22273</v>
      </c>
      <c r="C1890" s="3">
        <v>2.5000000000000001E-2</v>
      </c>
      <c r="D1890" s="4" t="s">
        <v>297</v>
      </c>
      <c r="E1890" s="4" t="s">
        <v>191</v>
      </c>
    </row>
    <row r="1891" spans="1:5" hidden="1" x14ac:dyDescent="0.15">
      <c r="A1891" s="1" t="s">
        <v>43</v>
      </c>
      <c r="B1891" s="2">
        <v>75062</v>
      </c>
      <c r="C1891" s="3">
        <v>8.4000000000000005E-2</v>
      </c>
      <c r="D1891" s="4" t="s">
        <v>297</v>
      </c>
      <c r="E1891" s="4" t="s">
        <v>191</v>
      </c>
    </row>
    <row r="1892" spans="1:5" ht="26" hidden="1" x14ac:dyDescent="0.15">
      <c r="A1892" s="1" t="s">
        <v>44</v>
      </c>
      <c r="B1892" s="2">
        <v>76708</v>
      </c>
      <c r="C1892" s="3">
        <v>8.5999999999999993E-2</v>
      </c>
      <c r="D1892" s="4" t="s">
        <v>297</v>
      </c>
      <c r="E1892" s="4" t="s">
        <v>191</v>
      </c>
    </row>
    <row r="1893" spans="1:5" hidden="1" x14ac:dyDescent="0.15">
      <c r="A1893" s="1" t="s">
        <v>45</v>
      </c>
      <c r="B1893" s="2">
        <v>106461</v>
      </c>
      <c r="C1893" s="3">
        <v>0.12</v>
      </c>
      <c r="D1893" s="4" t="s">
        <v>297</v>
      </c>
      <c r="E1893" s="4" t="s">
        <v>191</v>
      </c>
    </row>
    <row r="1894" spans="1:5" ht="26" hidden="1" x14ac:dyDescent="0.15">
      <c r="A1894" s="1" t="s">
        <v>46</v>
      </c>
      <c r="B1894" s="2">
        <v>302290</v>
      </c>
      <c r="C1894" s="3">
        <v>0.33899999999999997</v>
      </c>
      <c r="D1894" s="4" t="s">
        <v>297</v>
      </c>
      <c r="E1894" s="4" t="s">
        <v>191</v>
      </c>
    </row>
    <row r="1895" spans="1:5" hidden="1" x14ac:dyDescent="0.15">
      <c r="A1895" s="1" t="s">
        <v>47</v>
      </c>
      <c r="B1895" s="2">
        <v>335137</v>
      </c>
      <c r="C1895" s="3">
        <v>0.376</v>
      </c>
      <c r="D1895" s="4" t="s">
        <v>297</v>
      </c>
      <c r="E1895" s="4" t="s">
        <v>191</v>
      </c>
    </row>
    <row r="1896" spans="1:5" hidden="1" x14ac:dyDescent="0.15">
      <c r="A1896" s="1" t="s">
        <v>48</v>
      </c>
      <c r="B1896" s="2">
        <v>119749</v>
      </c>
      <c r="C1896" s="3">
        <v>0.13400000000000001</v>
      </c>
      <c r="D1896" s="4" t="s">
        <v>297</v>
      </c>
      <c r="E1896" s="4" t="s">
        <v>191</v>
      </c>
    </row>
    <row r="1897" spans="1:5" hidden="1" x14ac:dyDescent="0.15">
      <c r="A1897" s="1" t="s">
        <v>49</v>
      </c>
      <c r="B1897" s="2">
        <v>105310</v>
      </c>
      <c r="C1897" s="3">
        <v>0.11800000000000001</v>
      </c>
      <c r="D1897" s="4" t="s">
        <v>297</v>
      </c>
      <c r="E1897" s="4" t="s">
        <v>191</v>
      </c>
    </row>
    <row r="1898" spans="1:5" ht="26" hidden="1" x14ac:dyDescent="0.15">
      <c r="A1898" s="1" t="s">
        <v>50</v>
      </c>
      <c r="B1898" s="2">
        <v>132757</v>
      </c>
      <c r="C1898" s="3">
        <v>0.14899999999999999</v>
      </c>
      <c r="D1898" s="4" t="s">
        <v>297</v>
      </c>
      <c r="E1898" s="4" t="s">
        <v>191</v>
      </c>
    </row>
    <row r="1899" spans="1:5" hidden="1" x14ac:dyDescent="0.15">
      <c r="A1899" s="1" t="s">
        <v>51</v>
      </c>
      <c r="B1899" s="2">
        <v>288452</v>
      </c>
      <c r="C1899" s="3">
        <v>0.32400000000000001</v>
      </c>
      <c r="D1899" s="4" t="s">
        <v>297</v>
      </c>
      <c r="E1899" s="4" t="s">
        <v>191</v>
      </c>
    </row>
    <row r="1900" spans="1:5" hidden="1" x14ac:dyDescent="0.15">
      <c r="A1900" s="1" t="s">
        <v>52</v>
      </c>
      <c r="B1900" s="2">
        <v>97595</v>
      </c>
      <c r="C1900" s="3">
        <v>0.11</v>
      </c>
      <c r="D1900" s="4" t="s">
        <v>297</v>
      </c>
      <c r="E1900" s="4" t="s">
        <v>191</v>
      </c>
    </row>
    <row r="1901" spans="1:5" ht="26" hidden="1" x14ac:dyDescent="0.15">
      <c r="A1901" s="1" t="s">
        <v>53</v>
      </c>
      <c r="B1901" s="2">
        <v>79075</v>
      </c>
      <c r="C1901" s="3">
        <v>8.900000000000001E-2</v>
      </c>
      <c r="D1901" s="4" t="s">
        <v>297</v>
      </c>
      <c r="E1901" s="4" t="s">
        <v>191</v>
      </c>
    </row>
    <row r="1902" spans="1:5" hidden="1" x14ac:dyDescent="0.15">
      <c r="A1902" s="1" t="s">
        <v>54</v>
      </c>
      <c r="B1902" s="2">
        <v>297639</v>
      </c>
      <c r="C1902" s="3">
        <v>0.33399999999999996</v>
      </c>
      <c r="D1902" s="4" t="s">
        <v>297</v>
      </c>
      <c r="E1902" s="4" t="s">
        <v>191</v>
      </c>
    </row>
    <row r="1903" spans="1:5" ht="26" hidden="1" x14ac:dyDescent="0.15">
      <c r="A1903" s="1" t="s">
        <v>55</v>
      </c>
      <c r="B1903" s="2">
        <v>288327</v>
      </c>
      <c r="C1903" s="3">
        <v>0.32400000000000001</v>
      </c>
      <c r="D1903" s="4" t="s">
        <v>297</v>
      </c>
      <c r="E1903" s="4" t="s">
        <v>191</v>
      </c>
    </row>
    <row r="1904" spans="1:5" hidden="1" x14ac:dyDescent="0.15">
      <c r="A1904" s="1" t="s">
        <v>56</v>
      </c>
      <c r="B1904" s="2">
        <v>216698</v>
      </c>
      <c r="C1904" s="3">
        <v>0.24299999999999999</v>
      </c>
      <c r="D1904" s="4" t="s">
        <v>297</v>
      </c>
      <c r="E1904" s="4" t="s">
        <v>191</v>
      </c>
    </row>
    <row r="1905" spans="1:5" hidden="1" x14ac:dyDescent="0.15">
      <c r="A1905" s="1" t="s">
        <v>57</v>
      </c>
      <c r="B1905" s="2">
        <v>124028</v>
      </c>
      <c r="C1905" s="3">
        <v>0.13900000000000001</v>
      </c>
      <c r="D1905" s="4" t="s">
        <v>297</v>
      </c>
      <c r="E1905" s="4" t="s">
        <v>191</v>
      </c>
    </row>
    <row r="1906" spans="1:5" hidden="1" x14ac:dyDescent="0.15">
      <c r="A1906" s="1" t="s">
        <v>58</v>
      </c>
      <c r="B1906" s="2">
        <v>188651</v>
      </c>
      <c r="C1906" s="3">
        <v>0.21199999999999999</v>
      </c>
      <c r="D1906" s="4" t="s">
        <v>297</v>
      </c>
      <c r="E1906" s="4" t="s">
        <v>191</v>
      </c>
    </row>
    <row r="1907" spans="1:5" hidden="1" x14ac:dyDescent="0.15">
      <c r="A1907" s="1" t="s">
        <v>59</v>
      </c>
      <c r="B1907" s="2">
        <v>414913</v>
      </c>
      <c r="C1907" s="3">
        <v>0.46600000000000003</v>
      </c>
      <c r="D1907" s="4" t="s">
        <v>297</v>
      </c>
      <c r="E1907" s="4" t="s">
        <v>191</v>
      </c>
    </row>
    <row r="1908" spans="1:5" hidden="1" x14ac:dyDescent="0.15">
      <c r="A1908" s="1" t="s">
        <v>60</v>
      </c>
      <c r="B1908" s="2">
        <v>163454</v>
      </c>
      <c r="C1908" s="3">
        <v>0.184</v>
      </c>
      <c r="D1908" s="4" t="s">
        <v>297</v>
      </c>
      <c r="E1908" s="4" t="s">
        <v>191</v>
      </c>
    </row>
    <row r="1909" spans="1:5" ht="26" hidden="1" x14ac:dyDescent="0.15">
      <c r="A1909" s="1" t="s">
        <v>61</v>
      </c>
      <c r="B1909" s="2">
        <v>152019</v>
      </c>
      <c r="C1909" s="3">
        <v>0.17100000000000001</v>
      </c>
      <c r="D1909" s="4" t="s">
        <v>297</v>
      </c>
      <c r="E1909" s="4" t="s">
        <v>191</v>
      </c>
    </row>
    <row r="1910" spans="1:5" hidden="1" x14ac:dyDescent="0.15">
      <c r="A1910" s="1" t="s">
        <v>62</v>
      </c>
      <c r="B1910" s="2">
        <v>47076</v>
      </c>
      <c r="C1910" s="3">
        <v>5.2999999999999999E-2</v>
      </c>
      <c r="D1910" s="4" t="s">
        <v>297</v>
      </c>
      <c r="E1910" s="4" t="s">
        <v>191</v>
      </c>
    </row>
    <row r="1911" spans="1:5" ht="26" hidden="1" x14ac:dyDescent="0.15">
      <c r="A1911" s="1" t="s">
        <v>63</v>
      </c>
      <c r="B1911" s="2">
        <v>232984</v>
      </c>
      <c r="C1911" s="3">
        <v>0.26200000000000001</v>
      </c>
      <c r="D1911" s="4" t="s">
        <v>297</v>
      </c>
      <c r="E1911" s="4" t="s">
        <v>191</v>
      </c>
    </row>
    <row r="1912" spans="1:5" ht="26" hidden="1" x14ac:dyDescent="0.15">
      <c r="A1912" s="1" t="s">
        <v>64</v>
      </c>
      <c r="B1912" s="2">
        <v>155443</v>
      </c>
      <c r="C1912" s="3">
        <v>0.17499999999999999</v>
      </c>
      <c r="D1912" s="4" t="s">
        <v>297</v>
      </c>
      <c r="E1912" s="4" t="s">
        <v>191</v>
      </c>
    </row>
    <row r="1913" spans="1:5" hidden="1" x14ac:dyDescent="0.15">
      <c r="A1913" s="1" t="s">
        <v>65</v>
      </c>
      <c r="B1913" s="2">
        <v>111079</v>
      </c>
      <c r="C1913" s="3">
        <v>0.125</v>
      </c>
      <c r="D1913" s="4" t="s">
        <v>297</v>
      </c>
      <c r="E1913" s="4" t="s">
        <v>191</v>
      </c>
    </row>
    <row r="1914" spans="1:5" hidden="1" x14ac:dyDescent="0.15">
      <c r="A1914" s="1" t="s">
        <v>66</v>
      </c>
      <c r="B1914" s="2">
        <v>49528</v>
      </c>
      <c r="C1914" s="3">
        <v>5.5999999999999994E-2</v>
      </c>
      <c r="D1914" s="4" t="s">
        <v>297</v>
      </c>
      <c r="E1914" s="4" t="s">
        <v>191</v>
      </c>
    </row>
    <row r="1915" spans="1:5" hidden="1" x14ac:dyDescent="0.15">
      <c r="A1915" s="1" t="s">
        <v>67</v>
      </c>
      <c r="B1915" s="2">
        <v>253339</v>
      </c>
      <c r="C1915" s="3">
        <v>0.28399999999999997</v>
      </c>
      <c r="D1915" s="4" t="s">
        <v>297</v>
      </c>
      <c r="E1915" s="4" t="s">
        <v>191</v>
      </c>
    </row>
    <row r="1916" spans="1:5" hidden="1" x14ac:dyDescent="0.15">
      <c r="A1916" s="1" t="s">
        <v>68</v>
      </c>
      <c r="B1916" s="2">
        <v>264795</v>
      </c>
      <c r="C1916" s="3">
        <v>0.29699999999999999</v>
      </c>
      <c r="D1916" s="4" t="s">
        <v>297</v>
      </c>
      <c r="E1916" s="4" t="s">
        <v>191</v>
      </c>
    </row>
    <row r="1917" spans="1:5" hidden="1" x14ac:dyDescent="0.15">
      <c r="A1917" s="1" t="s">
        <v>69</v>
      </c>
      <c r="B1917" s="2">
        <v>571307</v>
      </c>
      <c r="C1917" s="3">
        <v>0.6409999999999999</v>
      </c>
      <c r="D1917" s="4" t="s">
        <v>297</v>
      </c>
      <c r="E1917" s="4" t="s">
        <v>191</v>
      </c>
    </row>
    <row r="1918" spans="1:5" hidden="1" x14ac:dyDescent="0.15">
      <c r="A1918" s="1" t="s">
        <v>70</v>
      </c>
      <c r="B1918" s="2">
        <v>259414</v>
      </c>
      <c r="C1918" s="3">
        <v>0.29100000000000004</v>
      </c>
      <c r="D1918" s="4" t="s">
        <v>297</v>
      </c>
      <c r="E1918" s="4" t="s">
        <v>191</v>
      </c>
    </row>
    <row r="1919" spans="1:5" ht="26" hidden="1" x14ac:dyDescent="0.15">
      <c r="A1919" s="1" t="s">
        <v>71</v>
      </c>
      <c r="B1919" s="2">
        <v>43170</v>
      </c>
      <c r="C1919" s="3">
        <v>4.8000000000000001E-2</v>
      </c>
      <c r="D1919" s="4" t="s">
        <v>297</v>
      </c>
      <c r="E1919" s="4" t="s">
        <v>191</v>
      </c>
    </row>
    <row r="1920" spans="1:5" hidden="1" x14ac:dyDescent="0.15">
      <c r="A1920" s="1" t="s">
        <v>72</v>
      </c>
      <c r="B1920" s="2">
        <v>104318</v>
      </c>
      <c r="C1920" s="3">
        <v>0.11699999999999999</v>
      </c>
      <c r="D1920" s="4" t="s">
        <v>297</v>
      </c>
      <c r="E1920" s="4" t="s">
        <v>191</v>
      </c>
    </row>
    <row r="1921" spans="1:5" hidden="1" x14ac:dyDescent="0.15">
      <c r="A1921" s="1" t="s">
        <v>73</v>
      </c>
      <c r="B1921" s="2">
        <v>564246</v>
      </c>
      <c r="C1921" s="3">
        <v>0.63400000000000001</v>
      </c>
      <c r="D1921" s="4" t="s">
        <v>297</v>
      </c>
      <c r="E1921" s="4" t="s">
        <v>191</v>
      </c>
    </row>
    <row r="1922" spans="1:5" hidden="1" x14ac:dyDescent="0.15">
      <c r="A1922" s="1" t="s">
        <v>74</v>
      </c>
      <c r="B1922" s="2">
        <v>275248</v>
      </c>
      <c r="C1922" s="3">
        <v>0.309</v>
      </c>
      <c r="D1922" s="4" t="s">
        <v>297</v>
      </c>
      <c r="E1922" s="4" t="s">
        <v>191</v>
      </c>
    </row>
    <row r="1923" spans="1:5" hidden="1" x14ac:dyDescent="0.15">
      <c r="A1923" s="1" t="s">
        <v>75</v>
      </c>
      <c r="B1923" s="2">
        <v>160570</v>
      </c>
      <c r="C1923" s="3">
        <v>0.18</v>
      </c>
      <c r="D1923" s="4" t="s">
        <v>297</v>
      </c>
      <c r="E1923" s="4" t="s">
        <v>191</v>
      </c>
    </row>
    <row r="1924" spans="1:5" hidden="1" x14ac:dyDescent="0.15">
      <c r="A1924" s="1" t="s">
        <v>76</v>
      </c>
      <c r="B1924" s="2">
        <v>82958</v>
      </c>
      <c r="C1924" s="3">
        <v>9.3000000000000013E-2</v>
      </c>
      <c r="D1924" s="4" t="s">
        <v>297</v>
      </c>
      <c r="E1924" s="4" t="s">
        <v>191</v>
      </c>
    </row>
    <row r="1925" spans="1:5" hidden="1" x14ac:dyDescent="0.15">
      <c r="A1925" s="1" t="s">
        <v>77</v>
      </c>
      <c r="B1925" s="2">
        <v>63980</v>
      </c>
      <c r="C1925" s="3">
        <v>7.2000000000000008E-2</v>
      </c>
      <c r="D1925" s="4" t="s">
        <v>297</v>
      </c>
      <c r="E1925" s="4" t="s">
        <v>191</v>
      </c>
    </row>
    <row r="1926" spans="1:5" ht="26" hidden="1" x14ac:dyDescent="0.15">
      <c r="A1926" s="1" t="s">
        <v>78</v>
      </c>
      <c r="B1926" s="2">
        <v>77710</v>
      </c>
      <c r="C1926" s="3">
        <v>8.6999999999999994E-2</v>
      </c>
      <c r="D1926" s="4" t="s">
        <v>297</v>
      </c>
      <c r="E1926" s="4" t="s">
        <v>191</v>
      </c>
    </row>
    <row r="1927" spans="1:5" hidden="1" x14ac:dyDescent="0.15">
      <c r="A1927" s="1" t="s">
        <v>79</v>
      </c>
      <c r="B1927" s="2">
        <v>131070</v>
      </c>
      <c r="C1927" s="3">
        <v>0.14699999999999999</v>
      </c>
      <c r="D1927" s="4" t="s">
        <v>297</v>
      </c>
      <c r="E1927" s="4" t="s">
        <v>191</v>
      </c>
    </row>
    <row r="1928" spans="1:5" hidden="1" x14ac:dyDescent="0.15">
      <c r="A1928" s="1" t="s">
        <v>80</v>
      </c>
      <c r="B1928" s="2">
        <v>93288</v>
      </c>
      <c r="C1928" s="3">
        <v>0.105</v>
      </c>
      <c r="D1928" s="4" t="s">
        <v>297</v>
      </c>
      <c r="E1928" s="4" t="s">
        <v>191</v>
      </c>
    </row>
    <row r="1929" spans="1:5" ht="26" hidden="1" x14ac:dyDescent="0.15">
      <c r="A1929" s="1" t="s">
        <v>81</v>
      </c>
      <c r="B1929" s="2">
        <v>164199</v>
      </c>
      <c r="C1929" s="3">
        <v>0.184</v>
      </c>
      <c r="D1929" s="4" t="s">
        <v>297</v>
      </c>
      <c r="E1929" s="4" t="s">
        <v>191</v>
      </c>
    </row>
    <row r="1930" spans="1:5" hidden="1" x14ac:dyDescent="0.15">
      <c r="A1930" s="1" t="s">
        <v>82</v>
      </c>
      <c r="B1930" s="2">
        <v>78449</v>
      </c>
      <c r="C1930" s="3">
        <v>8.8000000000000009E-2</v>
      </c>
      <c r="D1930" s="4" t="s">
        <v>297</v>
      </c>
      <c r="E1930" s="4" t="s">
        <v>191</v>
      </c>
    </row>
    <row r="1931" spans="1:5" hidden="1" x14ac:dyDescent="0.15">
      <c r="A1931" s="4"/>
      <c r="B1931" s="4"/>
      <c r="C1931" s="4"/>
      <c r="D1931" s="4" t="s">
        <v>297</v>
      </c>
      <c r="E1931" s="4" t="s">
        <v>191</v>
      </c>
    </row>
    <row r="1932" spans="1:5" hidden="1" x14ac:dyDescent="0.15">
      <c r="A1932" s="16"/>
      <c r="B1932" s="16"/>
      <c r="C1932" s="16"/>
      <c r="D1932" s="4" t="s">
        <v>297</v>
      </c>
      <c r="E1932" s="4" t="s">
        <v>191</v>
      </c>
    </row>
    <row r="1933" spans="1:5" hidden="1" x14ac:dyDescent="0.15">
      <c r="A1933" s="1" t="s">
        <v>199</v>
      </c>
      <c r="B1933" s="2">
        <v>429495</v>
      </c>
      <c r="C1933" s="3">
        <v>0.48200000000000004</v>
      </c>
      <c r="D1933" s="4" t="s">
        <v>297</v>
      </c>
      <c r="E1933" s="4" t="s">
        <v>191</v>
      </c>
    </row>
    <row r="1934" spans="1:5" hidden="1" x14ac:dyDescent="0.15">
      <c r="A1934" s="4"/>
      <c r="B1934" s="4"/>
      <c r="C1934" s="4"/>
      <c r="D1934" s="4" t="s">
        <v>297</v>
      </c>
      <c r="E1934" s="4" t="s">
        <v>191</v>
      </c>
    </row>
    <row r="1935" spans="1:5" hidden="1" x14ac:dyDescent="0.15">
      <c r="A1935" s="16"/>
      <c r="B1935" s="16"/>
      <c r="C1935" s="16"/>
      <c r="D1935" s="4" t="s">
        <v>297</v>
      </c>
      <c r="E1935" s="4" t="s">
        <v>191</v>
      </c>
    </row>
    <row r="1936" spans="1:5" hidden="1" x14ac:dyDescent="0.15">
      <c r="A1936" s="1" t="s">
        <v>200</v>
      </c>
      <c r="B1936" s="2">
        <v>184221</v>
      </c>
      <c r="C1936" s="3">
        <v>0.20699999999999999</v>
      </c>
      <c r="D1936" s="4" t="s">
        <v>297</v>
      </c>
      <c r="E1936" s="4" t="s">
        <v>191</v>
      </c>
    </row>
    <row r="1937" spans="1:5" hidden="1" x14ac:dyDescent="0.15">
      <c r="A1937" s="4"/>
      <c r="B1937" s="4"/>
      <c r="C1937" s="4"/>
      <c r="D1937" s="4" t="s">
        <v>297</v>
      </c>
      <c r="E1937" s="4" t="s">
        <v>191</v>
      </c>
    </row>
    <row r="1938" spans="1:5" hidden="1" x14ac:dyDescent="0.15">
      <c r="A1938" s="16"/>
      <c r="B1938" s="16"/>
      <c r="C1938" s="16"/>
      <c r="D1938" s="4" t="s">
        <v>297</v>
      </c>
      <c r="E1938" s="4" t="s">
        <v>191</v>
      </c>
    </row>
    <row r="1939" spans="1:5" ht="26" hidden="1" x14ac:dyDescent="0.15">
      <c r="A1939" s="1" t="s">
        <v>203</v>
      </c>
      <c r="B1939" s="2">
        <v>231221</v>
      </c>
      <c r="C1939" s="3">
        <v>0.26</v>
      </c>
      <c r="D1939" s="4" t="s">
        <v>297</v>
      </c>
      <c r="E1939" s="4" t="s">
        <v>191</v>
      </c>
    </row>
    <row r="1940" spans="1:5" ht="26" hidden="1" x14ac:dyDescent="0.15">
      <c r="A1940" s="1" t="s">
        <v>204</v>
      </c>
      <c r="B1940" s="2">
        <v>151688</v>
      </c>
      <c r="C1940" s="3">
        <v>0.17</v>
      </c>
      <c r="D1940" s="4" t="s">
        <v>297</v>
      </c>
      <c r="E1940" s="4" t="s">
        <v>191</v>
      </c>
    </row>
    <row r="1941" spans="1:5" x14ac:dyDescent="0.15">
      <c r="A1941" s="1" t="s">
        <v>0</v>
      </c>
      <c r="B1941" s="2">
        <v>913740</v>
      </c>
      <c r="C1941" s="3">
        <v>1</v>
      </c>
      <c r="D1941" s="4" t="s">
        <v>298</v>
      </c>
      <c r="E1941" s="4" t="s">
        <v>135</v>
      </c>
    </row>
    <row r="1942" spans="1:5" ht="26" x14ac:dyDescent="0.15">
      <c r="A1942" s="1" t="s">
        <v>3</v>
      </c>
      <c r="B1942" s="2">
        <v>8199</v>
      </c>
      <c r="C1942" s="3">
        <v>9.0000000000000011E-3</v>
      </c>
      <c r="D1942" s="4" t="s">
        <v>298</v>
      </c>
      <c r="E1942" s="4" t="s">
        <v>135</v>
      </c>
    </row>
    <row r="1943" spans="1:5" x14ac:dyDescent="0.15">
      <c r="A1943" s="1" t="s">
        <v>4</v>
      </c>
      <c r="B1943" s="2">
        <v>10984</v>
      </c>
      <c r="C1943" s="3">
        <v>1.2E-2</v>
      </c>
      <c r="D1943" s="4" t="s">
        <v>298</v>
      </c>
      <c r="E1943" s="4" t="s">
        <v>135</v>
      </c>
    </row>
    <row r="1944" spans="1:5" ht="26" x14ac:dyDescent="0.15">
      <c r="A1944" s="1" t="s">
        <v>5</v>
      </c>
      <c r="B1944" s="2">
        <v>27856</v>
      </c>
      <c r="C1944" s="3">
        <v>0.03</v>
      </c>
      <c r="D1944" s="4" t="s">
        <v>298</v>
      </c>
      <c r="E1944" s="4" t="s">
        <v>135</v>
      </c>
    </row>
    <row r="1945" spans="1:5" ht="26" x14ac:dyDescent="0.15">
      <c r="A1945" s="1" t="s">
        <v>6</v>
      </c>
      <c r="B1945" s="2">
        <v>115133</v>
      </c>
      <c r="C1945" s="3">
        <v>0.126</v>
      </c>
      <c r="D1945" s="4" t="s">
        <v>298</v>
      </c>
      <c r="E1945" s="4" t="s">
        <v>135</v>
      </c>
    </row>
    <row r="1946" spans="1:5" ht="26" x14ac:dyDescent="0.15">
      <c r="A1946" s="1" t="s">
        <v>7</v>
      </c>
      <c r="B1946" s="2">
        <v>241766</v>
      </c>
      <c r="C1946" s="3">
        <v>0.26500000000000001</v>
      </c>
      <c r="D1946" s="4" t="s">
        <v>298</v>
      </c>
      <c r="E1946" s="4" t="s">
        <v>135</v>
      </c>
    </row>
    <row r="1947" spans="1:5" ht="26" x14ac:dyDescent="0.15">
      <c r="A1947" s="1" t="s">
        <v>8</v>
      </c>
      <c r="B1947" s="2">
        <v>5742</v>
      </c>
      <c r="C1947" s="3">
        <v>6.0000000000000001E-3</v>
      </c>
      <c r="D1947" s="4" t="s">
        <v>298</v>
      </c>
      <c r="E1947" s="4" t="s">
        <v>135</v>
      </c>
    </row>
    <row r="1948" spans="1:5" ht="26" x14ac:dyDescent="0.15">
      <c r="A1948" s="1" t="s">
        <v>9</v>
      </c>
      <c r="B1948" s="2">
        <v>24824</v>
      </c>
      <c r="C1948" s="3">
        <v>2.7000000000000003E-2</v>
      </c>
      <c r="D1948" s="4" t="s">
        <v>298</v>
      </c>
      <c r="E1948" s="4" t="s">
        <v>135</v>
      </c>
    </row>
    <row r="1949" spans="1:5" ht="26" x14ac:dyDescent="0.15">
      <c r="A1949" s="1" t="s">
        <v>10</v>
      </c>
      <c r="B1949" s="2">
        <v>12871</v>
      </c>
      <c r="C1949" s="3">
        <v>1.3999999999999999E-2</v>
      </c>
      <c r="D1949" s="4" t="s">
        <v>298</v>
      </c>
      <c r="E1949" s="4" t="s">
        <v>135</v>
      </c>
    </row>
    <row r="1950" spans="1:5" ht="26" x14ac:dyDescent="0.15">
      <c r="A1950" s="1" t="s">
        <v>11</v>
      </c>
      <c r="B1950" s="2">
        <v>36263</v>
      </c>
      <c r="C1950" s="3">
        <v>0.04</v>
      </c>
      <c r="D1950" s="4" t="s">
        <v>298</v>
      </c>
      <c r="E1950" s="4" t="s">
        <v>135</v>
      </c>
    </row>
    <row r="1951" spans="1:5" ht="26" x14ac:dyDescent="0.15">
      <c r="A1951" s="1" t="s">
        <v>12</v>
      </c>
      <c r="B1951" s="2">
        <v>29042</v>
      </c>
      <c r="C1951" s="3">
        <v>3.2000000000000001E-2</v>
      </c>
      <c r="D1951" s="4" t="s">
        <v>298</v>
      </c>
      <c r="E1951" s="4" t="s">
        <v>135</v>
      </c>
    </row>
    <row r="1952" spans="1:5" ht="26" x14ac:dyDescent="0.15">
      <c r="A1952" s="1" t="s">
        <v>13</v>
      </c>
      <c r="B1952" s="2">
        <v>2911</v>
      </c>
      <c r="C1952" s="3">
        <v>3.0000000000000001E-3</v>
      </c>
      <c r="D1952" s="4" t="s">
        <v>298</v>
      </c>
      <c r="E1952" s="4" t="s">
        <v>135</v>
      </c>
    </row>
    <row r="1953" spans="1:5" x14ac:dyDescent="0.15">
      <c r="A1953" s="1" t="s">
        <v>14</v>
      </c>
      <c r="B1953" s="2">
        <v>53397</v>
      </c>
      <c r="C1953" s="3">
        <v>5.7999999999999996E-2</v>
      </c>
      <c r="D1953" s="4" t="s">
        <v>298</v>
      </c>
      <c r="E1953" s="4" t="s">
        <v>135</v>
      </c>
    </row>
    <row r="1954" spans="1:5" ht="26" x14ac:dyDescent="0.15">
      <c r="A1954" s="1" t="s">
        <v>15</v>
      </c>
      <c r="B1954" s="2">
        <v>79173</v>
      </c>
      <c r="C1954" s="3">
        <v>8.6999999999999994E-2</v>
      </c>
      <c r="D1954" s="4" t="s">
        <v>298</v>
      </c>
      <c r="E1954" s="4" t="s">
        <v>135</v>
      </c>
    </row>
    <row r="1955" spans="1:5" ht="26" x14ac:dyDescent="0.15">
      <c r="A1955" s="1" t="s">
        <v>16</v>
      </c>
      <c r="B1955" s="2">
        <v>36590</v>
      </c>
      <c r="C1955" s="3">
        <v>0.04</v>
      </c>
      <c r="D1955" s="4" t="s">
        <v>298</v>
      </c>
      <c r="E1955" s="4" t="s">
        <v>135</v>
      </c>
    </row>
    <row r="1956" spans="1:5" ht="26" x14ac:dyDescent="0.15">
      <c r="A1956" s="1" t="s">
        <v>17</v>
      </c>
      <c r="B1956" s="2">
        <v>7649</v>
      </c>
      <c r="C1956" s="3">
        <v>8.0000000000000002E-3</v>
      </c>
      <c r="D1956" s="4" t="s">
        <v>298</v>
      </c>
      <c r="E1956" s="4" t="s">
        <v>135</v>
      </c>
    </row>
    <row r="1957" spans="1:5" x14ac:dyDescent="0.15">
      <c r="A1957" s="1" t="s">
        <v>18</v>
      </c>
      <c r="B1957" s="2">
        <v>19739</v>
      </c>
      <c r="C1957" s="3">
        <v>2.2000000000000002E-2</v>
      </c>
      <c r="D1957" s="4" t="s">
        <v>298</v>
      </c>
      <c r="E1957" s="4" t="s">
        <v>135</v>
      </c>
    </row>
    <row r="1958" spans="1:5" x14ac:dyDescent="0.15">
      <c r="A1958" s="1" t="s">
        <v>19</v>
      </c>
      <c r="B1958" s="2">
        <v>93952</v>
      </c>
      <c r="C1958" s="3">
        <v>0.10300000000000001</v>
      </c>
      <c r="D1958" s="4" t="s">
        <v>298</v>
      </c>
      <c r="E1958" s="4" t="s">
        <v>135</v>
      </c>
    </row>
    <row r="1959" spans="1:5" x14ac:dyDescent="0.15">
      <c r="A1959" s="1" t="s">
        <v>20</v>
      </c>
      <c r="B1959" s="2">
        <v>12542</v>
      </c>
      <c r="C1959" s="3">
        <v>1.3999999999999999E-2</v>
      </c>
      <c r="D1959" s="4" t="s">
        <v>298</v>
      </c>
      <c r="E1959" s="4" t="s">
        <v>135</v>
      </c>
    </row>
    <row r="1960" spans="1:5" ht="26" x14ac:dyDescent="0.15">
      <c r="A1960" s="1" t="s">
        <v>21</v>
      </c>
      <c r="B1960" s="2">
        <v>38688</v>
      </c>
      <c r="C1960" s="3">
        <v>4.2000000000000003E-2</v>
      </c>
      <c r="D1960" s="4" t="s">
        <v>298</v>
      </c>
      <c r="E1960" s="4" t="s">
        <v>135</v>
      </c>
    </row>
    <row r="1961" spans="1:5" ht="26" x14ac:dyDescent="0.15">
      <c r="A1961" s="1" t="s">
        <v>22</v>
      </c>
      <c r="B1961" s="2">
        <v>8314</v>
      </c>
      <c r="C1961" s="3">
        <v>9.0000000000000011E-3</v>
      </c>
      <c r="D1961" s="4" t="s">
        <v>298</v>
      </c>
      <c r="E1961" s="4" t="s">
        <v>135</v>
      </c>
    </row>
    <row r="1962" spans="1:5" ht="26" x14ac:dyDescent="0.15">
      <c r="A1962" s="1" t="s">
        <v>23</v>
      </c>
      <c r="B1962" s="2">
        <v>20578</v>
      </c>
      <c r="C1962" s="3">
        <v>2.3E-2</v>
      </c>
      <c r="D1962" s="4" t="s">
        <v>298</v>
      </c>
      <c r="E1962" s="4" t="s">
        <v>135</v>
      </c>
    </row>
    <row r="1963" spans="1:5" ht="26" x14ac:dyDescent="0.15">
      <c r="A1963" s="1" t="s">
        <v>24</v>
      </c>
      <c r="B1963" s="2">
        <v>7600</v>
      </c>
      <c r="C1963" s="3">
        <v>8.0000000000000002E-3</v>
      </c>
      <c r="D1963" s="4" t="s">
        <v>298</v>
      </c>
      <c r="E1963" s="4" t="s">
        <v>135</v>
      </c>
    </row>
    <row r="1964" spans="1:5" ht="26" x14ac:dyDescent="0.15">
      <c r="A1964" s="1" t="s">
        <v>25</v>
      </c>
      <c r="B1964" s="2">
        <v>26103</v>
      </c>
      <c r="C1964" s="3">
        <v>2.8999999999999998E-2</v>
      </c>
      <c r="D1964" s="4" t="s">
        <v>298</v>
      </c>
      <c r="E1964" s="4" t="s">
        <v>135</v>
      </c>
    </row>
    <row r="1965" spans="1:5" x14ac:dyDescent="0.15">
      <c r="A1965" s="1" t="s">
        <v>26</v>
      </c>
      <c r="B1965" s="2">
        <v>3086</v>
      </c>
      <c r="C1965" s="3">
        <v>3.0000000000000001E-3</v>
      </c>
      <c r="D1965" s="4" t="s">
        <v>298</v>
      </c>
      <c r="E1965" s="4" t="s">
        <v>135</v>
      </c>
    </row>
    <row r="1966" spans="1:5" x14ac:dyDescent="0.15">
      <c r="A1966" s="1" t="s">
        <v>27</v>
      </c>
      <c r="B1966" s="2">
        <v>150298</v>
      </c>
      <c r="C1966" s="3">
        <v>0.16399999999999998</v>
      </c>
      <c r="D1966" s="4" t="s">
        <v>298</v>
      </c>
      <c r="E1966" s="4" t="s">
        <v>135</v>
      </c>
    </row>
    <row r="1967" spans="1:5" x14ac:dyDescent="0.15">
      <c r="A1967" s="1" t="s">
        <v>28</v>
      </c>
      <c r="B1967" s="2">
        <v>55287</v>
      </c>
      <c r="C1967" s="3">
        <v>6.0999999999999999E-2</v>
      </c>
      <c r="D1967" s="4" t="s">
        <v>298</v>
      </c>
      <c r="E1967" s="4" t="s">
        <v>135</v>
      </c>
    </row>
    <row r="1968" spans="1:5" x14ac:dyDescent="0.15">
      <c r="A1968" s="1" t="s">
        <v>29</v>
      </c>
      <c r="B1968" s="2">
        <v>219720</v>
      </c>
      <c r="C1968" s="3">
        <v>0.24</v>
      </c>
      <c r="D1968" s="4" t="s">
        <v>298</v>
      </c>
      <c r="E1968" s="4" t="s">
        <v>135</v>
      </c>
    </row>
    <row r="1969" spans="1:5" x14ac:dyDescent="0.15">
      <c r="A1969" s="1" t="s">
        <v>30</v>
      </c>
      <c r="B1969" s="2">
        <v>20580</v>
      </c>
      <c r="C1969" s="3">
        <v>2.3E-2</v>
      </c>
      <c r="D1969" s="4" t="s">
        <v>298</v>
      </c>
      <c r="E1969" s="4" t="s">
        <v>135</v>
      </c>
    </row>
    <row r="1970" spans="1:5" ht="39" x14ac:dyDescent="0.15">
      <c r="A1970" s="1" t="s">
        <v>31</v>
      </c>
      <c r="B1970" s="2">
        <v>12035</v>
      </c>
      <c r="C1970" s="3">
        <v>1.3000000000000001E-2</v>
      </c>
      <c r="D1970" s="4" t="s">
        <v>298</v>
      </c>
      <c r="E1970" s="4" t="s">
        <v>135</v>
      </c>
    </row>
    <row r="1971" spans="1:5" x14ac:dyDescent="0.15">
      <c r="A1971" s="1" t="s">
        <v>32</v>
      </c>
      <c r="B1971" s="2">
        <v>36745</v>
      </c>
      <c r="C1971" s="3">
        <v>0.04</v>
      </c>
      <c r="D1971" s="4" t="s">
        <v>298</v>
      </c>
      <c r="E1971" s="4" t="s">
        <v>135</v>
      </c>
    </row>
    <row r="1972" spans="1:5" x14ac:dyDescent="0.15">
      <c r="A1972" s="1" t="s">
        <v>33</v>
      </c>
      <c r="B1972" s="2">
        <v>201045</v>
      </c>
      <c r="C1972" s="3">
        <v>0.22</v>
      </c>
      <c r="D1972" s="4" t="s">
        <v>298</v>
      </c>
      <c r="E1972" s="4" t="s">
        <v>135</v>
      </c>
    </row>
    <row r="1973" spans="1:5" x14ac:dyDescent="0.15">
      <c r="A1973" s="1" t="s">
        <v>34</v>
      </c>
      <c r="B1973" s="2">
        <v>62682</v>
      </c>
      <c r="C1973" s="3">
        <v>6.9000000000000006E-2</v>
      </c>
      <c r="D1973" s="4" t="s">
        <v>298</v>
      </c>
      <c r="E1973" s="4" t="s">
        <v>135</v>
      </c>
    </row>
    <row r="1974" spans="1:5" x14ac:dyDescent="0.15">
      <c r="A1974" s="1" t="s">
        <v>35</v>
      </c>
      <c r="B1974" s="2">
        <v>27293</v>
      </c>
      <c r="C1974" s="3">
        <v>0.03</v>
      </c>
      <c r="D1974" s="4" t="s">
        <v>298</v>
      </c>
      <c r="E1974" s="4" t="s">
        <v>135</v>
      </c>
    </row>
    <row r="1975" spans="1:5" ht="26" x14ac:dyDescent="0.15">
      <c r="A1975" s="1" t="s">
        <v>36</v>
      </c>
      <c r="B1975" s="2">
        <v>32118</v>
      </c>
      <c r="C1975" s="3">
        <v>3.5000000000000003E-2</v>
      </c>
      <c r="D1975" s="4" t="s">
        <v>298</v>
      </c>
      <c r="E1975" s="4" t="s">
        <v>135</v>
      </c>
    </row>
    <row r="1976" spans="1:5" x14ac:dyDescent="0.15">
      <c r="A1976" s="1" t="s">
        <v>37</v>
      </c>
      <c r="B1976" s="2">
        <v>26400</v>
      </c>
      <c r="C1976" s="3">
        <v>2.8999999999999998E-2</v>
      </c>
      <c r="D1976" s="4" t="s">
        <v>298</v>
      </c>
      <c r="E1976" s="4" t="s">
        <v>135</v>
      </c>
    </row>
    <row r="1977" spans="1:5" ht="39" x14ac:dyDescent="0.15">
      <c r="A1977" s="1" t="s">
        <v>38</v>
      </c>
      <c r="B1977" s="2">
        <v>9020</v>
      </c>
      <c r="C1977" s="3">
        <v>0.01</v>
      </c>
      <c r="D1977" s="4" t="s">
        <v>298</v>
      </c>
      <c r="E1977" s="4" t="s">
        <v>135</v>
      </c>
    </row>
    <row r="1978" spans="1:5" x14ac:dyDescent="0.15">
      <c r="A1978" s="1" t="s">
        <v>39</v>
      </c>
      <c r="B1978" s="2">
        <v>64733</v>
      </c>
      <c r="C1978" s="3">
        <v>7.0999999999999994E-2</v>
      </c>
      <c r="D1978" s="4" t="s">
        <v>298</v>
      </c>
      <c r="E1978" s="4" t="s">
        <v>135</v>
      </c>
    </row>
    <row r="1979" spans="1:5" x14ac:dyDescent="0.15">
      <c r="A1979" s="1" t="s">
        <v>40</v>
      </c>
      <c r="B1979" s="2">
        <v>8645</v>
      </c>
      <c r="C1979" s="3">
        <v>9.0000000000000011E-3</v>
      </c>
      <c r="D1979" s="4" t="s">
        <v>298</v>
      </c>
      <c r="E1979" s="4" t="s">
        <v>135</v>
      </c>
    </row>
    <row r="1980" spans="1:5" x14ac:dyDescent="0.15">
      <c r="A1980" s="1" t="s">
        <v>41</v>
      </c>
      <c r="B1980" s="2">
        <v>16317</v>
      </c>
      <c r="C1980" s="3">
        <v>1.8000000000000002E-2</v>
      </c>
      <c r="D1980" s="4" t="s">
        <v>298</v>
      </c>
      <c r="E1980" s="4" t="s">
        <v>135</v>
      </c>
    </row>
    <row r="1981" spans="1:5" x14ac:dyDescent="0.15">
      <c r="A1981" s="1" t="s">
        <v>42</v>
      </c>
      <c r="B1981" s="2">
        <v>48857</v>
      </c>
      <c r="C1981" s="3">
        <v>5.2999999999999999E-2</v>
      </c>
      <c r="D1981" s="4" t="s">
        <v>298</v>
      </c>
      <c r="E1981" s="4" t="s">
        <v>135</v>
      </c>
    </row>
    <row r="1982" spans="1:5" x14ac:dyDescent="0.15">
      <c r="A1982" s="1" t="s">
        <v>43</v>
      </c>
      <c r="B1982" s="2">
        <v>87867</v>
      </c>
      <c r="C1982" s="3">
        <v>9.6000000000000002E-2</v>
      </c>
      <c r="D1982" s="4" t="s">
        <v>298</v>
      </c>
      <c r="E1982" s="4" t="s">
        <v>135</v>
      </c>
    </row>
    <row r="1983" spans="1:5" ht="26" x14ac:dyDescent="0.15">
      <c r="A1983" s="1" t="s">
        <v>44</v>
      </c>
      <c r="B1983" s="2">
        <v>104366</v>
      </c>
      <c r="C1983" s="3">
        <v>0.114</v>
      </c>
      <c r="D1983" s="4" t="s">
        <v>298</v>
      </c>
      <c r="E1983" s="4" t="s">
        <v>135</v>
      </c>
    </row>
    <row r="1984" spans="1:5" x14ac:dyDescent="0.15">
      <c r="A1984" s="1" t="s">
        <v>45</v>
      </c>
      <c r="B1984" s="2">
        <v>195127</v>
      </c>
      <c r="C1984" s="3">
        <v>0.214</v>
      </c>
      <c r="D1984" s="4" t="s">
        <v>298</v>
      </c>
      <c r="E1984" s="4" t="s">
        <v>135</v>
      </c>
    </row>
    <row r="1985" spans="1:5" ht="26" x14ac:dyDescent="0.15">
      <c r="A1985" s="1" t="s">
        <v>46</v>
      </c>
      <c r="B1985" s="2">
        <v>320413</v>
      </c>
      <c r="C1985" s="3">
        <v>0.35100000000000003</v>
      </c>
      <c r="D1985" s="4" t="s">
        <v>298</v>
      </c>
      <c r="E1985" s="4" t="s">
        <v>135</v>
      </c>
    </row>
    <row r="1986" spans="1:5" x14ac:dyDescent="0.15">
      <c r="A1986" s="1" t="s">
        <v>47</v>
      </c>
      <c r="B1986" s="2">
        <v>442710</v>
      </c>
      <c r="C1986" s="3">
        <v>0.48499999999999999</v>
      </c>
      <c r="D1986" s="4" t="s">
        <v>298</v>
      </c>
      <c r="E1986" s="4" t="s">
        <v>135</v>
      </c>
    </row>
    <row r="1987" spans="1:5" x14ac:dyDescent="0.15">
      <c r="A1987" s="1" t="s">
        <v>48</v>
      </c>
      <c r="B1987" s="2">
        <v>64012</v>
      </c>
      <c r="C1987" s="3">
        <v>7.0000000000000007E-2</v>
      </c>
      <c r="D1987" s="4" t="s">
        <v>298</v>
      </c>
      <c r="E1987" s="4" t="s">
        <v>135</v>
      </c>
    </row>
    <row r="1988" spans="1:5" x14ac:dyDescent="0.15">
      <c r="A1988" s="1" t="s">
        <v>49</v>
      </c>
      <c r="B1988" s="2">
        <v>78383</v>
      </c>
      <c r="C1988" s="3">
        <v>8.5999999999999993E-2</v>
      </c>
      <c r="D1988" s="4" t="s">
        <v>298</v>
      </c>
      <c r="E1988" s="4" t="s">
        <v>135</v>
      </c>
    </row>
    <row r="1989" spans="1:5" ht="26" x14ac:dyDescent="0.15">
      <c r="A1989" s="1" t="s">
        <v>50</v>
      </c>
      <c r="B1989" s="2">
        <v>150958</v>
      </c>
      <c r="C1989" s="3">
        <v>0.16500000000000001</v>
      </c>
      <c r="D1989" s="4" t="s">
        <v>298</v>
      </c>
      <c r="E1989" s="4" t="s">
        <v>135</v>
      </c>
    </row>
    <row r="1990" spans="1:5" x14ac:dyDescent="0.15">
      <c r="A1990" s="1" t="s">
        <v>51</v>
      </c>
      <c r="B1990" s="2">
        <v>237491</v>
      </c>
      <c r="C1990" s="3">
        <v>0.26</v>
      </c>
      <c r="D1990" s="4" t="s">
        <v>298</v>
      </c>
      <c r="E1990" s="4" t="s">
        <v>135</v>
      </c>
    </row>
    <row r="1991" spans="1:5" x14ac:dyDescent="0.15">
      <c r="A1991" s="1" t="s">
        <v>52</v>
      </c>
      <c r="B1991" s="2">
        <v>119592</v>
      </c>
      <c r="C1991" s="3">
        <v>0.13100000000000001</v>
      </c>
      <c r="D1991" s="4" t="s">
        <v>298</v>
      </c>
      <c r="E1991" s="4" t="s">
        <v>135</v>
      </c>
    </row>
    <row r="1992" spans="1:5" ht="26" x14ac:dyDescent="0.15">
      <c r="A1992" s="1" t="s">
        <v>53</v>
      </c>
      <c r="B1992" s="2">
        <v>83858</v>
      </c>
      <c r="C1992" s="3">
        <v>9.1999999999999998E-2</v>
      </c>
      <c r="D1992" s="4" t="s">
        <v>298</v>
      </c>
      <c r="E1992" s="4" t="s">
        <v>135</v>
      </c>
    </row>
    <row r="1993" spans="1:5" x14ac:dyDescent="0.15">
      <c r="A1993" s="1" t="s">
        <v>54</v>
      </c>
      <c r="B1993" s="2">
        <v>270576</v>
      </c>
      <c r="C1993" s="3">
        <v>0.29600000000000004</v>
      </c>
      <c r="D1993" s="4" t="s">
        <v>298</v>
      </c>
      <c r="E1993" s="4" t="s">
        <v>135</v>
      </c>
    </row>
    <row r="1994" spans="1:5" ht="26" x14ac:dyDescent="0.15">
      <c r="A1994" s="1" t="s">
        <v>55</v>
      </c>
      <c r="B1994" s="2">
        <v>285034</v>
      </c>
      <c r="C1994" s="3">
        <v>0.312</v>
      </c>
      <c r="D1994" s="4" t="s">
        <v>298</v>
      </c>
      <c r="E1994" s="4" t="s">
        <v>135</v>
      </c>
    </row>
    <row r="1995" spans="1:5" x14ac:dyDescent="0.15">
      <c r="A1995" s="1" t="s">
        <v>56</v>
      </c>
      <c r="B1995" s="2">
        <v>212116</v>
      </c>
      <c r="C1995" s="3">
        <v>0.23199999999999998</v>
      </c>
      <c r="D1995" s="4" t="s">
        <v>298</v>
      </c>
      <c r="E1995" s="4" t="s">
        <v>135</v>
      </c>
    </row>
    <row r="1996" spans="1:5" x14ac:dyDescent="0.15">
      <c r="A1996" s="1" t="s">
        <v>57</v>
      </c>
      <c r="B1996" s="2">
        <v>99137</v>
      </c>
      <c r="C1996" s="3">
        <v>0.10800000000000001</v>
      </c>
      <c r="D1996" s="4" t="s">
        <v>298</v>
      </c>
      <c r="E1996" s="4" t="s">
        <v>135</v>
      </c>
    </row>
    <row r="1997" spans="1:5" x14ac:dyDescent="0.15">
      <c r="A1997" s="1" t="s">
        <v>58</v>
      </c>
      <c r="B1997" s="2">
        <v>83767</v>
      </c>
      <c r="C1997" s="3">
        <v>9.1999999999999998E-2</v>
      </c>
      <c r="D1997" s="4" t="s">
        <v>298</v>
      </c>
      <c r="E1997" s="4" t="s">
        <v>135</v>
      </c>
    </row>
    <row r="1998" spans="1:5" x14ac:dyDescent="0.15">
      <c r="A1998" s="1" t="s">
        <v>59</v>
      </c>
      <c r="B1998" s="2">
        <v>351772</v>
      </c>
      <c r="C1998" s="3">
        <v>0.38500000000000001</v>
      </c>
      <c r="D1998" s="4" t="s">
        <v>298</v>
      </c>
      <c r="E1998" s="4" t="s">
        <v>135</v>
      </c>
    </row>
    <row r="1999" spans="1:5" x14ac:dyDescent="0.15">
      <c r="A1999" s="1" t="s">
        <v>60</v>
      </c>
      <c r="B1999" s="2">
        <v>87557</v>
      </c>
      <c r="C1999" s="3">
        <v>9.6000000000000002E-2</v>
      </c>
      <c r="D1999" s="4" t="s">
        <v>298</v>
      </c>
      <c r="E1999" s="4" t="s">
        <v>135</v>
      </c>
    </row>
    <row r="2000" spans="1:5" ht="26" x14ac:dyDescent="0.15">
      <c r="A2000" s="1" t="s">
        <v>61</v>
      </c>
      <c r="B2000" s="2">
        <v>162458</v>
      </c>
      <c r="C2000" s="3">
        <v>0.17800000000000002</v>
      </c>
      <c r="D2000" s="4" t="s">
        <v>298</v>
      </c>
      <c r="E2000" s="4" t="s">
        <v>135</v>
      </c>
    </row>
    <row r="2001" spans="1:5" x14ac:dyDescent="0.15">
      <c r="A2001" s="1" t="s">
        <v>62</v>
      </c>
      <c r="B2001" s="2">
        <v>48731</v>
      </c>
      <c r="C2001" s="3">
        <v>5.2999999999999999E-2</v>
      </c>
      <c r="D2001" s="4" t="s">
        <v>298</v>
      </c>
      <c r="E2001" s="4" t="s">
        <v>135</v>
      </c>
    </row>
    <row r="2002" spans="1:5" ht="26" x14ac:dyDescent="0.15">
      <c r="A2002" s="1" t="s">
        <v>63</v>
      </c>
      <c r="B2002" s="2">
        <v>184651</v>
      </c>
      <c r="C2002" s="3">
        <v>0.20199999999999999</v>
      </c>
      <c r="D2002" s="4" t="s">
        <v>298</v>
      </c>
      <c r="E2002" s="4" t="s">
        <v>135</v>
      </c>
    </row>
    <row r="2003" spans="1:5" ht="26" x14ac:dyDescent="0.15">
      <c r="A2003" s="1" t="s">
        <v>64</v>
      </c>
      <c r="B2003" s="2">
        <v>38442</v>
      </c>
      <c r="C2003" s="3">
        <v>4.2000000000000003E-2</v>
      </c>
      <c r="D2003" s="4" t="s">
        <v>298</v>
      </c>
      <c r="E2003" s="4" t="s">
        <v>135</v>
      </c>
    </row>
    <row r="2004" spans="1:5" x14ac:dyDescent="0.15">
      <c r="A2004" s="1" t="s">
        <v>65</v>
      </c>
      <c r="B2004" s="2">
        <v>154330</v>
      </c>
      <c r="C2004" s="3">
        <v>0.16899999999999998</v>
      </c>
      <c r="D2004" s="4" t="s">
        <v>298</v>
      </c>
      <c r="E2004" s="4" t="s">
        <v>135</v>
      </c>
    </row>
    <row r="2005" spans="1:5" x14ac:dyDescent="0.15">
      <c r="A2005" s="1" t="s">
        <v>66</v>
      </c>
      <c r="B2005" s="2">
        <v>71563</v>
      </c>
      <c r="C2005" s="3">
        <v>7.8E-2</v>
      </c>
      <c r="D2005" s="4" t="s">
        <v>298</v>
      </c>
      <c r="E2005" s="4" t="s">
        <v>135</v>
      </c>
    </row>
    <row r="2006" spans="1:5" x14ac:dyDescent="0.15">
      <c r="A2006" s="1" t="s">
        <v>67</v>
      </c>
      <c r="B2006" s="2">
        <v>381031</v>
      </c>
      <c r="C2006" s="3">
        <v>0.41700000000000004</v>
      </c>
      <c r="D2006" s="4" t="s">
        <v>298</v>
      </c>
      <c r="E2006" s="4" t="s">
        <v>135</v>
      </c>
    </row>
    <row r="2007" spans="1:5" x14ac:dyDescent="0.15">
      <c r="A2007" s="1" t="s">
        <v>68</v>
      </c>
      <c r="B2007" s="2">
        <v>248572</v>
      </c>
      <c r="C2007" s="3">
        <v>0.27200000000000002</v>
      </c>
      <c r="D2007" s="4" t="s">
        <v>298</v>
      </c>
      <c r="E2007" s="4" t="s">
        <v>135</v>
      </c>
    </row>
    <row r="2008" spans="1:5" x14ac:dyDescent="0.15">
      <c r="A2008" s="1" t="s">
        <v>69</v>
      </c>
      <c r="B2008" s="2">
        <v>518926</v>
      </c>
      <c r="C2008" s="3">
        <v>0.56799999999999995</v>
      </c>
      <c r="D2008" s="4" t="s">
        <v>298</v>
      </c>
      <c r="E2008" s="4" t="s">
        <v>135</v>
      </c>
    </row>
    <row r="2009" spans="1:5" x14ac:dyDescent="0.15">
      <c r="A2009" s="1" t="s">
        <v>70</v>
      </c>
      <c r="B2009" s="2">
        <v>126806</v>
      </c>
      <c r="C2009" s="3">
        <v>0.13900000000000001</v>
      </c>
      <c r="D2009" s="4" t="s">
        <v>298</v>
      </c>
      <c r="E2009" s="4" t="s">
        <v>135</v>
      </c>
    </row>
    <row r="2010" spans="1:5" ht="26" x14ac:dyDescent="0.15">
      <c r="A2010" s="1" t="s">
        <v>71</v>
      </c>
      <c r="B2010" s="2">
        <v>46950</v>
      </c>
      <c r="C2010" s="3">
        <v>5.0999999999999997E-2</v>
      </c>
      <c r="D2010" s="4" t="s">
        <v>298</v>
      </c>
      <c r="E2010" s="4" t="s">
        <v>135</v>
      </c>
    </row>
    <row r="2011" spans="1:5" x14ac:dyDescent="0.15">
      <c r="A2011" s="1" t="s">
        <v>72</v>
      </c>
      <c r="B2011" s="2">
        <v>147424</v>
      </c>
      <c r="C2011" s="3">
        <v>0.161</v>
      </c>
      <c r="D2011" s="4" t="s">
        <v>298</v>
      </c>
      <c r="E2011" s="4" t="s">
        <v>135</v>
      </c>
    </row>
    <row r="2012" spans="1:5" x14ac:dyDescent="0.15">
      <c r="A2012" s="1" t="s">
        <v>73</v>
      </c>
      <c r="B2012" s="2">
        <v>509140</v>
      </c>
      <c r="C2012" s="3">
        <v>0.55700000000000005</v>
      </c>
      <c r="D2012" s="4" t="s">
        <v>298</v>
      </c>
      <c r="E2012" s="4" t="s">
        <v>135</v>
      </c>
    </row>
    <row r="2013" spans="1:5" x14ac:dyDescent="0.15">
      <c r="A2013" s="1" t="s">
        <v>74</v>
      </c>
      <c r="B2013" s="2">
        <v>230664</v>
      </c>
      <c r="C2013" s="3">
        <v>0.252</v>
      </c>
      <c r="D2013" s="4" t="s">
        <v>298</v>
      </c>
      <c r="E2013" s="4" t="s">
        <v>135</v>
      </c>
    </row>
    <row r="2014" spans="1:5" x14ac:dyDescent="0.15">
      <c r="A2014" s="1" t="s">
        <v>75</v>
      </c>
      <c r="B2014" s="2">
        <v>190541</v>
      </c>
      <c r="C2014" s="3">
        <v>0.20899999999999999</v>
      </c>
      <c r="D2014" s="4" t="s">
        <v>298</v>
      </c>
      <c r="E2014" s="4" t="s">
        <v>135</v>
      </c>
    </row>
    <row r="2015" spans="1:5" x14ac:dyDescent="0.15">
      <c r="A2015" s="1" t="s">
        <v>76</v>
      </c>
      <c r="B2015" s="2">
        <v>143412</v>
      </c>
      <c r="C2015" s="3">
        <v>0.157</v>
      </c>
      <c r="D2015" s="4" t="s">
        <v>298</v>
      </c>
      <c r="E2015" s="4" t="s">
        <v>135</v>
      </c>
    </row>
    <row r="2016" spans="1:5" x14ac:dyDescent="0.15">
      <c r="A2016" s="1" t="s">
        <v>77</v>
      </c>
      <c r="B2016" s="2">
        <v>126157</v>
      </c>
      <c r="C2016" s="3">
        <v>0.13800000000000001</v>
      </c>
      <c r="D2016" s="4" t="s">
        <v>298</v>
      </c>
      <c r="E2016" s="4" t="s">
        <v>135</v>
      </c>
    </row>
    <row r="2017" spans="1:5" ht="26" x14ac:dyDescent="0.15">
      <c r="A2017" s="1" t="s">
        <v>78</v>
      </c>
      <c r="B2017" s="2">
        <v>100230</v>
      </c>
      <c r="C2017" s="3">
        <v>0.11</v>
      </c>
      <c r="D2017" s="4" t="s">
        <v>298</v>
      </c>
      <c r="E2017" s="4" t="s">
        <v>135</v>
      </c>
    </row>
    <row r="2018" spans="1:5" x14ac:dyDescent="0.15">
      <c r="A2018" s="1" t="s">
        <v>79</v>
      </c>
      <c r="B2018" s="2">
        <v>175549</v>
      </c>
      <c r="C2018" s="3">
        <v>0.192</v>
      </c>
      <c r="D2018" s="4" t="s">
        <v>298</v>
      </c>
      <c r="E2018" s="4" t="s">
        <v>135</v>
      </c>
    </row>
    <row r="2019" spans="1:5" x14ac:dyDescent="0.15">
      <c r="A2019" s="1" t="s">
        <v>80</v>
      </c>
      <c r="B2019" s="2">
        <v>90167</v>
      </c>
      <c r="C2019" s="3">
        <v>9.9000000000000005E-2</v>
      </c>
      <c r="D2019" s="4" t="s">
        <v>298</v>
      </c>
      <c r="E2019" s="4" t="s">
        <v>135</v>
      </c>
    </row>
    <row r="2020" spans="1:5" ht="26" x14ac:dyDescent="0.15">
      <c r="A2020" s="1" t="s">
        <v>81</v>
      </c>
      <c r="B2020" s="2">
        <v>146263</v>
      </c>
      <c r="C2020" s="3">
        <v>0.16</v>
      </c>
      <c r="D2020" s="4" t="s">
        <v>298</v>
      </c>
      <c r="E2020" s="4" t="s">
        <v>135</v>
      </c>
    </row>
    <row r="2021" spans="1:5" x14ac:dyDescent="0.15">
      <c r="A2021" s="1" t="s">
        <v>82</v>
      </c>
      <c r="B2021" s="2">
        <v>156784</v>
      </c>
      <c r="C2021" s="3">
        <v>0.17199999999999999</v>
      </c>
      <c r="D2021" s="4" t="s">
        <v>298</v>
      </c>
      <c r="E2021" s="4" t="s">
        <v>135</v>
      </c>
    </row>
    <row r="2022" spans="1:5" x14ac:dyDescent="0.15">
      <c r="A2022" s="4"/>
      <c r="B2022" s="4"/>
      <c r="C2022" s="4"/>
      <c r="D2022" s="4" t="s">
        <v>298</v>
      </c>
      <c r="E2022" s="4" t="s">
        <v>135</v>
      </c>
    </row>
    <row r="2023" spans="1:5" x14ac:dyDescent="0.15">
      <c r="A2023" s="16"/>
      <c r="B2023" s="16"/>
      <c r="C2023" s="16"/>
      <c r="D2023" s="4" t="s">
        <v>298</v>
      </c>
      <c r="E2023" s="4" t="s">
        <v>135</v>
      </c>
    </row>
    <row r="2024" spans="1:5" ht="26" x14ac:dyDescent="0.15">
      <c r="A2024" s="1" t="s">
        <v>136</v>
      </c>
      <c r="B2024" s="2">
        <v>6312</v>
      </c>
      <c r="C2024" s="3">
        <v>6.9999999999999993E-3</v>
      </c>
      <c r="D2024" s="4" t="s">
        <v>298</v>
      </c>
      <c r="E2024" s="4" t="s">
        <v>135</v>
      </c>
    </row>
    <row r="2025" spans="1:5" x14ac:dyDescent="0.15">
      <c r="A2025" s="4"/>
      <c r="B2025" s="4"/>
      <c r="C2025" s="4"/>
      <c r="D2025" s="4" t="s">
        <v>298</v>
      </c>
      <c r="E2025" s="4" t="s">
        <v>135</v>
      </c>
    </row>
    <row r="2026" spans="1:5" x14ac:dyDescent="0.15">
      <c r="A2026" s="16"/>
      <c r="B2026" s="16"/>
      <c r="C2026" s="16"/>
      <c r="D2026" s="4" t="s">
        <v>298</v>
      </c>
      <c r="E2026" s="4" t="s">
        <v>135</v>
      </c>
    </row>
    <row r="2027" spans="1:5" ht="26" x14ac:dyDescent="0.15">
      <c r="A2027" s="1" t="s">
        <v>139</v>
      </c>
      <c r="B2027" s="2">
        <v>263633</v>
      </c>
      <c r="C2027" s="3">
        <v>0.28899999999999998</v>
      </c>
      <c r="D2027" s="4" t="s">
        <v>298</v>
      </c>
      <c r="E2027" s="4" t="s">
        <v>135</v>
      </c>
    </row>
    <row r="2028" spans="1:5" x14ac:dyDescent="0.15">
      <c r="A2028" s="4"/>
      <c r="B2028" s="4"/>
      <c r="C2028" s="4"/>
      <c r="D2028" s="4" t="s">
        <v>298</v>
      </c>
      <c r="E2028" s="4" t="s">
        <v>135</v>
      </c>
    </row>
    <row r="2029" spans="1:5" x14ac:dyDescent="0.15">
      <c r="A2029" s="16"/>
      <c r="B2029" s="16"/>
      <c r="C2029" s="16"/>
      <c r="D2029" s="4" t="s">
        <v>298</v>
      </c>
      <c r="E2029" s="4" t="s">
        <v>135</v>
      </c>
    </row>
    <row r="2030" spans="1:5" ht="26" x14ac:dyDescent="0.15">
      <c r="A2030" s="1" t="s">
        <v>299</v>
      </c>
      <c r="B2030" s="2">
        <v>147360</v>
      </c>
      <c r="C2030" s="3">
        <v>0.161</v>
      </c>
      <c r="D2030" s="4" t="s">
        <v>298</v>
      </c>
      <c r="E2030" s="4" t="s">
        <v>135</v>
      </c>
    </row>
    <row r="2031" spans="1:5" ht="26" x14ac:dyDescent="0.15">
      <c r="A2031" s="1" t="s">
        <v>300</v>
      </c>
      <c r="B2031" s="2">
        <v>148411</v>
      </c>
      <c r="C2031" s="3">
        <v>0.16200000000000001</v>
      </c>
      <c r="D2031" s="4" t="s">
        <v>298</v>
      </c>
      <c r="E2031" s="4" t="s">
        <v>135</v>
      </c>
    </row>
    <row r="2032" spans="1:5" ht="26" x14ac:dyDescent="0.15">
      <c r="A2032" s="1" t="s">
        <v>301</v>
      </c>
      <c r="B2032" s="2">
        <v>159557</v>
      </c>
      <c r="C2032" s="3">
        <v>0.17499999999999999</v>
      </c>
      <c r="D2032" s="4" t="s">
        <v>298</v>
      </c>
      <c r="E2032" s="4" t="s">
        <v>135</v>
      </c>
    </row>
    <row r="2033" spans="1:5" ht="26" x14ac:dyDescent="0.15">
      <c r="A2033" s="1" t="s">
        <v>302</v>
      </c>
      <c r="B2033" s="2">
        <v>44692</v>
      </c>
      <c r="C2033" s="3">
        <v>4.9000000000000002E-2</v>
      </c>
      <c r="D2033" s="4" t="s">
        <v>298</v>
      </c>
      <c r="E2033" s="4" t="s">
        <v>135</v>
      </c>
    </row>
    <row r="2034" spans="1:5" x14ac:dyDescent="0.15">
      <c r="A2034" s="1" t="s">
        <v>303</v>
      </c>
      <c r="B2034" s="2">
        <v>193828</v>
      </c>
      <c r="C2034" s="3">
        <v>0.21199999999999999</v>
      </c>
      <c r="D2034" s="4" t="s">
        <v>298</v>
      </c>
      <c r="E2034" s="4" t="s">
        <v>135</v>
      </c>
    </row>
    <row r="2035" spans="1:5" ht="39" x14ac:dyDescent="0.15">
      <c r="A2035" s="1" t="s">
        <v>304</v>
      </c>
      <c r="B2035" s="2">
        <v>186723</v>
      </c>
      <c r="C2035" s="3">
        <v>0.20399999999999999</v>
      </c>
      <c r="D2035" s="4" t="s">
        <v>298</v>
      </c>
      <c r="E2035" s="4" t="s">
        <v>135</v>
      </c>
    </row>
    <row r="2036" spans="1:5" ht="39" x14ac:dyDescent="0.15">
      <c r="A2036" s="1" t="s">
        <v>305</v>
      </c>
      <c r="B2036" s="2">
        <v>33800</v>
      </c>
      <c r="C2036" s="3">
        <v>3.7000000000000005E-2</v>
      </c>
      <c r="D2036" s="4" t="s">
        <v>298</v>
      </c>
      <c r="E2036" s="4" t="s">
        <v>135</v>
      </c>
    </row>
    <row r="2037" spans="1:5" ht="26" x14ac:dyDescent="0.15">
      <c r="A2037" s="1" t="s">
        <v>306</v>
      </c>
      <c r="B2037" s="2">
        <v>364740</v>
      </c>
      <c r="C2037" s="3">
        <v>0.39899999999999997</v>
      </c>
      <c r="D2037" s="4" t="s">
        <v>298</v>
      </c>
      <c r="E2037" s="4" t="s">
        <v>135</v>
      </c>
    </row>
    <row r="2038" spans="1:5" x14ac:dyDescent="0.15">
      <c r="A2038" s="1" t="s">
        <v>0</v>
      </c>
      <c r="B2038" s="2">
        <v>1138800</v>
      </c>
      <c r="C2038" s="3">
        <v>1</v>
      </c>
      <c r="D2038" s="4" t="s">
        <v>307</v>
      </c>
      <c r="E2038" s="4" t="s">
        <v>135</v>
      </c>
    </row>
    <row r="2039" spans="1:5" ht="26" x14ac:dyDescent="0.15">
      <c r="A2039" s="1" t="s">
        <v>3</v>
      </c>
      <c r="B2039" s="2">
        <v>2000</v>
      </c>
      <c r="C2039" s="3">
        <v>2E-3</v>
      </c>
      <c r="D2039" s="4" t="s">
        <v>307</v>
      </c>
      <c r="E2039" s="4" t="s">
        <v>135</v>
      </c>
    </row>
    <row r="2040" spans="1:5" x14ac:dyDescent="0.15">
      <c r="A2040" s="1" t="s">
        <v>4</v>
      </c>
      <c r="B2040" s="2">
        <v>11913</v>
      </c>
      <c r="C2040" s="3">
        <v>0.01</v>
      </c>
      <c r="D2040" s="4" t="s">
        <v>307</v>
      </c>
      <c r="E2040" s="4" t="s">
        <v>135</v>
      </c>
    </row>
    <row r="2041" spans="1:5" ht="26" x14ac:dyDescent="0.15">
      <c r="A2041" s="1" t="s">
        <v>5</v>
      </c>
      <c r="B2041" s="2">
        <v>52981</v>
      </c>
      <c r="C2041" s="3">
        <v>4.7E-2</v>
      </c>
      <c r="D2041" s="4" t="s">
        <v>307</v>
      </c>
      <c r="E2041" s="4" t="s">
        <v>135</v>
      </c>
    </row>
    <row r="2042" spans="1:5" ht="26" x14ac:dyDescent="0.15">
      <c r="A2042" s="1" t="s">
        <v>6</v>
      </c>
      <c r="B2042" s="2">
        <v>194689</v>
      </c>
      <c r="C2042" s="3">
        <v>0.17100000000000001</v>
      </c>
      <c r="D2042" s="4" t="s">
        <v>307</v>
      </c>
      <c r="E2042" s="4" t="s">
        <v>135</v>
      </c>
    </row>
    <row r="2043" spans="1:5" ht="26" x14ac:dyDescent="0.15">
      <c r="A2043" s="1" t="s">
        <v>7</v>
      </c>
      <c r="B2043" s="2">
        <v>250765</v>
      </c>
      <c r="C2043" s="3">
        <v>0.22</v>
      </c>
      <c r="D2043" s="4" t="s">
        <v>307</v>
      </c>
      <c r="E2043" s="4" t="s">
        <v>135</v>
      </c>
    </row>
    <row r="2044" spans="1:5" ht="26" x14ac:dyDescent="0.15">
      <c r="A2044" s="1" t="s">
        <v>8</v>
      </c>
      <c r="B2044" s="2">
        <v>14368</v>
      </c>
      <c r="C2044" s="3">
        <v>1.3000000000000001E-2</v>
      </c>
      <c r="D2044" s="4" t="s">
        <v>307</v>
      </c>
      <c r="E2044" s="4" t="s">
        <v>135</v>
      </c>
    </row>
    <row r="2045" spans="1:5" ht="26" x14ac:dyDescent="0.15">
      <c r="A2045" s="1" t="s">
        <v>9</v>
      </c>
      <c r="B2045" s="2">
        <v>29207</v>
      </c>
      <c r="C2045" s="3">
        <v>2.6000000000000002E-2</v>
      </c>
      <c r="D2045" s="4" t="s">
        <v>307</v>
      </c>
      <c r="E2045" s="4" t="s">
        <v>135</v>
      </c>
    </row>
    <row r="2046" spans="1:5" ht="26" x14ac:dyDescent="0.15">
      <c r="A2046" s="1" t="s">
        <v>10</v>
      </c>
      <c r="B2046" s="2">
        <v>27702</v>
      </c>
      <c r="C2046" s="3">
        <v>2.4E-2</v>
      </c>
      <c r="D2046" s="4" t="s">
        <v>307</v>
      </c>
      <c r="E2046" s="4" t="s">
        <v>135</v>
      </c>
    </row>
    <row r="2047" spans="1:5" ht="26" x14ac:dyDescent="0.15">
      <c r="A2047" s="1" t="s">
        <v>11</v>
      </c>
      <c r="B2047" s="2">
        <v>66552</v>
      </c>
      <c r="C2047" s="3">
        <v>5.7999999999999996E-2</v>
      </c>
      <c r="D2047" s="4" t="s">
        <v>307</v>
      </c>
      <c r="E2047" s="4" t="s">
        <v>135</v>
      </c>
    </row>
    <row r="2048" spans="1:5" ht="26" x14ac:dyDescent="0.15">
      <c r="A2048" s="1" t="s">
        <v>12</v>
      </c>
      <c r="B2048" s="2">
        <v>10676</v>
      </c>
      <c r="C2048" s="3">
        <v>9.0000000000000011E-3</v>
      </c>
      <c r="D2048" s="4" t="s">
        <v>307</v>
      </c>
      <c r="E2048" s="4" t="s">
        <v>135</v>
      </c>
    </row>
    <row r="2049" spans="1:5" ht="26" x14ac:dyDescent="0.15">
      <c r="A2049" s="1" t="s">
        <v>13</v>
      </c>
      <c r="B2049" s="2">
        <v>2723</v>
      </c>
      <c r="C2049" s="3">
        <v>2E-3</v>
      </c>
      <c r="D2049" s="4" t="s">
        <v>307</v>
      </c>
      <c r="E2049" s="4" t="s">
        <v>135</v>
      </c>
    </row>
    <row r="2050" spans="1:5" x14ac:dyDescent="0.15">
      <c r="A2050" s="1" t="s">
        <v>14</v>
      </c>
      <c r="B2050" s="2">
        <v>69791</v>
      </c>
      <c r="C2050" s="3">
        <v>6.0999999999999999E-2</v>
      </c>
      <c r="D2050" s="4" t="s">
        <v>307</v>
      </c>
      <c r="E2050" s="4" t="s">
        <v>135</v>
      </c>
    </row>
    <row r="2051" spans="1:5" ht="26" x14ac:dyDescent="0.15">
      <c r="A2051" s="1" t="s">
        <v>15</v>
      </c>
      <c r="B2051" s="2">
        <v>59948</v>
      </c>
      <c r="C2051" s="3">
        <v>5.2999999999999999E-2</v>
      </c>
      <c r="D2051" s="4" t="s">
        <v>307</v>
      </c>
      <c r="E2051" s="4" t="s">
        <v>135</v>
      </c>
    </row>
    <row r="2052" spans="1:5" ht="26" x14ac:dyDescent="0.15">
      <c r="A2052" s="1" t="s">
        <v>16</v>
      </c>
      <c r="B2052" s="2">
        <v>48348</v>
      </c>
      <c r="C2052" s="3">
        <v>4.2000000000000003E-2</v>
      </c>
      <c r="D2052" s="4" t="s">
        <v>307</v>
      </c>
      <c r="E2052" s="4" t="s">
        <v>135</v>
      </c>
    </row>
    <row r="2053" spans="1:5" ht="26" x14ac:dyDescent="0.15">
      <c r="A2053" s="1" t="s">
        <v>17</v>
      </c>
      <c r="B2053" s="2">
        <v>11646</v>
      </c>
      <c r="C2053" s="3">
        <v>0.01</v>
      </c>
      <c r="D2053" s="4" t="s">
        <v>307</v>
      </c>
      <c r="E2053" s="4" t="s">
        <v>135</v>
      </c>
    </row>
    <row r="2054" spans="1:5" x14ac:dyDescent="0.15">
      <c r="A2054" s="1" t="s">
        <v>18</v>
      </c>
      <c r="B2054" s="2">
        <v>15629</v>
      </c>
      <c r="C2054" s="3">
        <v>1.3999999999999999E-2</v>
      </c>
      <c r="D2054" s="4" t="s">
        <v>307</v>
      </c>
      <c r="E2054" s="4" t="s">
        <v>135</v>
      </c>
    </row>
    <row r="2055" spans="1:5" x14ac:dyDescent="0.15">
      <c r="A2055" s="1" t="s">
        <v>19</v>
      </c>
      <c r="B2055" s="2">
        <v>127662</v>
      </c>
      <c r="C2055" s="3">
        <v>0.11199999999999999</v>
      </c>
      <c r="D2055" s="4" t="s">
        <v>307</v>
      </c>
      <c r="E2055" s="4" t="s">
        <v>135</v>
      </c>
    </row>
    <row r="2056" spans="1:5" x14ac:dyDescent="0.15">
      <c r="A2056" s="1" t="s">
        <v>20</v>
      </c>
      <c r="B2056" s="2">
        <v>24493</v>
      </c>
      <c r="C2056" s="3">
        <v>2.2000000000000002E-2</v>
      </c>
      <c r="D2056" s="4" t="s">
        <v>307</v>
      </c>
      <c r="E2056" s="4" t="s">
        <v>135</v>
      </c>
    </row>
    <row r="2057" spans="1:5" ht="26" x14ac:dyDescent="0.15">
      <c r="A2057" s="1" t="s">
        <v>21</v>
      </c>
      <c r="B2057" s="2">
        <v>32929</v>
      </c>
      <c r="C2057" s="3">
        <v>2.8999999999999998E-2</v>
      </c>
      <c r="D2057" s="4" t="s">
        <v>307</v>
      </c>
      <c r="E2057" s="4" t="s">
        <v>135</v>
      </c>
    </row>
    <row r="2058" spans="1:5" ht="26" x14ac:dyDescent="0.15">
      <c r="A2058" s="1" t="s">
        <v>22</v>
      </c>
      <c r="B2058" s="2">
        <v>6918</v>
      </c>
      <c r="C2058" s="3">
        <v>6.0000000000000001E-3</v>
      </c>
      <c r="D2058" s="4" t="s">
        <v>307</v>
      </c>
      <c r="E2058" s="4" t="s">
        <v>135</v>
      </c>
    </row>
    <row r="2059" spans="1:5" ht="26" x14ac:dyDescent="0.15">
      <c r="A2059" s="1" t="s">
        <v>23</v>
      </c>
      <c r="B2059" s="2">
        <v>22013</v>
      </c>
      <c r="C2059" s="3">
        <v>1.9E-2</v>
      </c>
      <c r="D2059" s="4" t="s">
        <v>307</v>
      </c>
      <c r="E2059" s="4" t="s">
        <v>135</v>
      </c>
    </row>
    <row r="2060" spans="1:5" ht="26" x14ac:dyDescent="0.15">
      <c r="A2060" s="1" t="s">
        <v>24</v>
      </c>
      <c r="B2060" s="2">
        <v>399</v>
      </c>
      <c r="C2060" s="3">
        <v>0</v>
      </c>
      <c r="D2060" s="4" t="s">
        <v>307</v>
      </c>
      <c r="E2060" s="4" t="s">
        <v>135</v>
      </c>
    </row>
    <row r="2061" spans="1:5" ht="26" x14ac:dyDescent="0.15">
      <c r="A2061" s="1" t="s">
        <v>25</v>
      </c>
      <c r="B2061" s="2">
        <v>23478</v>
      </c>
      <c r="C2061" s="3">
        <v>2.1000000000000001E-2</v>
      </c>
      <c r="D2061" s="4" t="s">
        <v>307</v>
      </c>
      <c r="E2061" s="4" t="s">
        <v>135</v>
      </c>
    </row>
    <row r="2062" spans="1:5" x14ac:dyDescent="0.15">
      <c r="A2062" s="1" t="s">
        <v>26</v>
      </c>
      <c r="B2062" s="2">
        <v>2827</v>
      </c>
      <c r="C2062" s="3">
        <v>2E-3</v>
      </c>
      <c r="D2062" s="4" t="s">
        <v>307</v>
      </c>
      <c r="E2062" s="4" t="s">
        <v>135</v>
      </c>
    </row>
    <row r="2063" spans="1:5" x14ac:dyDescent="0.15">
      <c r="A2063" s="1" t="s">
        <v>27</v>
      </c>
      <c r="B2063" s="2">
        <v>141311</v>
      </c>
      <c r="C2063" s="3">
        <v>0.124</v>
      </c>
      <c r="D2063" s="4" t="s">
        <v>307</v>
      </c>
      <c r="E2063" s="4" t="s">
        <v>135</v>
      </c>
    </row>
    <row r="2064" spans="1:5" x14ac:dyDescent="0.15">
      <c r="A2064" s="1" t="s">
        <v>28</v>
      </c>
      <c r="B2064" s="2">
        <v>127453</v>
      </c>
      <c r="C2064" s="3">
        <v>0.11199999999999999</v>
      </c>
      <c r="D2064" s="4" t="s">
        <v>307</v>
      </c>
      <c r="E2064" s="4" t="s">
        <v>135</v>
      </c>
    </row>
    <row r="2065" spans="1:5" x14ac:dyDescent="0.15">
      <c r="A2065" s="1" t="s">
        <v>29</v>
      </c>
      <c r="B2065" s="2">
        <v>336648</v>
      </c>
      <c r="C2065" s="3">
        <v>0.29600000000000004</v>
      </c>
      <c r="D2065" s="4" t="s">
        <v>307</v>
      </c>
      <c r="E2065" s="4" t="s">
        <v>135</v>
      </c>
    </row>
    <row r="2066" spans="1:5" x14ac:dyDescent="0.15">
      <c r="A2066" s="1" t="s">
        <v>30</v>
      </c>
      <c r="B2066" s="2">
        <v>42336</v>
      </c>
      <c r="C2066" s="3">
        <v>3.7000000000000005E-2</v>
      </c>
      <c r="D2066" s="4" t="s">
        <v>307</v>
      </c>
      <c r="E2066" s="4" t="s">
        <v>135</v>
      </c>
    </row>
    <row r="2067" spans="1:5" ht="39" x14ac:dyDescent="0.15">
      <c r="A2067" s="1" t="s">
        <v>31</v>
      </c>
      <c r="B2067" s="2">
        <v>12806</v>
      </c>
      <c r="C2067" s="3">
        <v>1.1000000000000001E-2</v>
      </c>
      <c r="D2067" s="4" t="s">
        <v>307</v>
      </c>
      <c r="E2067" s="4" t="s">
        <v>135</v>
      </c>
    </row>
    <row r="2068" spans="1:5" x14ac:dyDescent="0.15">
      <c r="A2068" s="1" t="s">
        <v>32</v>
      </c>
      <c r="B2068" s="2">
        <v>26127</v>
      </c>
      <c r="C2068" s="3">
        <v>2.3E-2</v>
      </c>
      <c r="D2068" s="4" t="s">
        <v>307</v>
      </c>
      <c r="E2068" s="4" t="s">
        <v>135</v>
      </c>
    </row>
    <row r="2069" spans="1:5" x14ac:dyDescent="0.15">
      <c r="A2069" s="1" t="s">
        <v>33</v>
      </c>
      <c r="B2069" s="2">
        <v>235051</v>
      </c>
      <c r="C2069" s="3">
        <v>0.20600000000000002</v>
      </c>
      <c r="D2069" s="4" t="s">
        <v>307</v>
      </c>
      <c r="E2069" s="4" t="s">
        <v>135</v>
      </c>
    </row>
    <row r="2070" spans="1:5" x14ac:dyDescent="0.15">
      <c r="A2070" s="1" t="s">
        <v>34</v>
      </c>
      <c r="B2070" s="2">
        <v>52064</v>
      </c>
      <c r="C2070" s="3">
        <v>4.5999999999999999E-2</v>
      </c>
      <c r="D2070" s="4" t="s">
        <v>307</v>
      </c>
      <c r="E2070" s="4" t="s">
        <v>135</v>
      </c>
    </row>
    <row r="2071" spans="1:5" x14ac:dyDescent="0.15">
      <c r="A2071" s="1" t="s">
        <v>35</v>
      </c>
      <c r="B2071" s="2">
        <v>74533</v>
      </c>
      <c r="C2071" s="3">
        <v>6.5000000000000002E-2</v>
      </c>
      <c r="D2071" s="4" t="s">
        <v>307</v>
      </c>
      <c r="E2071" s="4" t="s">
        <v>135</v>
      </c>
    </row>
    <row r="2072" spans="1:5" ht="26" x14ac:dyDescent="0.15">
      <c r="A2072" s="1" t="s">
        <v>36</v>
      </c>
      <c r="B2072" s="2">
        <v>6651</v>
      </c>
      <c r="C2072" s="3">
        <v>6.0000000000000001E-3</v>
      </c>
      <c r="D2072" s="4" t="s">
        <v>307</v>
      </c>
      <c r="E2072" s="4" t="s">
        <v>135</v>
      </c>
    </row>
    <row r="2073" spans="1:5" x14ac:dyDescent="0.15">
      <c r="A2073" s="1" t="s">
        <v>37</v>
      </c>
      <c r="B2073" s="2">
        <v>4412</v>
      </c>
      <c r="C2073" s="3">
        <v>4.0000000000000001E-3</v>
      </c>
      <c r="D2073" s="4" t="s">
        <v>307</v>
      </c>
      <c r="E2073" s="4" t="s">
        <v>135</v>
      </c>
    </row>
    <row r="2074" spans="1:5" ht="39" x14ac:dyDescent="0.15">
      <c r="A2074" s="1" t="s">
        <v>38</v>
      </c>
      <c r="B2074" s="2">
        <v>12147</v>
      </c>
      <c r="C2074" s="3">
        <v>1.1000000000000001E-2</v>
      </c>
      <c r="D2074" s="4" t="s">
        <v>307</v>
      </c>
      <c r="E2074" s="4" t="s">
        <v>135</v>
      </c>
    </row>
    <row r="2075" spans="1:5" x14ac:dyDescent="0.15">
      <c r="A2075" s="1" t="s">
        <v>39</v>
      </c>
      <c r="B2075" s="2">
        <v>51646</v>
      </c>
      <c r="C2075" s="3">
        <v>4.4999999999999998E-2</v>
      </c>
      <c r="D2075" s="4" t="s">
        <v>307</v>
      </c>
      <c r="E2075" s="4" t="s">
        <v>135</v>
      </c>
    </row>
    <row r="2076" spans="1:5" x14ac:dyDescent="0.15">
      <c r="A2076" s="1" t="s">
        <v>40</v>
      </c>
      <c r="B2076" s="2">
        <v>23839</v>
      </c>
      <c r="C2076" s="3">
        <v>2.1000000000000001E-2</v>
      </c>
      <c r="D2076" s="4" t="s">
        <v>307</v>
      </c>
      <c r="E2076" s="4" t="s">
        <v>135</v>
      </c>
    </row>
    <row r="2077" spans="1:5" x14ac:dyDescent="0.15">
      <c r="A2077" s="1" t="s">
        <v>41</v>
      </c>
      <c r="B2077" s="2">
        <v>30350</v>
      </c>
      <c r="C2077" s="3">
        <v>2.7000000000000003E-2</v>
      </c>
      <c r="D2077" s="4" t="s">
        <v>307</v>
      </c>
      <c r="E2077" s="4" t="s">
        <v>135</v>
      </c>
    </row>
    <row r="2078" spans="1:5" x14ac:dyDescent="0.15">
      <c r="A2078" s="1" t="s">
        <v>42</v>
      </c>
      <c r="B2078" s="2">
        <v>34126</v>
      </c>
      <c r="C2078" s="3">
        <v>0.03</v>
      </c>
      <c r="D2078" s="4" t="s">
        <v>307</v>
      </c>
      <c r="E2078" s="4" t="s">
        <v>135</v>
      </c>
    </row>
    <row r="2079" spans="1:5" x14ac:dyDescent="0.15">
      <c r="A2079" s="1" t="s">
        <v>43</v>
      </c>
      <c r="B2079" s="2">
        <v>78110</v>
      </c>
      <c r="C2079" s="3">
        <v>6.9000000000000006E-2</v>
      </c>
      <c r="D2079" s="4" t="s">
        <v>307</v>
      </c>
      <c r="E2079" s="4" t="s">
        <v>135</v>
      </c>
    </row>
    <row r="2080" spans="1:5" ht="26" x14ac:dyDescent="0.15">
      <c r="A2080" s="1" t="s">
        <v>44</v>
      </c>
      <c r="B2080" s="2">
        <v>137405</v>
      </c>
      <c r="C2080" s="3">
        <v>0.121</v>
      </c>
      <c r="D2080" s="4" t="s">
        <v>307</v>
      </c>
      <c r="E2080" s="4" t="s">
        <v>135</v>
      </c>
    </row>
    <row r="2081" spans="1:5" x14ac:dyDescent="0.15">
      <c r="A2081" s="1" t="s">
        <v>45</v>
      </c>
      <c r="B2081" s="2">
        <v>242224</v>
      </c>
      <c r="C2081" s="3">
        <v>0.21299999999999999</v>
      </c>
      <c r="D2081" s="4" t="s">
        <v>307</v>
      </c>
      <c r="E2081" s="4" t="s">
        <v>135</v>
      </c>
    </row>
    <row r="2082" spans="1:5" ht="26" x14ac:dyDescent="0.15">
      <c r="A2082" s="1" t="s">
        <v>46</v>
      </c>
      <c r="B2082" s="2">
        <v>446457</v>
      </c>
      <c r="C2082" s="3">
        <v>0.39200000000000002</v>
      </c>
      <c r="D2082" s="4" t="s">
        <v>307</v>
      </c>
      <c r="E2082" s="4" t="s">
        <v>135</v>
      </c>
    </row>
    <row r="2083" spans="1:5" x14ac:dyDescent="0.15">
      <c r="A2083" s="1" t="s">
        <v>47</v>
      </c>
      <c r="B2083" s="2">
        <v>504198</v>
      </c>
      <c r="C2083" s="3">
        <v>0.44299999999999995</v>
      </c>
      <c r="D2083" s="4" t="s">
        <v>307</v>
      </c>
      <c r="E2083" s="4" t="s">
        <v>135</v>
      </c>
    </row>
    <row r="2084" spans="1:5" x14ac:dyDescent="0.15">
      <c r="A2084" s="1" t="s">
        <v>48</v>
      </c>
      <c r="B2084" s="2">
        <v>84642</v>
      </c>
      <c r="C2084" s="3">
        <v>7.400000000000001E-2</v>
      </c>
      <c r="D2084" s="4" t="s">
        <v>307</v>
      </c>
      <c r="E2084" s="4" t="s">
        <v>135</v>
      </c>
    </row>
    <row r="2085" spans="1:5" x14ac:dyDescent="0.15">
      <c r="A2085" s="1" t="s">
        <v>49</v>
      </c>
      <c r="B2085" s="2">
        <v>99095</v>
      </c>
      <c r="C2085" s="3">
        <v>8.6999999999999994E-2</v>
      </c>
      <c r="D2085" s="4" t="s">
        <v>307</v>
      </c>
      <c r="E2085" s="4" t="s">
        <v>135</v>
      </c>
    </row>
    <row r="2086" spans="1:5" ht="26" x14ac:dyDescent="0.15">
      <c r="A2086" s="1" t="s">
        <v>50</v>
      </c>
      <c r="B2086" s="2">
        <v>207913</v>
      </c>
      <c r="C2086" s="3">
        <v>0.183</v>
      </c>
      <c r="D2086" s="4" t="s">
        <v>307</v>
      </c>
      <c r="E2086" s="4" t="s">
        <v>135</v>
      </c>
    </row>
    <row r="2087" spans="1:5" x14ac:dyDescent="0.15">
      <c r="A2087" s="1" t="s">
        <v>51</v>
      </c>
      <c r="B2087" s="2">
        <v>346023</v>
      </c>
      <c r="C2087" s="3">
        <v>0.30399999999999999</v>
      </c>
      <c r="D2087" s="4" t="s">
        <v>307</v>
      </c>
      <c r="E2087" s="4" t="s">
        <v>135</v>
      </c>
    </row>
    <row r="2088" spans="1:5" x14ac:dyDescent="0.15">
      <c r="A2088" s="1" t="s">
        <v>52</v>
      </c>
      <c r="B2088" s="2">
        <v>151801</v>
      </c>
      <c r="C2088" s="3">
        <v>0.13300000000000001</v>
      </c>
      <c r="D2088" s="4" t="s">
        <v>307</v>
      </c>
      <c r="E2088" s="4" t="s">
        <v>135</v>
      </c>
    </row>
    <row r="2089" spans="1:5" ht="26" x14ac:dyDescent="0.15">
      <c r="A2089" s="1" t="s">
        <v>53</v>
      </c>
      <c r="B2089" s="2">
        <v>116713</v>
      </c>
      <c r="C2089" s="3">
        <v>0.10199999999999999</v>
      </c>
      <c r="D2089" s="4" t="s">
        <v>307</v>
      </c>
      <c r="E2089" s="4" t="s">
        <v>135</v>
      </c>
    </row>
    <row r="2090" spans="1:5" x14ac:dyDescent="0.15">
      <c r="A2090" s="1" t="s">
        <v>54</v>
      </c>
      <c r="B2090" s="2">
        <v>406515</v>
      </c>
      <c r="C2090" s="3">
        <v>0.35700000000000004</v>
      </c>
      <c r="D2090" s="4" t="s">
        <v>307</v>
      </c>
      <c r="E2090" s="4" t="s">
        <v>135</v>
      </c>
    </row>
    <row r="2091" spans="1:5" ht="26" x14ac:dyDescent="0.15">
      <c r="A2091" s="1" t="s">
        <v>55</v>
      </c>
      <c r="B2091" s="2">
        <v>314083</v>
      </c>
      <c r="C2091" s="3">
        <v>0.27600000000000002</v>
      </c>
      <c r="D2091" s="4" t="s">
        <v>307</v>
      </c>
      <c r="E2091" s="4" t="s">
        <v>135</v>
      </c>
    </row>
    <row r="2092" spans="1:5" x14ac:dyDescent="0.15">
      <c r="A2092" s="1" t="s">
        <v>56</v>
      </c>
      <c r="B2092" s="2">
        <v>310510</v>
      </c>
      <c r="C2092" s="3">
        <v>0.27300000000000002</v>
      </c>
      <c r="D2092" s="4" t="s">
        <v>307</v>
      </c>
      <c r="E2092" s="4" t="s">
        <v>135</v>
      </c>
    </row>
    <row r="2093" spans="1:5" x14ac:dyDescent="0.15">
      <c r="A2093" s="1" t="s">
        <v>57</v>
      </c>
      <c r="B2093" s="2">
        <v>184976</v>
      </c>
      <c r="C2093" s="3">
        <v>0.16200000000000001</v>
      </c>
      <c r="D2093" s="4" t="s">
        <v>307</v>
      </c>
      <c r="E2093" s="4" t="s">
        <v>135</v>
      </c>
    </row>
    <row r="2094" spans="1:5" x14ac:dyDescent="0.15">
      <c r="A2094" s="1" t="s">
        <v>58</v>
      </c>
      <c r="B2094" s="2">
        <v>174256</v>
      </c>
      <c r="C2094" s="3">
        <v>0.153</v>
      </c>
      <c r="D2094" s="4" t="s">
        <v>307</v>
      </c>
      <c r="E2094" s="4" t="s">
        <v>135</v>
      </c>
    </row>
    <row r="2095" spans="1:5" x14ac:dyDescent="0.15">
      <c r="A2095" s="1" t="s">
        <v>59</v>
      </c>
      <c r="B2095" s="2">
        <v>474267</v>
      </c>
      <c r="C2095" s="3">
        <v>0.41600000000000004</v>
      </c>
      <c r="D2095" s="4" t="s">
        <v>307</v>
      </c>
      <c r="E2095" s="4" t="s">
        <v>135</v>
      </c>
    </row>
    <row r="2096" spans="1:5" x14ac:dyDescent="0.15">
      <c r="A2096" s="1" t="s">
        <v>60</v>
      </c>
      <c r="B2096" s="2">
        <v>136049</v>
      </c>
      <c r="C2096" s="3">
        <v>0.11900000000000001</v>
      </c>
      <c r="D2096" s="4" t="s">
        <v>307</v>
      </c>
      <c r="E2096" s="4" t="s">
        <v>135</v>
      </c>
    </row>
    <row r="2097" spans="1:5" ht="26" x14ac:dyDescent="0.15">
      <c r="A2097" s="1" t="s">
        <v>61</v>
      </c>
      <c r="B2097" s="2">
        <v>224161</v>
      </c>
      <c r="C2097" s="3">
        <v>0.19699999999999998</v>
      </c>
      <c r="D2097" s="4" t="s">
        <v>307</v>
      </c>
      <c r="E2097" s="4" t="s">
        <v>135</v>
      </c>
    </row>
    <row r="2098" spans="1:5" x14ac:dyDescent="0.15">
      <c r="A2098" s="1" t="s">
        <v>62</v>
      </c>
      <c r="B2098" s="2">
        <v>50465</v>
      </c>
      <c r="C2098" s="3">
        <v>4.4000000000000004E-2</v>
      </c>
      <c r="D2098" s="4" t="s">
        <v>307</v>
      </c>
      <c r="E2098" s="4" t="s">
        <v>135</v>
      </c>
    </row>
    <row r="2099" spans="1:5" ht="26" x14ac:dyDescent="0.15">
      <c r="A2099" s="1" t="s">
        <v>63</v>
      </c>
      <c r="B2099" s="2">
        <v>236691</v>
      </c>
      <c r="C2099" s="3">
        <v>0.20800000000000002</v>
      </c>
      <c r="D2099" s="4" t="s">
        <v>307</v>
      </c>
      <c r="E2099" s="4" t="s">
        <v>135</v>
      </c>
    </row>
    <row r="2100" spans="1:5" ht="26" x14ac:dyDescent="0.15">
      <c r="A2100" s="1" t="s">
        <v>64</v>
      </c>
      <c r="B2100" s="2">
        <v>93791</v>
      </c>
      <c r="C2100" s="3">
        <v>8.199999999999999E-2</v>
      </c>
      <c r="D2100" s="4" t="s">
        <v>307</v>
      </c>
      <c r="E2100" s="4" t="s">
        <v>135</v>
      </c>
    </row>
    <row r="2101" spans="1:5" x14ac:dyDescent="0.15">
      <c r="A2101" s="1" t="s">
        <v>65</v>
      </c>
      <c r="B2101" s="2">
        <v>166752</v>
      </c>
      <c r="C2101" s="3">
        <v>0.14599999999999999</v>
      </c>
      <c r="D2101" s="4" t="s">
        <v>307</v>
      </c>
      <c r="E2101" s="4" t="s">
        <v>135</v>
      </c>
    </row>
    <row r="2102" spans="1:5" x14ac:dyDescent="0.15">
      <c r="A2102" s="1" t="s">
        <v>66</v>
      </c>
      <c r="B2102" s="2">
        <v>84549</v>
      </c>
      <c r="C2102" s="3">
        <v>7.400000000000001E-2</v>
      </c>
      <c r="D2102" s="4" t="s">
        <v>307</v>
      </c>
      <c r="E2102" s="4" t="s">
        <v>135</v>
      </c>
    </row>
    <row r="2103" spans="1:5" x14ac:dyDescent="0.15">
      <c r="A2103" s="1" t="s">
        <v>67</v>
      </c>
      <c r="B2103" s="2">
        <v>448742</v>
      </c>
      <c r="C2103" s="3">
        <v>0.39399999999999996</v>
      </c>
      <c r="D2103" s="4" t="s">
        <v>307</v>
      </c>
      <c r="E2103" s="4" t="s">
        <v>135</v>
      </c>
    </row>
    <row r="2104" spans="1:5" x14ac:dyDescent="0.15">
      <c r="A2104" s="1" t="s">
        <v>68</v>
      </c>
      <c r="B2104" s="2">
        <v>354294</v>
      </c>
      <c r="C2104" s="3">
        <v>0.311</v>
      </c>
      <c r="D2104" s="4" t="s">
        <v>307</v>
      </c>
      <c r="E2104" s="4" t="s">
        <v>135</v>
      </c>
    </row>
    <row r="2105" spans="1:5" x14ac:dyDescent="0.15">
      <c r="A2105" s="1" t="s">
        <v>69</v>
      </c>
      <c r="B2105" s="2">
        <v>731481</v>
      </c>
      <c r="C2105" s="3">
        <v>0.64200000000000002</v>
      </c>
      <c r="D2105" s="4" t="s">
        <v>307</v>
      </c>
      <c r="E2105" s="4" t="s">
        <v>135</v>
      </c>
    </row>
    <row r="2106" spans="1:5" x14ac:dyDescent="0.15">
      <c r="A2106" s="1" t="s">
        <v>70</v>
      </c>
      <c r="B2106" s="2">
        <v>246988</v>
      </c>
      <c r="C2106" s="3">
        <v>0.217</v>
      </c>
      <c r="D2106" s="4" t="s">
        <v>307</v>
      </c>
      <c r="E2106" s="4" t="s">
        <v>135</v>
      </c>
    </row>
    <row r="2107" spans="1:5" ht="26" x14ac:dyDescent="0.15">
      <c r="A2107" s="1" t="s">
        <v>71</v>
      </c>
      <c r="B2107" s="2">
        <v>85665</v>
      </c>
      <c r="C2107" s="3">
        <v>7.4999999999999997E-2</v>
      </c>
      <c r="D2107" s="4" t="s">
        <v>307</v>
      </c>
      <c r="E2107" s="4" t="s">
        <v>135</v>
      </c>
    </row>
    <row r="2108" spans="1:5" x14ac:dyDescent="0.15">
      <c r="A2108" s="1" t="s">
        <v>72</v>
      </c>
      <c r="B2108" s="2">
        <v>175101</v>
      </c>
      <c r="C2108" s="3">
        <v>0.154</v>
      </c>
      <c r="D2108" s="4" t="s">
        <v>307</v>
      </c>
      <c r="E2108" s="4" t="s">
        <v>135</v>
      </c>
    </row>
    <row r="2109" spans="1:5" x14ac:dyDescent="0.15">
      <c r="A2109" s="1" t="s">
        <v>73</v>
      </c>
      <c r="B2109" s="2">
        <v>627347</v>
      </c>
      <c r="C2109" s="3">
        <v>0.55100000000000005</v>
      </c>
      <c r="D2109" s="4" t="s">
        <v>307</v>
      </c>
      <c r="E2109" s="4" t="s">
        <v>135</v>
      </c>
    </row>
    <row r="2110" spans="1:5" x14ac:dyDescent="0.15">
      <c r="A2110" s="1" t="s">
        <v>74</v>
      </c>
      <c r="B2110" s="2">
        <v>332783</v>
      </c>
      <c r="C2110" s="3">
        <v>0.29199999999999998</v>
      </c>
      <c r="D2110" s="4" t="s">
        <v>307</v>
      </c>
      <c r="E2110" s="4" t="s">
        <v>135</v>
      </c>
    </row>
    <row r="2111" spans="1:5" x14ac:dyDescent="0.15">
      <c r="A2111" s="1" t="s">
        <v>75</v>
      </c>
      <c r="B2111" s="2">
        <v>270792</v>
      </c>
      <c r="C2111" s="3">
        <v>0.23800000000000002</v>
      </c>
      <c r="D2111" s="4" t="s">
        <v>307</v>
      </c>
      <c r="E2111" s="4" t="s">
        <v>135</v>
      </c>
    </row>
    <row r="2112" spans="1:5" x14ac:dyDescent="0.15">
      <c r="A2112" s="1" t="s">
        <v>76</v>
      </c>
      <c r="B2112" s="2">
        <v>174165</v>
      </c>
      <c r="C2112" s="3">
        <v>0.153</v>
      </c>
      <c r="D2112" s="4" t="s">
        <v>307</v>
      </c>
      <c r="E2112" s="4" t="s">
        <v>135</v>
      </c>
    </row>
    <row r="2113" spans="1:5" x14ac:dyDescent="0.15">
      <c r="A2113" s="1" t="s">
        <v>77</v>
      </c>
      <c r="B2113" s="2">
        <v>140684</v>
      </c>
      <c r="C2113" s="3">
        <v>0.124</v>
      </c>
      <c r="D2113" s="4" t="s">
        <v>307</v>
      </c>
      <c r="E2113" s="4" t="s">
        <v>135</v>
      </c>
    </row>
    <row r="2114" spans="1:5" ht="26" x14ac:dyDescent="0.15">
      <c r="A2114" s="1" t="s">
        <v>78</v>
      </c>
      <c r="B2114" s="2">
        <v>118215</v>
      </c>
      <c r="C2114" s="3">
        <v>0.10400000000000001</v>
      </c>
      <c r="D2114" s="4" t="s">
        <v>307</v>
      </c>
      <c r="E2114" s="4" t="s">
        <v>135</v>
      </c>
    </row>
    <row r="2115" spans="1:5" x14ac:dyDescent="0.15">
      <c r="A2115" s="1" t="s">
        <v>79</v>
      </c>
      <c r="B2115" s="2">
        <v>237431</v>
      </c>
      <c r="C2115" s="3">
        <v>0.20800000000000002</v>
      </c>
      <c r="D2115" s="4" t="s">
        <v>307</v>
      </c>
      <c r="E2115" s="4" t="s">
        <v>135</v>
      </c>
    </row>
    <row r="2116" spans="1:5" x14ac:dyDescent="0.15">
      <c r="A2116" s="1" t="s">
        <v>80</v>
      </c>
      <c r="B2116" s="2">
        <v>160652</v>
      </c>
      <c r="C2116" s="3">
        <v>0.14099999999999999</v>
      </c>
      <c r="D2116" s="4" t="s">
        <v>307</v>
      </c>
      <c r="E2116" s="4" t="s">
        <v>135</v>
      </c>
    </row>
    <row r="2117" spans="1:5" ht="26" x14ac:dyDescent="0.15">
      <c r="A2117" s="1" t="s">
        <v>81</v>
      </c>
      <c r="B2117" s="2">
        <v>238604</v>
      </c>
      <c r="C2117" s="3">
        <v>0.21</v>
      </c>
      <c r="D2117" s="4" t="s">
        <v>307</v>
      </c>
      <c r="E2117" s="4" t="s">
        <v>135</v>
      </c>
    </row>
    <row r="2118" spans="1:5" x14ac:dyDescent="0.15">
      <c r="A2118" s="1" t="s">
        <v>82</v>
      </c>
      <c r="B2118" s="2">
        <v>179020</v>
      </c>
      <c r="C2118" s="3">
        <v>0.157</v>
      </c>
      <c r="D2118" s="4" t="s">
        <v>307</v>
      </c>
      <c r="E2118" s="4" t="s">
        <v>135</v>
      </c>
    </row>
    <row r="2119" spans="1:5" x14ac:dyDescent="0.15">
      <c r="A2119" s="4"/>
      <c r="B2119" s="4"/>
      <c r="C2119" s="4"/>
      <c r="D2119" s="4" t="s">
        <v>307</v>
      </c>
      <c r="E2119" s="4" t="s">
        <v>135</v>
      </c>
    </row>
    <row r="2120" spans="1:5" x14ac:dyDescent="0.15">
      <c r="A2120" s="5"/>
      <c r="B2120" s="5"/>
      <c r="C2120" s="5"/>
      <c r="D2120" s="4" t="s">
        <v>307</v>
      </c>
      <c r="E2120" s="4" t="s">
        <v>135</v>
      </c>
    </row>
    <row r="2121" spans="1:5" x14ac:dyDescent="0.15">
      <c r="A2121" s="1" t="s">
        <v>308</v>
      </c>
      <c r="B2121" s="2">
        <v>142194</v>
      </c>
      <c r="C2121" s="3">
        <v>0.125</v>
      </c>
      <c r="D2121" s="4" t="s">
        <v>307</v>
      </c>
      <c r="E2121" s="4" t="s">
        <v>135</v>
      </c>
    </row>
    <row r="2122" spans="1:5" ht="26" x14ac:dyDescent="0.15">
      <c r="A2122" s="1" t="s">
        <v>309</v>
      </c>
      <c r="B2122" s="2">
        <v>113253</v>
      </c>
      <c r="C2122" s="3">
        <v>9.9000000000000005E-2</v>
      </c>
      <c r="D2122" s="4" t="s">
        <v>307</v>
      </c>
      <c r="E2122" s="4" t="s">
        <v>135</v>
      </c>
    </row>
    <row r="2123" spans="1:5" ht="26" x14ac:dyDescent="0.15">
      <c r="A2123" s="1" t="s">
        <v>136</v>
      </c>
      <c r="B2123" s="2">
        <v>127642</v>
      </c>
      <c r="C2123" s="3">
        <v>0.11199999999999999</v>
      </c>
      <c r="D2123" s="4" t="s">
        <v>307</v>
      </c>
      <c r="E2123" s="4" t="s">
        <v>135</v>
      </c>
    </row>
    <row r="2124" spans="1:5" x14ac:dyDescent="0.15">
      <c r="A2124" s="4"/>
      <c r="B2124" s="4"/>
      <c r="C2124" s="4"/>
      <c r="D2124" s="4" t="s">
        <v>307</v>
      </c>
      <c r="E2124" s="4" t="s">
        <v>135</v>
      </c>
    </row>
    <row r="2125" spans="1:5" x14ac:dyDescent="0.15">
      <c r="A2125" s="5"/>
      <c r="B2125" s="5"/>
      <c r="C2125" s="5"/>
      <c r="D2125" s="4" t="s">
        <v>307</v>
      </c>
      <c r="E2125" s="4" t="s">
        <v>135</v>
      </c>
    </row>
    <row r="2126" spans="1:5" ht="26" x14ac:dyDescent="0.15">
      <c r="A2126" s="1" t="s">
        <v>138</v>
      </c>
      <c r="B2126" s="2">
        <v>66953</v>
      </c>
      <c r="C2126" s="3">
        <v>5.9000000000000004E-2</v>
      </c>
      <c r="D2126" s="4" t="s">
        <v>307</v>
      </c>
      <c r="E2126" s="4" t="s">
        <v>135</v>
      </c>
    </row>
    <row r="2127" spans="1:5" x14ac:dyDescent="0.15">
      <c r="A2127" s="4"/>
      <c r="B2127" s="4"/>
      <c r="C2127" s="4"/>
      <c r="D2127" s="4" t="s">
        <v>307</v>
      </c>
      <c r="E2127" s="4" t="s">
        <v>135</v>
      </c>
    </row>
    <row r="2128" spans="1:5" x14ac:dyDescent="0.15">
      <c r="A2128" s="5"/>
      <c r="B2128" s="5"/>
      <c r="C2128" s="5"/>
      <c r="D2128" s="4" t="s">
        <v>307</v>
      </c>
      <c r="E2128" s="4" t="s">
        <v>135</v>
      </c>
    </row>
    <row r="2129" spans="1:5" ht="26" x14ac:dyDescent="0.15">
      <c r="A2129" s="1" t="s">
        <v>310</v>
      </c>
      <c r="B2129" s="2">
        <v>97980</v>
      </c>
      <c r="C2129" s="3">
        <v>8.5999999999999993E-2</v>
      </c>
      <c r="D2129" s="4" t="s">
        <v>307</v>
      </c>
      <c r="E2129" s="4" t="s">
        <v>135</v>
      </c>
    </row>
    <row r="2130" spans="1:5" ht="26" x14ac:dyDescent="0.15">
      <c r="A2130" s="1" t="s">
        <v>139</v>
      </c>
      <c r="B2130" s="2">
        <v>379633</v>
      </c>
      <c r="C2130" s="3">
        <v>0.33299999999999996</v>
      </c>
      <c r="D2130" s="4" t="s">
        <v>307</v>
      </c>
      <c r="E2130" s="4" t="s">
        <v>135</v>
      </c>
    </row>
    <row r="2131" spans="1:5" x14ac:dyDescent="0.15">
      <c r="A2131" s="4"/>
      <c r="B2131" s="4"/>
      <c r="C2131" s="4"/>
      <c r="D2131" s="4" t="s">
        <v>307</v>
      </c>
      <c r="E2131" s="4" t="s">
        <v>135</v>
      </c>
    </row>
    <row r="2132" spans="1:5" x14ac:dyDescent="0.15">
      <c r="A2132" s="5"/>
      <c r="B2132" s="5"/>
      <c r="C2132" s="5"/>
      <c r="D2132" s="4" t="s">
        <v>307</v>
      </c>
      <c r="E2132" s="4" t="s">
        <v>135</v>
      </c>
    </row>
    <row r="2133" spans="1:5" ht="26" x14ac:dyDescent="0.15">
      <c r="A2133" s="1" t="s">
        <v>311</v>
      </c>
      <c r="B2133" s="2">
        <v>107133</v>
      </c>
      <c r="C2133" s="3">
        <v>9.4E-2</v>
      </c>
      <c r="D2133" s="4" t="s">
        <v>307</v>
      </c>
      <c r="E2133" s="4" t="s">
        <v>135</v>
      </c>
    </row>
    <row r="2134" spans="1:5" ht="26" x14ac:dyDescent="0.15">
      <c r="A2134" s="1" t="s">
        <v>312</v>
      </c>
      <c r="B2134" s="2">
        <v>85644</v>
      </c>
      <c r="C2134" s="3">
        <v>7.4999999999999997E-2</v>
      </c>
      <c r="D2134" s="4" t="s">
        <v>307</v>
      </c>
      <c r="E2134" s="4" t="s">
        <v>135</v>
      </c>
    </row>
    <row r="2135" spans="1:5" ht="26" x14ac:dyDescent="0.15">
      <c r="A2135" s="1" t="s">
        <v>313</v>
      </c>
      <c r="B2135" s="2">
        <v>273946</v>
      </c>
      <c r="C2135" s="3">
        <v>0.24100000000000002</v>
      </c>
      <c r="D2135" s="4" t="s">
        <v>307</v>
      </c>
      <c r="E2135" s="4" t="s">
        <v>135</v>
      </c>
    </row>
    <row r="2136" spans="1:5" ht="26" x14ac:dyDescent="0.15">
      <c r="A2136" s="1" t="s">
        <v>301</v>
      </c>
      <c r="B2136" s="2">
        <v>29616</v>
      </c>
      <c r="C2136" s="3">
        <v>2.6000000000000002E-2</v>
      </c>
      <c r="D2136" s="4" t="s">
        <v>307</v>
      </c>
      <c r="E2136" s="4" t="s">
        <v>135</v>
      </c>
    </row>
    <row r="2137" spans="1:5" x14ac:dyDescent="0.15">
      <c r="A2137" s="1" t="s">
        <v>303</v>
      </c>
      <c r="B2137" s="2">
        <v>193380</v>
      </c>
      <c r="C2137" s="3">
        <v>0.17</v>
      </c>
      <c r="D2137" s="4" t="s">
        <v>307</v>
      </c>
      <c r="E2137" s="4" t="s">
        <v>135</v>
      </c>
    </row>
    <row r="2138" spans="1:5" ht="26" x14ac:dyDescent="0.15">
      <c r="A2138" s="1" t="s">
        <v>314</v>
      </c>
      <c r="B2138" s="2">
        <v>180538</v>
      </c>
      <c r="C2138" s="3">
        <v>0.159</v>
      </c>
      <c r="D2138" s="4" t="s">
        <v>307</v>
      </c>
      <c r="E2138" s="4" t="s">
        <v>135</v>
      </c>
    </row>
    <row r="2139" spans="1:5" ht="26" x14ac:dyDescent="0.15">
      <c r="A2139" s="1" t="s">
        <v>315</v>
      </c>
      <c r="B2139" s="2">
        <v>254578</v>
      </c>
      <c r="C2139" s="3">
        <v>0.22399999999999998</v>
      </c>
      <c r="D2139" s="4" t="s">
        <v>307</v>
      </c>
      <c r="E2139" s="4" t="s">
        <v>135</v>
      </c>
    </row>
    <row r="2140" spans="1:5" hidden="1" x14ac:dyDescent="0.15">
      <c r="A2140" s="1" t="s">
        <v>0</v>
      </c>
      <c r="B2140" s="2">
        <v>2361618</v>
      </c>
      <c r="C2140" s="3">
        <v>1</v>
      </c>
      <c r="D2140" s="4" t="s">
        <v>316</v>
      </c>
      <c r="E2140" s="4" t="s">
        <v>317</v>
      </c>
    </row>
    <row r="2141" spans="1:5" ht="26" hidden="1" x14ac:dyDescent="0.15">
      <c r="A2141" s="1" t="s">
        <v>3</v>
      </c>
      <c r="B2141" s="2">
        <v>44681</v>
      </c>
      <c r="C2141" s="3">
        <v>1.9E-2</v>
      </c>
      <c r="D2141" s="4" t="s">
        <v>316</v>
      </c>
      <c r="E2141" s="4" t="s">
        <v>317</v>
      </c>
    </row>
    <row r="2142" spans="1:5" hidden="1" x14ac:dyDescent="0.15">
      <c r="A2142" s="1" t="s">
        <v>4</v>
      </c>
      <c r="B2142" s="2">
        <v>53954</v>
      </c>
      <c r="C2142" s="3">
        <v>2.3E-2</v>
      </c>
      <c r="D2142" s="4" t="s">
        <v>316</v>
      </c>
      <c r="E2142" s="4" t="s">
        <v>317</v>
      </c>
    </row>
    <row r="2143" spans="1:5" ht="26" hidden="1" x14ac:dyDescent="0.15">
      <c r="A2143" s="1" t="s">
        <v>5</v>
      </c>
      <c r="B2143" s="2">
        <v>115924</v>
      </c>
      <c r="C2143" s="3">
        <v>4.9000000000000002E-2</v>
      </c>
      <c r="D2143" s="4" t="s">
        <v>316</v>
      </c>
      <c r="E2143" s="4" t="s">
        <v>317</v>
      </c>
    </row>
    <row r="2144" spans="1:5" ht="26" hidden="1" x14ac:dyDescent="0.15">
      <c r="A2144" s="1" t="s">
        <v>6</v>
      </c>
      <c r="B2144" s="2">
        <v>624873</v>
      </c>
      <c r="C2144" s="3">
        <v>0.26500000000000001</v>
      </c>
      <c r="D2144" s="4" t="s">
        <v>316</v>
      </c>
      <c r="E2144" s="4" t="s">
        <v>317</v>
      </c>
    </row>
    <row r="2145" spans="1:5" ht="26" hidden="1" x14ac:dyDescent="0.15">
      <c r="A2145" s="1" t="s">
        <v>7</v>
      </c>
      <c r="B2145" s="2">
        <v>493039</v>
      </c>
      <c r="C2145" s="3">
        <v>0.20899999999999999</v>
      </c>
      <c r="D2145" s="4" t="s">
        <v>316</v>
      </c>
      <c r="E2145" s="4" t="s">
        <v>317</v>
      </c>
    </row>
    <row r="2146" spans="1:5" ht="26" hidden="1" x14ac:dyDescent="0.15">
      <c r="A2146" s="1" t="s">
        <v>8</v>
      </c>
      <c r="B2146" s="2">
        <v>7021</v>
      </c>
      <c r="C2146" s="3">
        <v>3.0000000000000001E-3</v>
      </c>
      <c r="D2146" s="4" t="s">
        <v>316</v>
      </c>
      <c r="E2146" s="4" t="s">
        <v>317</v>
      </c>
    </row>
    <row r="2147" spans="1:5" ht="26" hidden="1" x14ac:dyDescent="0.15">
      <c r="A2147" s="1" t="s">
        <v>9</v>
      </c>
      <c r="B2147" s="2">
        <v>67771</v>
      </c>
      <c r="C2147" s="3">
        <v>2.8999999999999998E-2</v>
      </c>
      <c r="D2147" s="4" t="s">
        <v>316</v>
      </c>
      <c r="E2147" s="4" t="s">
        <v>317</v>
      </c>
    </row>
    <row r="2148" spans="1:5" ht="26" hidden="1" x14ac:dyDescent="0.15">
      <c r="A2148" s="1" t="s">
        <v>10</v>
      </c>
      <c r="B2148" s="2">
        <v>71943</v>
      </c>
      <c r="C2148" s="3">
        <v>0.03</v>
      </c>
      <c r="D2148" s="4" t="s">
        <v>316</v>
      </c>
      <c r="E2148" s="4" t="s">
        <v>317</v>
      </c>
    </row>
    <row r="2149" spans="1:5" ht="26" hidden="1" x14ac:dyDescent="0.15">
      <c r="A2149" s="1" t="s">
        <v>11</v>
      </c>
      <c r="B2149" s="2">
        <v>122494</v>
      </c>
      <c r="C2149" s="3">
        <v>5.2000000000000005E-2</v>
      </c>
      <c r="D2149" s="4" t="s">
        <v>316</v>
      </c>
      <c r="E2149" s="4" t="s">
        <v>317</v>
      </c>
    </row>
    <row r="2150" spans="1:5" ht="26" hidden="1" x14ac:dyDescent="0.15">
      <c r="A2150" s="1" t="s">
        <v>12</v>
      </c>
      <c r="B2150" s="2">
        <v>55036</v>
      </c>
      <c r="C2150" s="3">
        <v>2.3E-2</v>
      </c>
      <c r="D2150" s="4" t="s">
        <v>316</v>
      </c>
      <c r="E2150" s="4" t="s">
        <v>317</v>
      </c>
    </row>
    <row r="2151" spans="1:5" ht="26" hidden="1" x14ac:dyDescent="0.15">
      <c r="A2151" s="1" t="s">
        <v>13</v>
      </c>
      <c r="B2151" s="2">
        <v>41637</v>
      </c>
      <c r="C2151" s="3">
        <v>1.8000000000000002E-2</v>
      </c>
      <c r="D2151" s="4" t="s">
        <v>316</v>
      </c>
      <c r="E2151" s="4" t="s">
        <v>317</v>
      </c>
    </row>
    <row r="2152" spans="1:5" hidden="1" x14ac:dyDescent="0.15">
      <c r="A2152" s="1" t="s">
        <v>14</v>
      </c>
      <c r="B2152" s="2">
        <v>169438</v>
      </c>
      <c r="C2152" s="3">
        <v>7.2000000000000008E-2</v>
      </c>
      <c r="D2152" s="4" t="s">
        <v>316</v>
      </c>
      <c r="E2152" s="4" t="s">
        <v>317</v>
      </c>
    </row>
    <row r="2153" spans="1:5" ht="26" hidden="1" x14ac:dyDescent="0.15">
      <c r="A2153" s="1" t="s">
        <v>15</v>
      </c>
      <c r="B2153" s="2">
        <v>129550</v>
      </c>
      <c r="C2153" s="3">
        <v>5.5E-2</v>
      </c>
      <c r="D2153" s="4" t="s">
        <v>316</v>
      </c>
      <c r="E2153" s="4" t="s">
        <v>317</v>
      </c>
    </row>
    <row r="2154" spans="1:5" ht="26" hidden="1" x14ac:dyDescent="0.15">
      <c r="A2154" s="1" t="s">
        <v>16</v>
      </c>
      <c r="B2154" s="2">
        <v>84166</v>
      </c>
      <c r="C2154" s="3">
        <v>3.6000000000000004E-2</v>
      </c>
      <c r="D2154" s="4" t="s">
        <v>316</v>
      </c>
      <c r="E2154" s="4" t="s">
        <v>317</v>
      </c>
    </row>
    <row r="2155" spans="1:5" ht="26" hidden="1" x14ac:dyDescent="0.15">
      <c r="A2155" s="1" t="s">
        <v>17</v>
      </c>
      <c r="B2155" s="2">
        <v>46056</v>
      </c>
      <c r="C2155" s="3">
        <v>0.02</v>
      </c>
      <c r="D2155" s="4" t="s">
        <v>316</v>
      </c>
      <c r="E2155" s="4" t="s">
        <v>317</v>
      </c>
    </row>
    <row r="2156" spans="1:5" hidden="1" x14ac:dyDescent="0.15">
      <c r="A2156" s="1" t="s">
        <v>18</v>
      </c>
      <c r="B2156" s="2">
        <v>34304</v>
      </c>
      <c r="C2156" s="3">
        <v>1.4999999999999999E-2</v>
      </c>
      <c r="D2156" s="4" t="s">
        <v>316</v>
      </c>
      <c r="E2156" s="4" t="s">
        <v>317</v>
      </c>
    </row>
    <row r="2157" spans="1:5" hidden="1" x14ac:dyDescent="0.15">
      <c r="A2157" s="1" t="s">
        <v>19</v>
      </c>
      <c r="B2157" s="2">
        <v>173826</v>
      </c>
      <c r="C2157" s="3">
        <v>7.400000000000001E-2</v>
      </c>
      <c r="D2157" s="4" t="s">
        <v>316</v>
      </c>
      <c r="E2157" s="4" t="s">
        <v>317</v>
      </c>
    </row>
    <row r="2158" spans="1:5" hidden="1" x14ac:dyDescent="0.15">
      <c r="A2158" s="1" t="s">
        <v>20</v>
      </c>
      <c r="B2158" s="2">
        <v>51246</v>
      </c>
      <c r="C2158" s="3">
        <v>2.2000000000000002E-2</v>
      </c>
      <c r="D2158" s="4" t="s">
        <v>316</v>
      </c>
      <c r="E2158" s="4" t="s">
        <v>317</v>
      </c>
    </row>
    <row r="2159" spans="1:5" ht="26" hidden="1" x14ac:dyDescent="0.15">
      <c r="A2159" s="1" t="s">
        <v>21</v>
      </c>
      <c r="B2159" s="2">
        <v>86600</v>
      </c>
      <c r="C2159" s="3">
        <v>3.7000000000000005E-2</v>
      </c>
      <c r="D2159" s="4" t="s">
        <v>316</v>
      </c>
      <c r="E2159" s="4" t="s">
        <v>317</v>
      </c>
    </row>
    <row r="2160" spans="1:5" ht="26" hidden="1" x14ac:dyDescent="0.15">
      <c r="A2160" s="1" t="s">
        <v>22</v>
      </c>
      <c r="B2160" s="2">
        <v>44260</v>
      </c>
      <c r="C2160" s="3">
        <v>1.9E-2</v>
      </c>
      <c r="D2160" s="4" t="s">
        <v>316</v>
      </c>
      <c r="E2160" s="4" t="s">
        <v>317</v>
      </c>
    </row>
    <row r="2161" spans="1:5" ht="26" hidden="1" x14ac:dyDescent="0.15">
      <c r="A2161" s="1" t="s">
        <v>23</v>
      </c>
      <c r="B2161" s="2">
        <v>63513</v>
      </c>
      <c r="C2161" s="3">
        <v>2.7000000000000003E-2</v>
      </c>
      <c r="D2161" s="4" t="s">
        <v>316</v>
      </c>
      <c r="E2161" s="4" t="s">
        <v>317</v>
      </c>
    </row>
    <row r="2162" spans="1:5" ht="26" hidden="1" x14ac:dyDescent="0.15">
      <c r="A2162" s="1" t="s">
        <v>24</v>
      </c>
      <c r="B2162" s="2">
        <v>15186</v>
      </c>
      <c r="C2162" s="3">
        <v>6.0000000000000001E-3</v>
      </c>
      <c r="D2162" s="4" t="s">
        <v>316</v>
      </c>
      <c r="E2162" s="4" t="s">
        <v>317</v>
      </c>
    </row>
    <row r="2163" spans="1:5" ht="26" hidden="1" x14ac:dyDescent="0.15">
      <c r="A2163" s="1" t="s">
        <v>25</v>
      </c>
      <c r="B2163" s="2">
        <v>75147</v>
      </c>
      <c r="C2163" s="3">
        <v>3.2000000000000001E-2</v>
      </c>
      <c r="D2163" s="4" t="s">
        <v>316</v>
      </c>
      <c r="E2163" s="4" t="s">
        <v>317</v>
      </c>
    </row>
    <row r="2164" spans="1:5" hidden="1" x14ac:dyDescent="0.15">
      <c r="A2164" s="1" t="s">
        <v>26</v>
      </c>
      <c r="B2164" s="2">
        <v>26686</v>
      </c>
      <c r="C2164" s="3">
        <v>1.1000000000000001E-2</v>
      </c>
      <c r="D2164" s="4" t="s">
        <v>316</v>
      </c>
      <c r="E2164" s="4" t="s">
        <v>317</v>
      </c>
    </row>
    <row r="2165" spans="1:5" hidden="1" x14ac:dyDescent="0.15">
      <c r="A2165" s="1" t="s">
        <v>27</v>
      </c>
      <c r="B2165" s="2">
        <v>284803</v>
      </c>
      <c r="C2165" s="3">
        <v>0.121</v>
      </c>
      <c r="D2165" s="4" t="s">
        <v>316</v>
      </c>
      <c r="E2165" s="4" t="s">
        <v>317</v>
      </c>
    </row>
    <row r="2166" spans="1:5" hidden="1" x14ac:dyDescent="0.15">
      <c r="A2166" s="1" t="s">
        <v>28</v>
      </c>
      <c r="B2166" s="2">
        <v>217579</v>
      </c>
      <c r="C2166" s="3">
        <v>9.1999999999999998E-2</v>
      </c>
      <c r="D2166" s="4" t="s">
        <v>316</v>
      </c>
      <c r="E2166" s="4" t="s">
        <v>317</v>
      </c>
    </row>
    <row r="2167" spans="1:5" hidden="1" x14ac:dyDescent="0.15">
      <c r="A2167" s="1" t="s">
        <v>29</v>
      </c>
      <c r="B2167" s="2">
        <v>609318</v>
      </c>
      <c r="C2167" s="3">
        <v>0.25800000000000001</v>
      </c>
      <c r="D2167" s="4" t="s">
        <v>316</v>
      </c>
      <c r="E2167" s="4" t="s">
        <v>317</v>
      </c>
    </row>
    <row r="2168" spans="1:5" hidden="1" x14ac:dyDescent="0.15">
      <c r="A2168" s="1" t="s">
        <v>30</v>
      </c>
      <c r="B2168" s="2">
        <v>123659</v>
      </c>
      <c r="C2168" s="3">
        <v>5.2000000000000005E-2</v>
      </c>
      <c r="D2168" s="4" t="s">
        <v>316</v>
      </c>
      <c r="E2168" s="4" t="s">
        <v>317</v>
      </c>
    </row>
    <row r="2169" spans="1:5" ht="39" hidden="1" x14ac:dyDescent="0.15">
      <c r="A2169" s="1" t="s">
        <v>31</v>
      </c>
      <c r="B2169" s="2">
        <v>37224</v>
      </c>
      <c r="C2169" s="3">
        <v>1.6E-2</v>
      </c>
      <c r="D2169" s="4" t="s">
        <v>316</v>
      </c>
      <c r="E2169" s="4" t="s">
        <v>317</v>
      </c>
    </row>
    <row r="2170" spans="1:5" hidden="1" x14ac:dyDescent="0.15">
      <c r="A2170" s="1" t="s">
        <v>32</v>
      </c>
      <c r="B2170" s="2">
        <v>86860</v>
      </c>
      <c r="C2170" s="3">
        <v>3.7000000000000005E-2</v>
      </c>
      <c r="D2170" s="4" t="s">
        <v>316</v>
      </c>
      <c r="E2170" s="4" t="s">
        <v>317</v>
      </c>
    </row>
    <row r="2171" spans="1:5" hidden="1" x14ac:dyDescent="0.15">
      <c r="A2171" s="1" t="s">
        <v>33</v>
      </c>
      <c r="B2171" s="2">
        <v>585632</v>
      </c>
      <c r="C2171" s="3">
        <v>0.248</v>
      </c>
      <c r="D2171" s="4" t="s">
        <v>316</v>
      </c>
      <c r="E2171" s="4" t="s">
        <v>317</v>
      </c>
    </row>
    <row r="2172" spans="1:5" hidden="1" x14ac:dyDescent="0.15">
      <c r="A2172" s="1" t="s">
        <v>34</v>
      </c>
      <c r="B2172" s="2">
        <v>158290</v>
      </c>
      <c r="C2172" s="3">
        <v>6.7000000000000004E-2</v>
      </c>
      <c r="D2172" s="4" t="s">
        <v>316</v>
      </c>
      <c r="E2172" s="4" t="s">
        <v>317</v>
      </c>
    </row>
    <row r="2173" spans="1:5" hidden="1" x14ac:dyDescent="0.15">
      <c r="A2173" s="1" t="s">
        <v>35</v>
      </c>
      <c r="B2173" s="2">
        <v>118976</v>
      </c>
      <c r="C2173" s="3">
        <v>0.05</v>
      </c>
      <c r="D2173" s="4" t="s">
        <v>316</v>
      </c>
      <c r="E2173" s="4" t="s">
        <v>317</v>
      </c>
    </row>
    <row r="2174" spans="1:5" ht="26" hidden="1" x14ac:dyDescent="0.15">
      <c r="A2174" s="1" t="s">
        <v>36</v>
      </c>
      <c r="B2174" s="2">
        <v>36353</v>
      </c>
      <c r="C2174" s="3">
        <v>1.4999999999999999E-2</v>
      </c>
      <c r="D2174" s="4" t="s">
        <v>316</v>
      </c>
      <c r="E2174" s="4" t="s">
        <v>317</v>
      </c>
    </row>
    <row r="2175" spans="1:5" hidden="1" x14ac:dyDescent="0.15">
      <c r="A2175" s="1" t="s">
        <v>37</v>
      </c>
      <c r="B2175" s="2">
        <v>20603</v>
      </c>
      <c r="C2175" s="3">
        <v>9.0000000000000011E-3</v>
      </c>
      <c r="D2175" s="4" t="s">
        <v>316</v>
      </c>
      <c r="E2175" s="4" t="s">
        <v>317</v>
      </c>
    </row>
    <row r="2176" spans="1:5" ht="39" hidden="1" x14ac:dyDescent="0.15">
      <c r="A2176" s="1" t="s">
        <v>38</v>
      </c>
      <c r="B2176" s="2">
        <v>38308</v>
      </c>
      <c r="C2176" s="3">
        <v>1.6E-2</v>
      </c>
      <c r="D2176" s="4" t="s">
        <v>316</v>
      </c>
      <c r="E2176" s="4" t="s">
        <v>317</v>
      </c>
    </row>
    <row r="2177" spans="1:5" hidden="1" x14ac:dyDescent="0.15">
      <c r="A2177" s="1" t="s">
        <v>39</v>
      </c>
      <c r="B2177" s="2">
        <v>140794</v>
      </c>
      <c r="C2177" s="3">
        <v>0.06</v>
      </c>
      <c r="D2177" s="4" t="s">
        <v>316</v>
      </c>
      <c r="E2177" s="4" t="s">
        <v>317</v>
      </c>
    </row>
    <row r="2178" spans="1:5" hidden="1" x14ac:dyDescent="0.15">
      <c r="A2178" s="1" t="s">
        <v>40</v>
      </c>
      <c r="B2178" s="2">
        <v>54752</v>
      </c>
      <c r="C2178" s="3">
        <v>2.3E-2</v>
      </c>
      <c r="D2178" s="4" t="s">
        <v>316</v>
      </c>
      <c r="E2178" s="4" t="s">
        <v>317</v>
      </c>
    </row>
    <row r="2179" spans="1:5" hidden="1" x14ac:dyDescent="0.15">
      <c r="A2179" s="1" t="s">
        <v>41</v>
      </c>
      <c r="B2179" s="2">
        <v>133026</v>
      </c>
      <c r="C2179" s="3">
        <v>5.5999999999999994E-2</v>
      </c>
      <c r="D2179" s="4" t="s">
        <v>316</v>
      </c>
      <c r="E2179" s="4" t="s">
        <v>317</v>
      </c>
    </row>
    <row r="2180" spans="1:5" hidden="1" x14ac:dyDescent="0.15">
      <c r="A2180" s="1" t="s">
        <v>42</v>
      </c>
      <c r="B2180" s="2">
        <v>117951</v>
      </c>
      <c r="C2180" s="3">
        <v>0.05</v>
      </c>
      <c r="D2180" s="4" t="s">
        <v>316</v>
      </c>
      <c r="E2180" s="4" t="s">
        <v>317</v>
      </c>
    </row>
    <row r="2181" spans="1:5" hidden="1" x14ac:dyDescent="0.15">
      <c r="A2181" s="1" t="s">
        <v>43</v>
      </c>
      <c r="B2181" s="2">
        <v>221380</v>
      </c>
      <c r="C2181" s="3">
        <v>9.4E-2</v>
      </c>
      <c r="D2181" s="4" t="s">
        <v>316</v>
      </c>
      <c r="E2181" s="4" t="s">
        <v>317</v>
      </c>
    </row>
    <row r="2182" spans="1:5" ht="26" hidden="1" x14ac:dyDescent="0.15">
      <c r="A2182" s="1" t="s">
        <v>44</v>
      </c>
      <c r="B2182" s="2">
        <v>240533</v>
      </c>
      <c r="C2182" s="3">
        <v>0.10199999999999999</v>
      </c>
      <c r="D2182" s="4" t="s">
        <v>316</v>
      </c>
      <c r="E2182" s="4" t="s">
        <v>317</v>
      </c>
    </row>
    <row r="2183" spans="1:5" hidden="1" x14ac:dyDescent="0.15">
      <c r="A2183" s="1" t="s">
        <v>45</v>
      </c>
      <c r="B2183" s="2">
        <v>549956</v>
      </c>
      <c r="C2183" s="3">
        <v>0.23300000000000001</v>
      </c>
      <c r="D2183" s="4" t="s">
        <v>316</v>
      </c>
      <c r="E2183" s="4" t="s">
        <v>317</v>
      </c>
    </row>
    <row r="2184" spans="1:5" ht="26" hidden="1" x14ac:dyDescent="0.15">
      <c r="A2184" s="1" t="s">
        <v>46</v>
      </c>
      <c r="B2184" s="2">
        <v>1230632</v>
      </c>
      <c r="C2184" s="3">
        <v>0.52100000000000002</v>
      </c>
      <c r="D2184" s="4" t="s">
        <v>316</v>
      </c>
      <c r="E2184" s="4" t="s">
        <v>317</v>
      </c>
    </row>
    <row r="2185" spans="1:5" hidden="1" x14ac:dyDescent="0.15">
      <c r="A2185" s="1" t="s">
        <v>47</v>
      </c>
      <c r="B2185" s="2">
        <v>1139634</v>
      </c>
      <c r="C2185" s="3">
        <v>0.48299999999999998</v>
      </c>
      <c r="D2185" s="4" t="s">
        <v>316</v>
      </c>
      <c r="E2185" s="4" t="s">
        <v>317</v>
      </c>
    </row>
    <row r="2186" spans="1:5" hidden="1" x14ac:dyDescent="0.15">
      <c r="A2186" s="1" t="s">
        <v>48</v>
      </c>
      <c r="B2186" s="2">
        <v>189345</v>
      </c>
      <c r="C2186" s="3">
        <v>0.08</v>
      </c>
      <c r="D2186" s="4" t="s">
        <v>316</v>
      </c>
      <c r="E2186" s="4" t="s">
        <v>317</v>
      </c>
    </row>
    <row r="2187" spans="1:5" hidden="1" x14ac:dyDescent="0.15">
      <c r="A2187" s="1" t="s">
        <v>49</v>
      </c>
      <c r="B2187" s="2">
        <v>278497</v>
      </c>
      <c r="C2187" s="3">
        <v>0.11800000000000001</v>
      </c>
      <c r="D2187" s="4" t="s">
        <v>316</v>
      </c>
      <c r="E2187" s="4" t="s">
        <v>317</v>
      </c>
    </row>
    <row r="2188" spans="1:5" ht="26" hidden="1" x14ac:dyDescent="0.15">
      <c r="A2188" s="1" t="s">
        <v>50</v>
      </c>
      <c r="B2188" s="2">
        <v>364846</v>
      </c>
      <c r="C2188" s="3">
        <v>0.154</v>
      </c>
      <c r="D2188" s="4" t="s">
        <v>316</v>
      </c>
      <c r="E2188" s="4" t="s">
        <v>317</v>
      </c>
    </row>
    <row r="2189" spans="1:5" hidden="1" x14ac:dyDescent="0.15">
      <c r="A2189" s="1" t="s">
        <v>51</v>
      </c>
      <c r="B2189" s="2">
        <v>604231</v>
      </c>
      <c r="C2189" s="3">
        <v>0.25600000000000001</v>
      </c>
      <c r="D2189" s="4" t="s">
        <v>316</v>
      </c>
      <c r="E2189" s="4" t="s">
        <v>317</v>
      </c>
    </row>
    <row r="2190" spans="1:5" hidden="1" x14ac:dyDescent="0.15">
      <c r="A2190" s="1" t="s">
        <v>52</v>
      </c>
      <c r="B2190" s="2">
        <v>286290</v>
      </c>
      <c r="C2190" s="3">
        <v>0.121</v>
      </c>
      <c r="D2190" s="4" t="s">
        <v>316</v>
      </c>
      <c r="E2190" s="4" t="s">
        <v>317</v>
      </c>
    </row>
    <row r="2191" spans="1:5" ht="26" hidden="1" x14ac:dyDescent="0.15">
      <c r="A2191" s="1" t="s">
        <v>53</v>
      </c>
      <c r="B2191" s="2">
        <v>215007</v>
      </c>
      <c r="C2191" s="3">
        <v>9.0999999999999998E-2</v>
      </c>
      <c r="D2191" s="4" t="s">
        <v>316</v>
      </c>
      <c r="E2191" s="4" t="s">
        <v>317</v>
      </c>
    </row>
    <row r="2192" spans="1:5" hidden="1" x14ac:dyDescent="0.15">
      <c r="A2192" s="1" t="s">
        <v>54</v>
      </c>
      <c r="B2192" s="2">
        <v>798541</v>
      </c>
      <c r="C2192" s="3">
        <v>0.33799999999999997</v>
      </c>
      <c r="D2192" s="4" t="s">
        <v>316</v>
      </c>
      <c r="E2192" s="4" t="s">
        <v>317</v>
      </c>
    </row>
    <row r="2193" spans="1:5" ht="26" hidden="1" x14ac:dyDescent="0.15">
      <c r="A2193" s="1" t="s">
        <v>55</v>
      </c>
      <c r="B2193" s="2">
        <v>650093</v>
      </c>
      <c r="C2193" s="3">
        <v>0.27500000000000002</v>
      </c>
      <c r="D2193" s="4" t="s">
        <v>316</v>
      </c>
      <c r="E2193" s="4" t="s">
        <v>317</v>
      </c>
    </row>
    <row r="2194" spans="1:5" hidden="1" x14ac:dyDescent="0.15">
      <c r="A2194" s="1" t="s">
        <v>56</v>
      </c>
      <c r="B2194" s="2">
        <v>512739</v>
      </c>
      <c r="C2194" s="3">
        <v>0.217</v>
      </c>
      <c r="D2194" s="4" t="s">
        <v>316</v>
      </c>
      <c r="E2194" s="4" t="s">
        <v>317</v>
      </c>
    </row>
    <row r="2195" spans="1:5" hidden="1" x14ac:dyDescent="0.15">
      <c r="A2195" s="1" t="s">
        <v>57</v>
      </c>
      <c r="B2195" s="2">
        <v>286228</v>
      </c>
      <c r="C2195" s="3">
        <v>0.121</v>
      </c>
      <c r="D2195" s="4" t="s">
        <v>316</v>
      </c>
      <c r="E2195" s="4" t="s">
        <v>317</v>
      </c>
    </row>
    <row r="2196" spans="1:5" hidden="1" x14ac:dyDescent="0.15">
      <c r="A2196" s="1" t="s">
        <v>58</v>
      </c>
      <c r="B2196" s="2">
        <v>255405</v>
      </c>
      <c r="C2196" s="3">
        <v>0.10800000000000001</v>
      </c>
      <c r="D2196" s="4" t="s">
        <v>316</v>
      </c>
      <c r="E2196" s="4" t="s">
        <v>317</v>
      </c>
    </row>
    <row r="2197" spans="1:5" hidden="1" x14ac:dyDescent="0.15">
      <c r="A2197" s="1" t="s">
        <v>59</v>
      </c>
      <c r="B2197" s="2">
        <v>829905</v>
      </c>
      <c r="C2197" s="3">
        <v>0.35100000000000003</v>
      </c>
      <c r="D2197" s="4" t="s">
        <v>316</v>
      </c>
      <c r="E2197" s="4" t="s">
        <v>317</v>
      </c>
    </row>
    <row r="2198" spans="1:5" hidden="1" x14ac:dyDescent="0.15">
      <c r="A2198" s="1" t="s">
        <v>60</v>
      </c>
      <c r="B2198" s="2">
        <v>347959</v>
      </c>
      <c r="C2198" s="3">
        <v>0.14699999999999999</v>
      </c>
      <c r="D2198" s="4" t="s">
        <v>316</v>
      </c>
      <c r="E2198" s="4" t="s">
        <v>317</v>
      </c>
    </row>
    <row r="2199" spans="1:5" ht="26" hidden="1" x14ac:dyDescent="0.15">
      <c r="A2199" s="1" t="s">
        <v>61</v>
      </c>
      <c r="B2199" s="2">
        <v>425477</v>
      </c>
      <c r="C2199" s="3">
        <v>0.18</v>
      </c>
      <c r="D2199" s="4" t="s">
        <v>316</v>
      </c>
      <c r="E2199" s="4" t="s">
        <v>317</v>
      </c>
    </row>
    <row r="2200" spans="1:5" hidden="1" x14ac:dyDescent="0.15">
      <c r="A2200" s="1" t="s">
        <v>62</v>
      </c>
      <c r="B2200" s="2">
        <v>219699</v>
      </c>
      <c r="C2200" s="3">
        <v>9.3000000000000013E-2</v>
      </c>
      <c r="D2200" s="4" t="s">
        <v>316</v>
      </c>
      <c r="E2200" s="4" t="s">
        <v>317</v>
      </c>
    </row>
    <row r="2201" spans="1:5" ht="26" hidden="1" x14ac:dyDescent="0.15">
      <c r="A2201" s="1" t="s">
        <v>63</v>
      </c>
      <c r="B2201" s="2">
        <v>458789</v>
      </c>
      <c r="C2201" s="3">
        <v>0.19399999999999998</v>
      </c>
      <c r="D2201" s="4" t="s">
        <v>316</v>
      </c>
      <c r="E2201" s="4" t="s">
        <v>317</v>
      </c>
    </row>
    <row r="2202" spans="1:5" ht="26" hidden="1" x14ac:dyDescent="0.15">
      <c r="A2202" s="1" t="s">
        <v>64</v>
      </c>
      <c r="B2202" s="2">
        <v>150498</v>
      </c>
      <c r="C2202" s="3">
        <v>6.4000000000000001E-2</v>
      </c>
      <c r="D2202" s="4" t="s">
        <v>316</v>
      </c>
      <c r="E2202" s="4" t="s">
        <v>317</v>
      </c>
    </row>
    <row r="2203" spans="1:5" hidden="1" x14ac:dyDescent="0.15">
      <c r="A2203" s="1" t="s">
        <v>65</v>
      </c>
      <c r="B2203" s="2">
        <v>363439</v>
      </c>
      <c r="C2203" s="3">
        <v>0.154</v>
      </c>
      <c r="D2203" s="4" t="s">
        <v>316</v>
      </c>
      <c r="E2203" s="4" t="s">
        <v>317</v>
      </c>
    </row>
    <row r="2204" spans="1:5" hidden="1" x14ac:dyDescent="0.15">
      <c r="A2204" s="1" t="s">
        <v>66</v>
      </c>
      <c r="B2204" s="2">
        <v>180623</v>
      </c>
      <c r="C2204" s="3">
        <v>7.5999999999999998E-2</v>
      </c>
      <c r="D2204" s="4" t="s">
        <v>316</v>
      </c>
      <c r="E2204" s="4" t="s">
        <v>317</v>
      </c>
    </row>
    <row r="2205" spans="1:5" hidden="1" x14ac:dyDescent="0.15">
      <c r="A2205" s="1" t="s">
        <v>67</v>
      </c>
      <c r="B2205" s="2">
        <v>720933</v>
      </c>
      <c r="C2205" s="3">
        <v>0.30499999999999999</v>
      </c>
      <c r="D2205" s="4" t="s">
        <v>316</v>
      </c>
      <c r="E2205" s="4" t="s">
        <v>317</v>
      </c>
    </row>
    <row r="2206" spans="1:5" hidden="1" x14ac:dyDescent="0.15">
      <c r="A2206" s="1" t="s">
        <v>68</v>
      </c>
      <c r="B2206" s="2">
        <v>793292</v>
      </c>
      <c r="C2206" s="3">
        <v>0.33600000000000002</v>
      </c>
      <c r="D2206" s="4" t="s">
        <v>316</v>
      </c>
      <c r="E2206" s="4" t="s">
        <v>317</v>
      </c>
    </row>
    <row r="2207" spans="1:5" hidden="1" x14ac:dyDescent="0.15">
      <c r="A2207" s="1" t="s">
        <v>69</v>
      </c>
      <c r="B2207" s="2">
        <v>1312574</v>
      </c>
      <c r="C2207" s="3">
        <v>0.55600000000000005</v>
      </c>
      <c r="D2207" s="4" t="s">
        <v>316</v>
      </c>
      <c r="E2207" s="4" t="s">
        <v>317</v>
      </c>
    </row>
    <row r="2208" spans="1:5" hidden="1" x14ac:dyDescent="0.15">
      <c r="A2208" s="1" t="s">
        <v>70</v>
      </c>
      <c r="B2208" s="2">
        <v>561157</v>
      </c>
      <c r="C2208" s="3">
        <v>0.23800000000000002</v>
      </c>
      <c r="D2208" s="4" t="s">
        <v>316</v>
      </c>
      <c r="E2208" s="4" t="s">
        <v>317</v>
      </c>
    </row>
    <row r="2209" spans="1:5" ht="26" hidden="1" x14ac:dyDescent="0.15">
      <c r="A2209" s="1" t="s">
        <v>71</v>
      </c>
      <c r="B2209" s="2">
        <v>154953</v>
      </c>
      <c r="C2209" s="3">
        <v>6.6000000000000003E-2</v>
      </c>
      <c r="D2209" s="4" t="s">
        <v>316</v>
      </c>
      <c r="E2209" s="4" t="s">
        <v>317</v>
      </c>
    </row>
    <row r="2210" spans="1:5" hidden="1" x14ac:dyDescent="0.15">
      <c r="A2210" s="1" t="s">
        <v>72</v>
      </c>
      <c r="B2210" s="2">
        <v>294151</v>
      </c>
      <c r="C2210" s="3">
        <v>0.125</v>
      </c>
      <c r="D2210" s="4" t="s">
        <v>316</v>
      </c>
      <c r="E2210" s="4" t="s">
        <v>317</v>
      </c>
    </row>
    <row r="2211" spans="1:5" hidden="1" x14ac:dyDescent="0.15">
      <c r="A2211" s="1" t="s">
        <v>73</v>
      </c>
      <c r="B2211" s="2">
        <v>1317308</v>
      </c>
      <c r="C2211" s="3">
        <v>0.55799999999999994</v>
      </c>
      <c r="D2211" s="4" t="s">
        <v>316</v>
      </c>
      <c r="E2211" s="4" t="s">
        <v>317</v>
      </c>
    </row>
    <row r="2212" spans="1:5" hidden="1" x14ac:dyDescent="0.15">
      <c r="A2212" s="1" t="s">
        <v>74</v>
      </c>
      <c r="B2212" s="2">
        <v>572576</v>
      </c>
      <c r="C2212" s="3">
        <v>0.24199999999999999</v>
      </c>
      <c r="D2212" s="4" t="s">
        <v>316</v>
      </c>
      <c r="E2212" s="4" t="s">
        <v>317</v>
      </c>
    </row>
    <row r="2213" spans="1:5" hidden="1" x14ac:dyDescent="0.15">
      <c r="A2213" s="1" t="s">
        <v>75</v>
      </c>
      <c r="B2213" s="2">
        <v>471583</v>
      </c>
      <c r="C2213" s="3">
        <v>0.2</v>
      </c>
      <c r="D2213" s="4" t="s">
        <v>316</v>
      </c>
      <c r="E2213" s="4" t="s">
        <v>317</v>
      </c>
    </row>
    <row r="2214" spans="1:5" hidden="1" x14ac:dyDescent="0.15">
      <c r="A2214" s="1" t="s">
        <v>76</v>
      </c>
      <c r="B2214" s="2">
        <v>336491</v>
      </c>
      <c r="C2214" s="3">
        <v>0.14199999999999999</v>
      </c>
      <c r="D2214" s="4" t="s">
        <v>316</v>
      </c>
      <c r="E2214" s="4" t="s">
        <v>317</v>
      </c>
    </row>
    <row r="2215" spans="1:5" hidden="1" x14ac:dyDescent="0.15">
      <c r="A2215" s="1" t="s">
        <v>77</v>
      </c>
      <c r="B2215" s="2">
        <v>269911</v>
      </c>
      <c r="C2215" s="3">
        <v>0.114</v>
      </c>
      <c r="D2215" s="4" t="s">
        <v>316</v>
      </c>
      <c r="E2215" s="4" t="s">
        <v>317</v>
      </c>
    </row>
    <row r="2216" spans="1:5" ht="26" hidden="1" x14ac:dyDescent="0.15">
      <c r="A2216" s="1" t="s">
        <v>78</v>
      </c>
      <c r="B2216" s="2">
        <v>257206</v>
      </c>
      <c r="C2216" s="3">
        <v>0.109</v>
      </c>
      <c r="D2216" s="4" t="s">
        <v>316</v>
      </c>
      <c r="E2216" s="4" t="s">
        <v>317</v>
      </c>
    </row>
    <row r="2217" spans="1:5" hidden="1" x14ac:dyDescent="0.15">
      <c r="A2217" s="1" t="s">
        <v>79</v>
      </c>
      <c r="B2217" s="2">
        <v>425073</v>
      </c>
      <c r="C2217" s="3">
        <v>0.18</v>
      </c>
      <c r="D2217" s="4" t="s">
        <v>316</v>
      </c>
      <c r="E2217" s="4" t="s">
        <v>317</v>
      </c>
    </row>
    <row r="2218" spans="1:5" hidden="1" x14ac:dyDescent="0.15">
      <c r="A2218" s="1" t="s">
        <v>80</v>
      </c>
      <c r="B2218" s="2">
        <v>349439</v>
      </c>
      <c r="C2218" s="3">
        <v>0.14800000000000002</v>
      </c>
      <c r="D2218" s="4" t="s">
        <v>316</v>
      </c>
      <c r="E2218" s="4" t="s">
        <v>317</v>
      </c>
    </row>
    <row r="2219" spans="1:5" ht="26" hidden="1" x14ac:dyDescent="0.15">
      <c r="A2219" s="1" t="s">
        <v>81</v>
      </c>
      <c r="B2219" s="2">
        <v>497446</v>
      </c>
      <c r="C2219" s="3">
        <v>0.21100000000000002</v>
      </c>
      <c r="D2219" s="4" t="s">
        <v>316</v>
      </c>
      <c r="E2219" s="4" t="s">
        <v>317</v>
      </c>
    </row>
    <row r="2220" spans="1:5" hidden="1" x14ac:dyDescent="0.15">
      <c r="A2220" s="1" t="s">
        <v>82</v>
      </c>
      <c r="B2220" s="2">
        <v>378067</v>
      </c>
      <c r="C2220" s="3">
        <v>0.16</v>
      </c>
      <c r="D2220" s="4" t="s">
        <v>316</v>
      </c>
      <c r="E2220" s="4" t="s">
        <v>317</v>
      </c>
    </row>
    <row r="2221" spans="1:5" hidden="1" x14ac:dyDescent="0.15">
      <c r="A2221" s="4"/>
      <c r="B2221" s="4"/>
      <c r="C2221" s="4"/>
      <c r="D2221" s="4" t="s">
        <v>316</v>
      </c>
      <c r="E2221" s="4" t="s">
        <v>317</v>
      </c>
    </row>
    <row r="2222" spans="1:5" hidden="1" x14ac:dyDescent="0.15">
      <c r="A2222" s="5"/>
      <c r="B2222" s="5"/>
      <c r="C2222" s="5"/>
      <c r="D2222" s="4" t="s">
        <v>316</v>
      </c>
      <c r="E2222" s="4" t="s">
        <v>317</v>
      </c>
    </row>
    <row r="2223" spans="1:5" hidden="1" x14ac:dyDescent="0.15">
      <c r="A2223" s="1" t="s">
        <v>308</v>
      </c>
      <c r="B2223" s="2">
        <v>386389</v>
      </c>
      <c r="C2223" s="3">
        <v>0.16399999999999998</v>
      </c>
      <c r="D2223" s="4" t="s">
        <v>316</v>
      </c>
      <c r="E2223" s="4" t="s">
        <v>317</v>
      </c>
    </row>
    <row r="2224" spans="1:5" hidden="1" x14ac:dyDescent="0.15">
      <c r="A2224" s="4"/>
      <c r="B2224" s="4"/>
      <c r="C2224" s="4"/>
      <c r="D2224" s="4" t="s">
        <v>316</v>
      </c>
      <c r="E2224" s="4" t="s">
        <v>317</v>
      </c>
    </row>
    <row r="2225" spans="1:5" hidden="1" x14ac:dyDescent="0.15">
      <c r="A2225" s="5"/>
      <c r="B2225" s="5"/>
      <c r="C2225" s="5"/>
      <c r="D2225" s="4" t="s">
        <v>316</v>
      </c>
      <c r="E2225" s="4" t="s">
        <v>317</v>
      </c>
    </row>
    <row r="2226" spans="1:5" ht="26" hidden="1" x14ac:dyDescent="0.15">
      <c r="A2226" s="1" t="s">
        <v>318</v>
      </c>
      <c r="B2226" s="2">
        <v>165159</v>
      </c>
      <c r="C2226" s="3">
        <v>7.0000000000000007E-2</v>
      </c>
      <c r="D2226" s="4" t="s">
        <v>316</v>
      </c>
      <c r="E2226" s="4" t="s">
        <v>317</v>
      </c>
    </row>
    <row r="2227" spans="1:5" hidden="1" x14ac:dyDescent="0.15">
      <c r="A2227" s="4"/>
      <c r="B2227" s="4"/>
      <c r="C2227" s="4"/>
      <c r="D2227" s="4" t="s">
        <v>316</v>
      </c>
      <c r="E2227" s="4" t="s">
        <v>317</v>
      </c>
    </row>
    <row r="2228" spans="1:5" hidden="1" x14ac:dyDescent="0.15">
      <c r="A2228" s="5"/>
      <c r="B2228" s="5"/>
      <c r="C2228" s="5"/>
      <c r="D2228" s="4" t="s">
        <v>316</v>
      </c>
      <c r="E2228" s="4" t="s">
        <v>317</v>
      </c>
    </row>
    <row r="2229" spans="1:5" ht="26" hidden="1" x14ac:dyDescent="0.15">
      <c r="A2229" s="1" t="s">
        <v>310</v>
      </c>
      <c r="B2229" s="2">
        <v>727277</v>
      </c>
      <c r="C2229" s="3">
        <v>0.308</v>
      </c>
      <c r="D2229" s="4" t="s">
        <v>316</v>
      </c>
      <c r="E2229" s="4" t="s">
        <v>317</v>
      </c>
    </row>
    <row r="2230" spans="1:5" ht="26" hidden="1" x14ac:dyDescent="0.15">
      <c r="A2230" s="1" t="s">
        <v>139</v>
      </c>
      <c r="B2230" s="2">
        <v>442760</v>
      </c>
      <c r="C2230" s="3">
        <v>0.187</v>
      </c>
      <c r="D2230" s="4" t="s">
        <v>316</v>
      </c>
      <c r="E2230" s="4" t="s">
        <v>317</v>
      </c>
    </row>
    <row r="2231" spans="1:5" hidden="1" x14ac:dyDescent="0.15">
      <c r="A2231" s="4"/>
      <c r="B2231" s="4"/>
      <c r="C2231" s="4"/>
      <c r="D2231" s="4" t="s">
        <v>316</v>
      </c>
      <c r="E2231" s="4" t="s">
        <v>317</v>
      </c>
    </row>
    <row r="2232" spans="1:5" hidden="1" x14ac:dyDescent="0.15">
      <c r="A2232" s="5"/>
      <c r="B2232" s="5"/>
      <c r="C2232" s="5"/>
      <c r="D2232" s="4" t="s">
        <v>316</v>
      </c>
      <c r="E2232" s="4" t="s">
        <v>317</v>
      </c>
    </row>
    <row r="2233" spans="1:5" ht="26" hidden="1" x14ac:dyDescent="0.15">
      <c r="A2233" s="1" t="s">
        <v>319</v>
      </c>
      <c r="B2233" s="2">
        <v>412854</v>
      </c>
      <c r="C2233" s="3">
        <v>0.17499999999999999</v>
      </c>
      <c r="D2233" s="4" t="s">
        <v>316</v>
      </c>
      <c r="E2233" s="4" t="s">
        <v>317</v>
      </c>
    </row>
    <row r="2234" spans="1:5" hidden="1" x14ac:dyDescent="0.15">
      <c r="A2234" s="4"/>
      <c r="B2234" s="4"/>
      <c r="C2234" s="4"/>
      <c r="D2234" s="4" t="s">
        <v>316</v>
      </c>
      <c r="E2234" s="4" t="s">
        <v>317</v>
      </c>
    </row>
    <row r="2235" spans="1:5" hidden="1" x14ac:dyDescent="0.15">
      <c r="A2235" s="5"/>
      <c r="B2235" s="5"/>
      <c r="C2235" s="5"/>
      <c r="D2235" s="4" t="s">
        <v>316</v>
      </c>
      <c r="E2235" s="4" t="s">
        <v>317</v>
      </c>
    </row>
    <row r="2236" spans="1:5" ht="26" hidden="1" x14ac:dyDescent="0.15">
      <c r="A2236" s="1" t="s">
        <v>320</v>
      </c>
      <c r="B2236" s="2">
        <v>658182</v>
      </c>
      <c r="C2236" s="3">
        <v>0.27899999999999997</v>
      </c>
      <c r="D2236" s="4" t="s">
        <v>316</v>
      </c>
      <c r="E2236" s="4" t="s">
        <v>317</v>
      </c>
    </row>
    <row r="2237" spans="1:5" hidden="1" x14ac:dyDescent="0.15">
      <c r="A2237" s="1" t="s">
        <v>321</v>
      </c>
      <c r="B2237" s="2">
        <v>416932</v>
      </c>
      <c r="C2237" s="3">
        <v>0.17699999999999999</v>
      </c>
      <c r="D2237" s="4" t="s">
        <v>316</v>
      </c>
      <c r="E2237" s="4" t="s">
        <v>317</v>
      </c>
    </row>
    <row r="2238" spans="1:5" ht="26" hidden="1" x14ac:dyDescent="0.15">
      <c r="A2238" s="1" t="s">
        <v>322</v>
      </c>
      <c r="B2238" s="2">
        <v>143677</v>
      </c>
      <c r="C2238" s="3">
        <v>6.0999999999999999E-2</v>
      </c>
      <c r="D2238" s="4" t="s">
        <v>316</v>
      </c>
      <c r="E2238" s="4" t="s">
        <v>317</v>
      </c>
    </row>
    <row r="2239" spans="1:5" ht="26" hidden="1" x14ac:dyDescent="0.15">
      <c r="A2239" s="1" t="s">
        <v>323</v>
      </c>
      <c r="B2239" s="2">
        <v>216661</v>
      </c>
      <c r="C2239" s="3">
        <v>9.1999999999999998E-2</v>
      </c>
      <c r="D2239" s="4" t="s">
        <v>316</v>
      </c>
      <c r="E2239" s="4" t="s">
        <v>317</v>
      </c>
    </row>
    <row r="2240" spans="1:5" ht="26" hidden="1" x14ac:dyDescent="0.15">
      <c r="A2240" s="1" t="s">
        <v>324</v>
      </c>
      <c r="B2240" s="2">
        <v>53392</v>
      </c>
      <c r="C2240" s="3">
        <v>2.3E-2</v>
      </c>
      <c r="D2240" s="4" t="s">
        <v>316</v>
      </c>
      <c r="E2240" s="4" t="s">
        <v>317</v>
      </c>
    </row>
    <row r="2241" spans="1:5" ht="26" hidden="1" x14ac:dyDescent="0.15">
      <c r="A2241" s="1" t="s">
        <v>325</v>
      </c>
      <c r="B2241" s="2">
        <v>693760</v>
      </c>
      <c r="C2241" s="3">
        <v>0.29399999999999998</v>
      </c>
      <c r="D2241" s="4" t="s">
        <v>316</v>
      </c>
      <c r="E2241" s="4" t="s">
        <v>317</v>
      </c>
    </row>
    <row r="2242" spans="1:5" ht="26" hidden="1" x14ac:dyDescent="0.15">
      <c r="A2242" s="1" t="s">
        <v>326</v>
      </c>
      <c r="B2242" s="2">
        <v>612139</v>
      </c>
      <c r="C2242" s="3">
        <v>0.25900000000000001</v>
      </c>
      <c r="D2242" s="4" t="s">
        <v>316</v>
      </c>
      <c r="E2242" s="4" t="s">
        <v>317</v>
      </c>
    </row>
    <row r="2243" spans="1:5" ht="26" hidden="1" x14ac:dyDescent="0.15">
      <c r="A2243" s="1" t="s">
        <v>327</v>
      </c>
      <c r="B2243" s="2">
        <v>880447</v>
      </c>
      <c r="C2243" s="3">
        <v>0.373</v>
      </c>
      <c r="D2243" s="4" t="s">
        <v>316</v>
      </c>
      <c r="E2243" s="4" t="s">
        <v>317</v>
      </c>
    </row>
    <row r="2244" spans="1:5" hidden="1" x14ac:dyDescent="0.15">
      <c r="A2244" s="1" t="s">
        <v>328</v>
      </c>
      <c r="B2244" s="2">
        <v>664847</v>
      </c>
      <c r="C2244" s="3">
        <v>0.28199999999999997</v>
      </c>
      <c r="D2244" s="4" t="s">
        <v>316</v>
      </c>
      <c r="E2244" s="4" t="s">
        <v>317</v>
      </c>
    </row>
    <row r="2245" spans="1:5" ht="39" hidden="1" x14ac:dyDescent="0.15">
      <c r="A2245" s="1" t="s">
        <v>329</v>
      </c>
      <c r="B2245" s="2">
        <v>249379</v>
      </c>
      <c r="C2245" s="3">
        <v>0.106</v>
      </c>
      <c r="D2245" s="4" t="s">
        <v>316</v>
      </c>
      <c r="E2245" s="4" t="s">
        <v>317</v>
      </c>
    </row>
    <row r="2246" spans="1:5" ht="26" hidden="1" x14ac:dyDescent="0.15">
      <c r="A2246" s="1" t="s">
        <v>330</v>
      </c>
      <c r="B2246" s="2">
        <v>201165</v>
      </c>
      <c r="C2246" s="3">
        <v>8.5000000000000006E-2</v>
      </c>
      <c r="D2246" s="4" t="s">
        <v>316</v>
      </c>
      <c r="E2246" s="4" t="s">
        <v>317</v>
      </c>
    </row>
    <row r="2247" spans="1:5" hidden="1" x14ac:dyDescent="0.15">
      <c r="A2247" s="1" t="s">
        <v>0</v>
      </c>
      <c r="B2247" s="2">
        <v>2442901</v>
      </c>
      <c r="C2247" s="3">
        <v>1</v>
      </c>
      <c r="D2247" s="4" t="s">
        <v>331</v>
      </c>
      <c r="E2247" s="4" t="s">
        <v>332</v>
      </c>
    </row>
    <row r="2248" spans="1:5" ht="26" hidden="1" x14ac:dyDescent="0.15">
      <c r="A2248" s="1" t="s">
        <v>3</v>
      </c>
      <c r="B2248" s="2">
        <v>39201</v>
      </c>
      <c r="C2248" s="3">
        <v>1.6E-2</v>
      </c>
      <c r="D2248" s="4" t="s">
        <v>331</v>
      </c>
      <c r="E2248" s="4" t="s">
        <v>332</v>
      </c>
    </row>
    <row r="2249" spans="1:5" hidden="1" x14ac:dyDescent="0.15">
      <c r="A2249" s="1" t="s">
        <v>4</v>
      </c>
      <c r="B2249" s="2">
        <v>14691</v>
      </c>
      <c r="C2249" s="3">
        <v>6.0000000000000001E-3</v>
      </c>
      <c r="D2249" s="4" t="s">
        <v>331</v>
      </c>
      <c r="E2249" s="4" t="s">
        <v>332</v>
      </c>
    </row>
    <row r="2250" spans="1:5" ht="26" hidden="1" x14ac:dyDescent="0.15">
      <c r="A2250" s="1" t="s">
        <v>5</v>
      </c>
      <c r="B2250" s="2">
        <v>80624</v>
      </c>
      <c r="C2250" s="3">
        <v>3.3000000000000002E-2</v>
      </c>
      <c r="D2250" s="4" t="s">
        <v>331</v>
      </c>
      <c r="E2250" s="4" t="s">
        <v>332</v>
      </c>
    </row>
    <row r="2251" spans="1:5" ht="26" hidden="1" x14ac:dyDescent="0.15">
      <c r="A2251" s="1" t="s">
        <v>6</v>
      </c>
      <c r="B2251" s="2">
        <v>134178</v>
      </c>
      <c r="C2251" s="3">
        <v>5.5E-2</v>
      </c>
      <c r="D2251" s="4" t="s">
        <v>331</v>
      </c>
      <c r="E2251" s="4" t="s">
        <v>332</v>
      </c>
    </row>
    <row r="2252" spans="1:5" ht="26" hidden="1" x14ac:dyDescent="0.15">
      <c r="A2252" s="1" t="s">
        <v>7</v>
      </c>
      <c r="B2252" s="2">
        <v>455567</v>
      </c>
      <c r="C2252" s="3">
        <v>0.18600000000000003</v>
      </c>
      <c r="D2252" s="4" t="s">
        <v>331</v>
      </c>
      <c r="E2252" s="4" t="s">
        <v>332</v>
      </c>
    </row>
    <row r="2253" spans="1:5" ht="26" hidden="1" x14ac:dyDescent="0.15">
      <c r="A2253" s="1" t="s">
        <v>8</v>
      </c>
      <c r="B2253" s="2">
        <v>24720</v>
      </c>
      <c r="C2253" s="3">
        <v>0.01</v>
      </c>
      <c r="D2253" s="4" t="s">
        <v>331</v>
      </c>
      <c r="E2253" s="4" t="s">
        <v>332</v>
      </c>
    </row>
    <row r="2254" spans="1:5" ht="26" hidden="1" x14ac:dyDescent="0.15">
      <c r="A2254" s="1" t="s">
        <v>9</v>
      </c>
      <c r="B2254" s="2">
        <v>72947</v>
      </c>
      <c r="C2254" s="3">
        <v>0.03</v>
      </c>
      <c r="D2254" s="4" t="s">
        <v>331</v>
      </c>
      <c r="E2254" s="4" t="s">
        <v>332</v>
      </c>
    </row>
    <row r="2255" spans="1:5" ht="26" hidden="1" x14ac:dyDescent="0.15">
      <c r="A2255" s="1" t="s">
        <v>10</v>
      </c>
      <c r="B2255" s="2">
        <v>55542</v>
      </c>
      <c r="C2255" s="3">
        <v>2.3E-2</v>
      </c>
      <c r="D2255" s="4" t="s">
        <v>331</v>
      </c>
      <c r="E2255" s="4" t="s">
        <v>332</v>
      </c>
    </row>
    <row r="2256" spans="1:5" ht="26" hidden="1" x14ac:dyDescent="0.15">
      <c r="A2256" s="1" t="s">
        <v>11</v>
      </c>
      <c r="B2256" s="2">
        <v>151299</v>
      </c>
      <c r="C2256" s="3">
        <v>6.2E-2</v>
      </c>
      <c r="D2256" s="4" t="s">
        <v>331</v>
      </c>
      <c r="E2256" s="4" t="s">
        <v>332</v>
      </c>
    </row>
    <row r="2257" spans="1:5" ht="26" hidden="1" x14ac:dyDescent="0.15">
      <c r="A2257" s="1" t="s">
        <v>12</v>
      </c>
      <c r="B2257" s="2">
        <v>49043</v>
      </c>
      <c r="C2257" s="3">
        <v>0.02</v>
      </c>
      <c r="D2257" s="4" t="s">
        <v>331</v>
      </c>
      <c r="E2257" s="4" t="s">
        <v>332</v>
      </c>
    </row>
    <row r="2258" spans="1:5" ht="26" hidden="1" x14ac:dyDescent="0.15">
      <c r="A2258" s="1" t="s">
        <v>13</v>
      </c>
      <c r="B2258" s="2">
        <v>32364</v>
      </c>
      <c r="C2258" s="3">
        <v>1.3000000000000001E-2</v>
      </c>
      <c r="D2258" s="4" t="s">
        <v>331</v>
      </c>
      <c r="E2258" s="4" t="s">
        <v>332</v>
      </c>
    </row>
    <row r="2259" spans="1:5" hidden="1" x14ac:dyDescent="0.15">
      <c r="A2259" s="1" t="s">
        <v>14</v>
      </c>
      <c r="B2259" s="2">
        <v>140603</v>
      </c>
      <c r="C2259" s="3">
        <v>5.7999999999999996E-2</v>
      </c>
      <c r="D2259" s="4" t="s">
        <v>331</v>
      </c>
      <c r="E2259" s="4" t="s">
        <v>332</v>
      </c>
    </row>
    <row r="2260" spans="1:5" ht="26" hidden="1" x14ac:dyDescent="0.15">
      <c r="A2260" s="1" t="s">
        <v>15</v>
      </c>
      <c r="B2260" s="2">
        <v>111056</v>
      </c>
      <c r="C2260" s="3">
        <v>4.4999999999999998E-2</v>
      </c>
      <c r="D2260" s="4" t="s">
        <v>331</v>
      </c>
      <c r="E2260" s="4" t="s">
        <v>332</v>
      </c>
    </row>
    <row r="2261" spans="1:5" ht="26" hidden="1" x14ac:dyDescent="0.15">
      <c r="A2261" s="1" t="s">
        <v>16</v>
      </c>
      <c r="B2261" s="2">
        <v>76604</v>
      </c>
      <c r="C2261" s="3">
        <v>3.1E-2</v>
      </c>
      <c r="D2261" s="4" t="s">
        <v>331</v>
      </c>
      <c r="E2261" s="4" t="s">
        <v>332</v>
      </c>
    </row>
    <row r="2262" spans="1:5" ht="26" hidden="1" x14ac:dyDescent="0.15">
      <c r="A2262" s="1" t="s">
        <v>17</v>
      </c>
      <c r="B2262" s="2">
        <v>52257</v>
      </c>
      <c r="C2262" s="3">
        <v>2.1000000000000001E-2</v>
      </c>
      <c r="D2262" s="4" t="s">
        <v>331</v>
      </c>
      <c r="E2262" s="4" t="s">
        <v>332</v>
      </c>
    </row>
    <row r="2263" spans="1:5" hidden="1" x14ac:dyDescent="0.15">
      <c r="A2263" s="1" t="s">
        <v>18</v>
      </c>
      <c r="B2263" s="2">
        <v>54462</v>
      </c>
      <c r="C2263" s="3">
        <v>2.2000000000000002E-2</v>
      </c>
      <c r="D2263" s="4" t="s">
        <v>331</v>
      </c>
      <c r="E2263" s="4" t="s">
        <v>332</v>
      </c>
    </row>
    <row r="2264" spans="1:5" hidden="1" x14ac:dyDescent="0.15">
      <c r="A2264" s="1" t="s">
        <v>19</v>
      </c>
      <c r="B2264" s="2">
        <v>190412</v>
      </c>
      <c r="C2264" s="3">
        <v>7.8E-2</v>
      </c>
      <c r="D2264" s="4" t="s">
        <v>331</v>
      </c>
      <c r="E2264" s="4" t="s">
        <v>332</v>
      </c>
    </row>
    <row r="2265" spans="1:5" hidden="1" x14ac:dyDescent="0.15">
      <c r="A2265" s="1" t="s">
        <v>20</v>
      </c>
      <c r="B2265" s="2">
        <v>97591</v>
      </c>
      <c r="C2265" s="3">
        <v>0.04</v>
      </c>
      <c r="D2265" s="4" t="s">
        <v>331</v>
      </c>
      <c r="E2265" s="4" t="s">
        <v>332</v>
      </c>
    </row>
    <row r="2266" spans="1:5" ht="26" hidden="1" x14ac:dyDescent="0.15">
      <c r="A2266" s="1" t="s">
        <v>21</v>
      </c>
      <c r="B2266" s="2">
        <v>62885</v>
      </c>
      <c r="C2266" s="3">
        <v>2.6000000000000002E-2</v>
      </c>
      <c r="D2266" s="4" t="s">
        <v>331</v>
      </c>
      <c r="E2266" s="4" t="s">
        <v>332</v>
      </c>
    </row>
    <row r="2267" spans="1:5" ht="26" hidden="1" x14ac:dyDescent="0.15">
      <c r="A2267" s="1" t="s">
        <v>22</v>
      </c>
      <c r="B2267" s="2">
        <v>50293</v>
      </c>
      <c r="C2267" s="3">
        <v>2.1000000000000001E-2</v>
      </c>
      <c r="D2267" s="4" t="s">
        <v>331</v>
      </c>
      <c r="E2267" s="4" t="s">
        <v>332</v>
      </c>
    </row>
    <row r="2268" spans="1:5" ht="26" hidden="1" x14ac:dyDescent="0.15">
      <c r="A2268" s="1" t="s">
        <v>23</v>
      </c>
      <c r="B2268" s="2">
        <v>17607</v>
      </c>
      <c r="C2268" s="3">
        <v>6.9999999999999993E-3</v>
      </c>
      <c r="D2268" s="4" t="s">
        <v>331</v>
      </c>
      <c r="E2268" s="4" t="s">
        <v>332</v>
      </c>
    </row>
    <row r="2269" spans="1:5" ht="26" hidden="1" x14ac:dyDescent="0.15">
      <c r="A2269" s="1" t="s">
        <v>24</v>
      </c>
      <c r="B2269" s="2">
        <v>19687</v>
      </c>
      <c r="C2269" s="3">
        <v>8.0000000000000002E-3</v>
      </c>
      <c r="D2269" s="4" t="s">
        <v>331</v>
      </c>
      <c r="E2269" s="4" t="s">
        <v>332</v>
      </c>
    </row>
    <row r="2270" spans="1:5" ht="26" hidden="1" x14ac:dyDescent="0.15">
      <c r="A2270" s="1" t="s">
        <v>25</v>
      </c>
      <c r="B2270" s="2">
        <v>68462</v>
      </c>
      <c r="C2270" s="3">
        <v>2.7999999999999997E-2</v>
      </c>
      <c r="D2270" s="4" t="s">
        <v>331</v>
      </c>
      <c r="E2270" s="4" t="s">
        <v>332</v>
      </c>
    </row>
    <row r="2271" spans="1:5" hidden="1" x14ac:dyDescent="0.15">
      <c r="A2271" s="1" t="s">
        <v>26</v>
      </c>
      <c r="B2271" s="2">
        <v>28798</v>
      </c>
      <c r="C2271" s="3">
        <v>1.2E-2</v>
      </c>
      <c r="D2271" s="4" t="s">
        <v>331</v>
      </c>
      <c r="E2271" s="4" t="s">
        <v>332</v>
      </c>
    </row>
    <row r="2272" spans="1:5" hidden="1" x14ac:dyDescent="0.15">
      <c r="A2272" s="1" t="s">
        <v>27</v>
      </c>
      <c r="B2272" s="2">
        <v>161811</v>
      </c>
      <c r="C2272" s="3">
        <v>6.6000000000000003E-2</v>
      </c>
      <c r="D2272" s="4" t="s">
        <v>331</v>
      </c>
      <c r="E2272" s="4" t="s">
        <v>332</v>
      </c>
    </row>
    <row r="2273" spans="1:5" hidden="1" x14ac:dyDescent="0.15">
      <c r="A2273" s="1" t="s">
        <v>28</v>
      </c>
      <c r="B2273" s="2">
        <v>299496</v>
      </c>
      <c r="C2273" s="3">
        <v>0.12300000000000001</v>
      </c>
      <c r="D2273" s="4" t="s">
        <v>331</v>
      </c>
      <c r="E2273" s="4" t="s">
        <v>332</v>
      </c>
    </row>
    <row r="2274" spans="1:5" hidden="1" x14ac:dyDescent="0.15">
      <c r="A2274" s="1" t="s">
        <v>29</v>
      </c>
      <c r="B2274" s="2">
        <v>500237</v>
      </c>
      <c r="C2274" s="3">
        <v>0.20499999999999999</v>
      </c>
      <c r="D2274" s="4" t="s">
        <v>331</v>
      </c>
      <c r="E2274" s="4" t="s">
        <v>332</v>
      </c>
    </row>
    <row r="2275" spans="1:5" hidden="1" x14ac:dyDescent="0.15">
      <c r="A2275" s="1" t="s">
        <v>30</v>
      </c>
      <c r="B2275" s="2">
        <v>64876</v>
      </c>
      <c r="C2275" s="3">
        <v>2.7000000000000003E-2</v>
      </c>
      <c r="D2275" s="4" t="s">
        <v>331</v>
      </c>
      <c r="E2275" s="4" t="s">
        <v>332</v>
      </c>
    </row>
    <row r="2276" spans="1:5" ht="39" hidden="1" x14ac:dyDescent="0.15">
      <c r="A2276" s="1" t="s">
        <v>31</v>
      </c>
      <c r="B2276" s="2">
        <v>13175</v>
      </c>
      <c r="C2276" s="3">
        <v>5.0000000000000001E-3</v>
      </c>
      <c r="D2276" s="4" t="s">
        <v>331</v>
      </c>
      <c r="E2276" s="4" t="s">
        <v>332</v>
      </c>
    </row>
    <row r="2277" spans="1:5" hidden="1" x14ac:dyDescent="0.15">
      <c r="A2277" s="1" t="s">
        <v>32</v>
      </c>
      <c r="B2277" s="2">
        <v>100640</v>
      </c>
      <c r="C2277" s="3">
        <v>4.0999999999999995E-2</v>
      </c>
      <c r="D2277" s="4" t="s">
        <v>331</v>
      </c>
      <c r="E2277" s="4" t="s">
        <v>332</v>
      </c>
    </row>
    <row r="2278" spans="1:5" hidden="1" x14ac:dyDescent="0.15">
      <c r="A2278" s="1" t="s">
        <v>33</v>
      </c>
      <c r="B2278" s="2">
        <v>588933</v>
      </c>
      <c r="C2278" s="3">
        <v>0.24100000000000002</v>
      </c>
      <c r="D2278" s="4" t="s">
        <v>331</v>
      </c>
      <c r="E2278" s="4" t="s">
        <v>332</v>
      </c>
    </row>
    <row r="2279" spans="1:5" hidden="1" x14ac:dyDescent="0.15">
      <c r="A2279" s="1" t="s">
        <v>34</v>
      </c>
      <c r="B2279" s="2">
        <v>161224</v>
      </c>
      <c r="C2279" s="3">
        <v>6.6000000000000003E-2</v>
      </c>
      <c r="D2279" s="4" t="s">
        <v>331</v>
      </c>
      <c r="E2279" s="4" t="s">
        <v>332</v>
      </c>
    </row>
    <row r="2280" spans="1:5" hidden="1" x14ac:dyDescent="0.15">
      <c r="A2280" s="1" t="s">
        <v>35</v>
      </c>
      <c r="B2280" s="2">
        <v>86550</v>
      </c>
      <c r="C2280" s="3">
        <v>3.5000000000000003E-2</v>
      </c>
      <c r="D2280" s="4" t="s">
        <v>331</v>
      </c>
      <c r="E2280" s="4" t="s">
        <v>332</v>
      </c>
    </row>
    <row r="2281" spans="1:5" ht="26" hidden="1" x14ac:dyDescent="0.15">
      <c r="A2281" s="1" t="s">
        <v>36</v>
      </c>
      <c r="B2281" s="2">
        <v>87777</v>
      </c>
      <c r="C2281" s="3">
        <v>3.6000000000000004E-2</v>
      </c>
      <c r="D2281" s="4" t="s">
        <v>331</v>
      </c>
      <c r="E2281" s="4" t="s">
        <v>332</v>
      </c>
    </row>
    <row r="2282" spans="1:5" hidden="1" x14ac:dyDescent="0.15">
      <c r="A2282" s="1" t="s">
        <v>37</v>
      </c>
      <c r="B2282" s="2">
        <v>87674</v>
      </c>
      <c r="C2282" s="3">
        <v>3.6000000000000004E-2</v>
      </c>
      <c r="D2282" s="4" t="s">
        <v>331</v>
      </c>
      <c r="E2282" s="4" t="s">
        <v>332</v>
      </c>
    </row>
    <row r="2283" spans="1:5" ht="39" hidden="1" x14ac:dyDescent="0.15">
      <c r="A2283" s="1" t="s">
        <v>38</v>
      </c>
      <c r="B2283" s="2">
        <v>53730</v>
      </c>
      <c r="C2283" s="3">
        <v>2.2000000000000002E-2</v>
      </c>
      <c r="D2283" s="4" t="s">
        <v>331</v>
      </c>
      <c r="E2283" s="4" t="s">
        <v>332</v>
      </c>
    </row>
    <row r="2284" spans="1:5" hidden="1" x14ac:dyDescent="0.15">
      <c r="A2284" s="1" t="s">
        <v>39</v>
      </c>
      <c r="B2284" s="2">
        <v>80915</v>
      </c>
      <c r="C2284" s="3">
        <v>3.3000000000000002E-2</v>
      </c>
      <c r="D2284" s="4" t="s">
        <v>331</v>
      </c>
      <c r="E2284" s="4" t="s">
        <v>332</v>
      </c>
    </row>
    <row r="2285" spans="1:5" hidden="1" x14ac:dyDescent="0.15">
      <c r="A2285" s="1" t="s">
        <v>40</v>
      </c>
      <c r="B2285" s="2">
        <v>41050</v>
      </c>
      <c r="C2285" s="3">
        <v>1.7000000000000001E-2</v>
      </c>
      <c r="D2285" s="4" t="s">
        <v>331</v>
      </c>
      <c r="E2285" s="4" t="s">
        <v>332</v>
      </c>
    </row>
    <row r="2286" spans="1:5" hidden="1" x14ac:dyDescent="0.15">
      <c r="A2286" s="1" t="s">
        <v>41</v>
      </c>
      <c r="B2286" s="2">
        <v>56836</v>
      </c>
      <c r="C2286" s="3">
        <v>2.3E-2</v>
      </c>
      <c r="D2286" s="4" t="s">
        <v>331</v>
      </c>
      <c r="E2286" s="4" t="s">
        <v>332</v>
      </c>
    </row>
    <row r="2287" spans="1:5" hidden="1" x14ac:dyDescent="0.15">
      <c r="A2287" s="1" t="s">
        <v>42</v>
      </c>
      <c r="B2287" s="2">
        <v>38734</v>
      </c>
      <c r="C2287" s="3">
        <v>1.6E-2</v>
      </c>
      <c r="D2287" s="4" t="s">
        <v>331</v>
      </c>
      <c r="E2287" s="4" t="s">
        <v>332</v>
      </c>
    </row>
    <row r="2288" spans="1:5" hidden="1" x14ac:dyDescent="0.15">
      <c r="A2288" s="1" t="s">
        <v>43</v>
      </c>
      <c r="B2288" s="2">
        <v>258463</v>
      </c>
      <c r="C2288" s="3">
        <v>0.106</v>
      </c>
      <c r="D2288" s="4" t="s">
        <v>331</v>
      </c>
      <c r="E2288" s="4" t="s">
        <v>332</v>
      </c>
    </row>
    <row r="2289" spans="1:5" ht="26" hidden="1" x14ac:dyDescent="0.15">
      <c r="A2289" s="1" t="s">
        <v>44</v>
      </c>
      <c r="B2289" s="2">
        <v>205823</v>
      </c>
      <c r="C2289" s="3">
        <v>8.4000000000000005E-2</v>
      </c>
      <c r="D2289" s="4" t="s">
        <v>331</v>
      </c>
      <c r="E2289" s="4" t="s">
        <v>332</v>
      </c>
    </row>
    <row r="2290" spans="1:5" hidden="1" x14ac:dyDescent="0.15">
      <c r="A2290" s="1" t="s">
        <v>45</v>
      </c>
      <c r="B2290" s="2">
        <v>432362</v>
      </c>
      <c r="C2290" s="3">
        <v>0.17699999999999999</v>
      </c>
      <c r="D2290" s="4" t="s">
        <v>331</v>
      </c>
      <c r="E2290" s="4" t="s">
        <v>332</v>
      </c>
    </row>
    <row r="2291" spans="1:5" ht="26" hidden="1" x14ac:dyDescent="0.15">
      <c r="A2291" s="1" t="s">
        <v>46</v>
      </c>
      <c r="B2291" s="2">
        <v>684285</v>
      </c>
      <c r="C2291" s="3">
        <v>0.28000000000000003</v>
      </c>
      <c r="D2291" s="4" t="s">
        <v>331</v>
      </c>
      <c r="E2291" s="4" t="s">
        <v>332</v>
      </c>
    </row>
    <row r="2292" spans="1:5" hidden="1" x14ac:dyDescent="0.15">
      <c r="A2292" s="1" t="s">
        <v>47</v>
      </c>
      <c r="B2292" s="2">
        <v>1064856</v>
      </c>
      <c r="C2292" s="3">
        <v>0.436</v>
      </c>
      <c r="D2292" s="4" t="s">
        <v>331</v>
      </c>
      <c r="E2292" s="4" t="s">
        <v>332</v>
      </c>
    </row>
    <row r="2293" spans="1:5" hidden="1" x14ac:dyDescent="0.15">
      <c r="A2293" s="1" t="s">
        <v>48</v>
      </c>
      <c r="B2293" s="2">
        <v>157588</v>
      </c>
      <c r="C2293" s="3">
        <v>6.5000000000000002E-2</v>
      </c>
      <c r="D2293" s="4" t="s">
        <v>331</v>
      </c>
      <c r="E2293" s="4" t="s">
        <v>332</v>
      </c>
    </row>
    <row r="2294" spans="1:5" hidden="1" x14ac:dyDescent="0.15">
      <c r="A2294" s="1" t="s">
        <v>49</v>
      </c>
      <c r="B2294" s="2">
        <v>366873</v>
      </c>
      <c r="C2294" s="3">
        <v>0.15</v>
      </c>
      <c r="D2294" s="4" t="s">
        <v>331</v>
      </c>
      <c r="E2294" s="4" t="s">
        <v>332</v>
      </c>
    </row>
    <row r="2295" spans="1:5" ht="26" hidden="1" x14ac:dyDescent="0.15">
      <c r="A2295" s="1" t="s">
        <v>50</v>
      </c>
      <c r="B2295" s="2">
        <v>419837</v>
      </c>
      <c r="C2295" s="3">
        <v>0.17199999999999999</v>
      </c>
      <c r="D2295" s="4" t="s">
        <v>331</v>
      </c>
      <c r="E2295" s="4" t="s">
        <v>332</v>
      </c>
    </row>
    <row r="2296" spans="1:5" hidden="1" x14ac:dyDescent="0.15">
      <c r="A2296" s="1" t="s">
        <v>51</v>
      </c>
      <c r="B2296" s="2">
        <v>817769</v>
      </c>
      <c r="C2296" s="3">
        <v>0.33500000000000002</v>
      </c>
      <c r="D2296" s="4" t="s">
        <v>331</v>
      </c>
      <c r="E2296" s="4" t="s">
        <v>332</v>
      </c>
    </row>
    <row r="2297" spans="1:5" hidden="1" x14ac:dyDescent="0.15">
      <c r="A2297" s="1" t="s">
        <v>52</v>
      </c>
      <c r="B2297" s="2">
        <v>336491</v>
      </c>
      <c r="C2297" s="3">
        <v>0.13800000000000001</v>
      </c>
      <c r="D2297" s="4" t="s">
        <v>331</v>
      </c>
      <c r="E2297" s="4" t="s">
        <v>332</v>
      </c>
    </row>
    <row r="2298" spans="1:5" ht="26" hidden="1" x14ac:dyDescent="0.15">
      <c r="A2298" s="1" t="s">
        <v>53</v>
      </c>
      <c r="B2298" s="2">
        <v>248492</v>
      </c>
      <c r="C2298" s="3">
        <v>0.10199999999999999</v>
      </c>
      <c r="D2298" s="4" t="s">
        <v>331</v>
      </c>
      <c r="E2298" s="4" t="s">
        <v>332</v>
      </c>
    </row>
    <row r="2299" spans="1:5" hidden="1" x14ac:dyDescent="0.15">
      <c r="A2299" s="1" t="s">
        <v>54</v>
      </c>
      <c r="B2299" s="2">
        <v>926313</v>
      </c>
      <c r="C2299" s="3">
        <v>0.379</v>
      </c>
      <c r="D2299" s="4" t="s">
        <v>331</v>
      </c>
      <c r="E2299" s="4" t="s">
        <v>332</v>
      </c>
    </row>
    <row r="2300" spans="1:5" ht="26" hidden="1" x14ac:dyDescent="0.15">
      <c r="A2300" s="1" t="s">
        <v>55</v>
      </c>
      <c r="B2300" s="2">
        <v>624249</v>
      </c>
      <c r="C2300" s="3">
        <v>0.25600000000000001</v>
      </c>
      <c r="D2300" s="4" t="s">
        <v>331</v>
      </c>
      <c r="E2300" s="4" t="s">
        <v>332</v>
      </c>
    </row>
    <row r="2301" spans="1:5" hidden="1" x14ac:dyDescent="0.15">
      <c r="A2301" s="1" t="s">
        <v>56</v>
      </c>
      <c r="B2301" s="2">
        <v>467952</v>
      </c>
      <c r="C2301" s="3">
        <v>0.192</v>
      </c>
      <c r="D2301" s="4" t="s">
        <v>331</v>
      </c>
      <c r="E2301" s="4" t="s">
        <v>332</v>
      </c>
    </row>
    <row r="2302" spans="1:5" hidden="1" x14ac:dyDescent="0.15">
      <c r="A2302" s="1" t="s">
        <v>57</v>
      </c>
      <c r="B2302" s="2">
        <v>401641</v>
      </c>
      <c r="C2302" s="3">
        <v>0.16399999999999998</v>
      </c>
      <c r="D2302" s="4" t="s">
        <v>331</v>
      </c>
      <c r="E2302" s="4" t="s">
        <v>332</v>
      </c>
    </row>
    <row r="2303" spans="1:5" hidden="1" x14ac:dyDescent="0.15">
      <c r="A2303" s="1" t="s">
        <v>58</v>
      </c>
      <c r="B2303" s="2">
        <v>337017</v>
      </c>
      <c r="C2303" s="3">
        <v>0.13800000000000001</v>
      </c>
      <c r="D2303" s="4" t="s">
        <v>331</v>
      </c>
      <c r="E2303" s="4" t="s">
        <v>332</v>
      </c>
    </row>
    <row r="2304" spans="1:5" hidden="1" x14ac:dyDescent="0.15">
      <c r="A2304" s="1" t="s">
        <v>59</v>
      </c>
      <c r="B2304" s="2">
        <v>812123</v>
      </c>
      <c r="C2304" s="3">
        <v>0.33200000000000002</v>
      </c>
      <c r="D2304" s="4" t="s">
        <v>331</v>
      </c>
      <c r="E2304" s="4" t="s">
        <v>332</v>
      </c>
    </row>
    <row r="2305" spans="1:5" hidden="1" x14ac:dyDescent="0.15">
      <c r="A2305" s="1" t="s">
        <v>60</v>
      </c>
      <c r="B2305" s="2">
        <v>537025</v>
      </c>
      <c r="C2305" s="3">
        <v>0.22</v>
      </c>
      <c r="D2305" s="4" t="s">
        <v>331</v>
      </c>
      <c r="E2305" s="4" t="s">
        <v>332</v>
      </c>
    </row>
    <row r="2306" spans="1:5" ht="26" hidden="1" x14ac:dyDescent="0.15">
      <c r="A2306" s="1" t="s">
        <v>61</v>
      </c>
      <c r="B2306" s="2">
        <v>366294</v>
      </c>
      <c r="C2306" s="3">
        <v>0.15</v>
      </c>
      <c r="D2306" s="4" t="s">
        <v>331</v>
      </c>
      <c r="E2306" s="4" t="s">
        <v>332</v>
      </c>
    </row>
    <row r="2307" spans="1:5" hidden="1" x14ac:dyDescent="0.15">
      <c r="A2307" s="1" t="s">
        <v>62</v>
      </c>
      <c r="B2307" s="2">
        <v>245016</v>
      </c>
      <c r="C2307" s="3">
        <v>0.1</v>
      </c>
      <c r="D2307" s="4" t="s">
        <v>331</v>
      </c>
      <c r="E2307" s="4" t="s">
        <v>332</v>
      </c>
    </row>
    <row r="2308" spans="1:5" ht="26" hidden="1" x14ac:dyDescent="0.15">
      <c r="A2308" s="1" t="s">
        <v>63</v>
      </c>
      <c r="B2308" s="2">
        <v>278856</v>
      </c>
      <c r="C2308" s="3">
        <v>0.114</v>
      </c>
      <c r="D2308" s="4" t="s">
        <v>331</v>
      </c>
      <c r="E2308" s="4" t="s">
        <v>332</v>
      </c>
    </row>
    <row r="2309" spans="1:5" ht="26" hidden="1" x14ac:dyDescent="0.15">
      <c r="A2309" s="1" t="s">
        <v>64</v>
      </c>
      <c r="B2309" s="2">
        <v>189582</v>
      </c>
      <c r="C2309" s="3">
        <v>7.8E-2</v>
      </c>
      <c r="D2309" s="4" t="s">
        <v>331</v>
      </c>
      <c r="E2309" s="4" t="s">
        <v>332</v>
      </c>
    </row>
    <row r="2310" spans="1:5" hidden="1" x14ac:dyDescent="0.15">
      <c r="A2310" s="1" t="s">
        <v>65</v>
      </c>
      <c r="B2310" s="2">
        <v>384975</v>
      </c>
      <c r="C2310" s="3">
        <v>0.158</v>
      </c>
      <c r="D2310" s="4" t="s">
        <v>331</v>
      </c>
      <c r="E2310" s="4" t="s">
        <v>332</v>
      </c>
    </row>
    <row r="2311" spans="1:5" hidden="1" x14ac:dyDescent="0.15">
      <c r="A2311" s="1" t="s">
        <v>66</v>
      </c>
      <c r="B2311" s="2">
        <v>231954</v>
      </c>
      <c r="C2311" s="3">
        <v>9.5000000000000001E-2</v>
      </c>
      <c r="D2311" s="4" t="s">
        <v>331</v>
      </c>
      <c r="E2311" s="4" t="s">
        <v>332</v>
      </c>
    </row>
    <row r="2312" spans="1:5" hidden="1" x14ac:dyDescent="0.15">
      <c r="A2312" s="1" t="s">
        <v>67</v>
      </c>
      <c r="B2312" s="2">
        <v>589696</v>
      </c>
      <c r="C2312" s="3">
        <v>0.24100000000000002</v>
      </c>
      <c r="D2312" s="4" t="s">
        <v>331</v>
      </c>
      <c r="E2312" s="4" t="s">
        <v>332</v>
      </c>
    </row>
    <row r="2313" spans="1:5" hidden="1" x14ac:dyDescent="0.15">
      <c r="A2313" s="1" t="s">
        <v>68</v>
      </c>
      <c r="B2313" s="2">
        <v>973624</v>
      </c>
      <c r="C2313" s="3">
        <v>0.39899999999999997</v>
      </c>
      <c r="D2313" s="4" t="s">
        <v>331</v>
      </c>
      <c r="E2313" s="4" t="s">
        <v>332</v>
      </c>
    </row>
    <row r="2314" spans="1:5" hidden="1" x14ac:dyDescent="0.15">
      <c r="A2314" s="1" t="s">
        <v>69</v>
      </c>
      <c r="B2314" s="2">
        <v>1254903</v>
      </c>
      <c r="C2314" s="3">
        <v>0.51400000000000001</v>
      </c>
      <c r="D2314" s="4" t="s">
        <v>331</v>
      </c>
      <c r="E2314" s="4" t="s">
        <v>332</v>
      </c>
    </row>
    <row r="2315" spans="1:5" hidden="1" x14ac:dyDescent="0.15">
      <c r="A2315" s="1" t="s">
        <v>70</v>
      </c>
      <c r="B2315" s="2">
        <v>439339</v>
      </c>
      <c r="C2315" s="3">
        <v>0.18</v>
      </c>
      <c r="D2315" s="4" t="s">
        <v>331</v>
      </c>
      <c r="E2315" s="4" t="s">
        <v>332</v>
      </c>
    </row>
    <row r="2316" spans="1:5" ht="26" hidden="1" x14ac:dyDescent="0.15">
      <c r="A2316" s="1" t="s">
        <v>71</v>
      </c>
      <c r="B2316" s="2">
        <v>141765</v>
      </c>
      <c r="C2316" s="3">
        <v>5.7999999999999996E-2</v>
      </c>
      <c r="D2316" s="4" t="s">
        <v>331</v>
      </c>
      <c r="E2316" s="4" t="s">
        <v>332</v>
      </c>
    </row>
    <row r="2317" spans="1:5" hidden="1" x14ac:dyDescent="0.15">
      <c r="A2317" s="1" t="s">
        <v>72</v>
      </c>
      <c r="B2317" s="2">
        <v>365252</v>
      </c>
      <c r="C2317" s="3">
        <v>0.15</v>
      </c>
      <c r="D2317" s="4" t="s">
        <v>331</v>
      </c>
      <c r="E2317" s="4" t="s">
        <v>332</v>
      </c>
    </row>
    <row r="2318" spans="1:5" hidden="1" x14ac:dyDescent="0.15">
      <c r="A2318" s="1" t="s">
        <v>73</v>
      </c>
      <c r="B2318" s="2">
        <v>1504401</v>
      </c>
      <c r="C2318" s="3">
        <v>0.61599999999999999</v>
      </c>
      <c r="D2318" s="4" t="s">
        <v>331</v>
      </c>
      <c r="E2318" s="4" t="s">
        <v>332</v>
      </c>
    </row>
    <row r="2319" spans="1:5" hidden="1" x14ac:dyDescent="0.15">
      <c r="A2319" s="1" t="s">
        <v>74</v>
      </c>
      <c r="B2319" s="2">
        <v>561175</v>
      </c>
      <c r="C2319" s="3">
        <v>0.23</v>
      </c>
      <c r="D2319" s="4" t="s">
        <v>331</v>
      </c>
      <c r="E2319" s="4" t="s">
        <v>332</v>
      </c>
    </row>
    <row r="2320" spans="1:5" hidden="1" x14ac:dyDescent="0.15">
      <c r="A2320" s="1" t="s">
        <v>75</v>
      </c>
      <c r="B2320" s="2">
        <v>439875</v>
      </c>
      <c r="C2320" s="3">
        <v>0.18</v>
      </c>
      <c r="D2320" s="4" t="s">
        <v>331</v>
      </c>
      <c r="E2320" s="4" t="s">
        <v>332</v>
      </c>
    </row>
    <row r="2321" spans="1:5" hidden="1" x14ac:dyDescent="0.15">
      <c r="A2321" s="1" t="s">
        <v>76</v>
      </c>
      <c r="B2321" s="2">
        <v>487809</v>
      </c>
      <c r="C2321" s="3">
        <v>0.2</v>
      </c>
      <c r="D2321" s="4" t="s">
        <v>331</v>
      </c>
      <c r="E2321" s="4" t="s">
        <v>332</v>
      </c>
    </row>
    <row r="2322" spans="1:5" hidden="1" x14ac:dyDescent="0.15">
      <c r="A2322" s="1" t="s">
        <v>77</v>
      </c>
      <c r="B2322" s="2">
        <v>439496</v>
      </c>
      <c r="C2322" s="3">
        <v>0.18</v>
      </c>
      <c r="D2322" s="4" t="s">
        <v>331</v>
      </c>
      <c r="E2322" s="4" t="s">
        <v>332</v>
      </c>
    </row>
    <row r="2323" spans="1:5" ht="26" hidden="1" x14ac:dyDescent="0.15">
      <c r="A2323" s="1" t="s">
        <v>78</v>
      </c>
      <c r="B2323" s="2">
        <v>331032</v>
      </c>
      <c r="C2323" s="3">
        <v>0.13600000000000001</v>
      </c>
      <c r="D2323" s="4" t="s">
        <v>331</v>
      </c>
      <c r="E2323" s="4" t="s">
        <v>332</v>
      </c>
    </row>
    <row r="2324" spans="1:5" hidden="1" x14ac:dyDescent="0.15">
      <c r="A2324" s="1" t="s">
        <v>79</v>
      </c>
      <c r="B2324" s="2">
        <v>399274</v>
      </c>
      <c r="C2324" s="3">
        <v>0.16300000000000001</v>
      </c>
      <c r="D2324" s="4" t="s">
        <v>331</v>
      </c>
      <c r="E2324" s="4" t="s">
        <v>332</v>
      </c>
    </row>
    <row r="2325" spans="1:5" hidden="1" x14ac:dyDescent="0.15">
      <c r="A2325" s="1" t="s">
        <v>80</v>
      </c>
      <c r="B2325" s="2">
        <v>252759</v>
      </c>
      <c r="C2325" s="3">
        <v>0.10300000000000001</v>
      </c>
      <c r="D2325" s="4" t="s">
        <v>331</v>
      </c>
      <c r="E2325" s="4" t="s">
        <v>332</v>
      </c>
    </row>
    <row r="2326" spans="1:5" ht="26" hidden="1" x14ac:dyDescent="0.15">
      <c r="A2326" s="1" t="s">
        <v>81</v>
      </c>
      <c r="B2326" s="2">
        <v>389415</v>
      </c>
      <c r="C2326" s="3">
        <v>0.159</v>
      </c>
      <c r="D2326" s="4" t="s">
        <v>331</v>
      </c>
      <c r="E2326" s="4" t="s">
        <v>332</v>
      </c>
    </row>
    <row r="2327" spans="1:5" hidden="1" x14ac:dyDescent="0.15">
      <c r="A2327" s="1" t="s">
        <v>82</v>
      </c>
      <c r="B2327" s="2">
        <v>239699</v>
      </c>
      <c r="C2327" s="3">
        <v>9.8000000000000004E-2</v>
      </c>
      <c r="D2327" s="4" t="s">
        <v>331</v>
      </c>
      <c r="E2327" s="4" t="s">
        <v>332</v>
      </c>
    </row>
    <row r="2328" spans="1:5" hidden="1" x14ac:dyDescent="0.15">
      <c r="A2328" s="4"/>
      <c r="B2328" s="4"/>
      <c r="C2328" s="4"/>
      <c r="D2328" s="4" t="s">
        <v>331</v>
      </c>
      <c r="E2328" s="4" t="s">
        <v>332</v>
      </c>
    </row>
    <row r="2329" spans="1:5" hidden="1" x14ac:dyDescent="0.15">
      <c r="A2329" s="16"/>
      <c r="B2329" s="16"/>
      <c r="C2329" s="16"/>
      <c r="D2329" s="4" t="s">
        <v>331</v>
      </c>
      <c r="E2329" s="4" t="s">
        <v>332</v>
      </c>
    </row>
    <row r="2330" spans="1:5" hidden="1" x14ac:dyDescent="0.15">
      <c r="A2330" s="1" t="s">
        <v>223</v>
      </c>
      <c r="B2330" s="2">
        <v>432543</v>
      </c>
      <c r="C2330" s="3">
        <v>0.17699999999999999</v>
      </c>
      <c r="D2330" s="4" t="s">
        <v>331</v>
      </c>
      <c r="E2330" s="4" t="s">
        <v>332</v>
      </c>
    </row>
    <row r="2331" spans="1:5" hidden="1" x14ac:dyDescent="0.15">
      <c r="A2331" s="4"/>
      <c r="B2331" s="4"/>
      <c r="C2331" s="4"/>
      <c r="D2331" s="4" t="s">
        <v>331</v>
      </c>
      <c r="E2331" s="4" t="s">
        <v>332</v>
      </c>
    </row>
    <row r="2332" spans="1:5" hidden="1" x14ac:dyDescent="0.15">
      <c r="A2332" s="16"/>
      <c r="B2332" s="16"/>
      <c r="C2332" s="16"/>
      <c r="D2332" s="4" t="s">
        <v>331</v>
      </c>
      <c r="E2332" s="4" t="s">
        <v>332</v>
      </c>
    </row>
    <row r="2333" spans="1:5" ht="26" hidden="1" x14ac:dyDescent="0.15">
      <c r="A2333" s="1" t="s">
        <v>333</v>
      </c>
      <c r="B2333" s="2">
        <v>343930</v>
      </c>
      <c r="C2333" s="3">
        <v>0.14099999999999999</v>
      </c>
      <c r="D2333" s="4" t="s">
        <v>331</v>
      </c>
      <c r="E2333" s="4" t="s">
        <v>332</v>
      </c>
    </row>
    <row r="2334" spans="1:5" hidden="1" x14ac:dyDescent="0.15">
      <c r="A2334" s="4"/>
      <c r="B2334" s="4"/>
      <c r="C2334" s="4"/>
      <c r="D2334" s="4" t="s">
        <v>331</v>
      </c>
      <c r="E2334" s="4" t="s">
        <v>332</v>
      </c>
    </row>
    <row r="2335" spans="1:5" hidden="1" x14ac:dyDescent="0.15">
      <c r="A2335" s="16"/>
      <c r="B2335" s="16"/>
      <c r="C2335" s="16"/>
      <c r="D2335" s="4" t="s">
        <v>331</v>
      </c>
      <c r="E2335" s="4" t="s">
        <v>332</v>
      </c>
    </row>
    <row r="2336" spans="1:5" ht="26" hidden="1" x14ac:dyDescent="0.15">
      <c r="A2336" s="1" t="s">
        <v>235</v>
      </c>
      <c r="B2336" s="2">
        <v>867498</v>
      </c>
      <c r="C2336" s="3">
        <v>0.35499999999999998</v>
      </c>
      <c r="D2336" s="4" t="s">
        <v>331</v>
      </c>
      <c r="E2336" s="4" t="s">
        <v>332</v>
      </c>
    </row>
    <row r="2337" spans="1:5" hidden="1" x14ac:dyDescent="0.15">
      <c r="A2337" s="4"/>
      <c r="B2337" s="4"/>
      <c r="C2337" s="4"/>
      <c r="D2337" s="4" t="s">
        <v>331</v>
      </c>
      <c r="E2337" s="4" t="s">
        <v>332</v>
      </c>
    </row>
    <row r="2338" spans="1:5" hidden="1" x14ac:dyDescent="0.15">
      <c r="A2338" s="16"/>
      <c r="B2338" s="16"/>
      <c r="C2338" s="16"/>
      <c r="D2338" s="4" t="s">
        <v>331</v>
      </c>
      <c r="E2338" s="4" t="s">
        <v>332</v>
      </c>
    </row>
    <row r="2339" spans="1:5" hidden="1" x14ac:dyDescent="0.15">
      <c r="A2339" s="1" t="s">
        <v>224</v>
      </c>
      <c r="B2339" s="2">
        <v>651928</v>
      </c>
      <c r="C2339" s="3">
        <v>0.26700000000000002</v>
      </c>
      <c r="D2339" s="4" t="s">
        <v>331</v>
      </c>
      <c r="E2339" s="4" t="s">
        <v>332</v>
      </c>
    </row>
    <row r="2340" spans="1:5" hidden="1" x14ac:dyDescent="0.15">
      <c r="A2340" s="4"/>
      <c r="B2340" s="4"/>
      <c r="C2340" s="4"/>
      <c r="D2340" s="4" t="s">
        <v>331</v>
      </c>
      <c r="E2340" s="4" t="s">
        <v>332</v>
      </c>
    </row>
    <row r="2341" spans="1:5" hidden="1" x14ac:dyDescent="0.15">
      <c r="A2341" s="16"/>
      <c r="B2341" s="16"/>
      <c r="C2341" s="16"/>
      <c r="D2341" s="4" t="s">
        <v>331</v>
      </c>
      <c r="E2341" s="4" t="s">
        <v>332</v>
      </c>
    </row>
    <row r="2342" spans="1:5" ht="26" hidden="1" x14ac:dyDescent="0.15">
      <c r="A2342" s="1" t="s">
        <v>226</v>
      </c>
      <c r="B2342" s="2">
        <v>133580</v>
      </c>
      <c r="C2342" s="3">
        <v>5.5E-2</v>
      </c>
      <c r="D2342" s="4" t="s">
        <v>331</v>
      </c>
      <c r="E2342" s="4" t="s">
        <v>332</v>
      </c>
    </row>
    <row r="2343" spans="1:5" ht="39" hidden="1" x14ac:dyDescent="0.15">
      <c r="A2343" s="1" t="s">
        <v>334</v>
      </c>
      <c r="B2343" s="2">
        <v>389733</v>
      </c>
      <c r="C2343" s="3">
        <v>0.16</v>
      </c>
      <c r="D2343" s="4" t="s">
        <v>331</v>
      </c>
      <c r="E2343" s="4" t="s">
        <v>332</v>
      </c>
    </row>
    <row r="2344" spans="1:5" ht="26" hidden="1" x14ac:dyDescent="0.15">
      <c r="A2344" s="1" t="s">
        <v>335</v>
      </c>
      <c r="B2344" s="2">
        <v>794913</v>
      </c>
      <c r="C2344" s="3">
        <v>0.32500000000000001</v>
      </c>
      <c r="D2344" s="4" t="s">
        <v>331</v>
      </c>
      <c r="E2344" s="4" t="s">
        <v>332</v>
      </c>
    </row>
    <row r="2345" spans="1:5" ht="26" hidden="1" x14ac:dyDescent="0.15">
      <c r="A2345" s="1" t="s">
        <v>336</v>
      </c>
      <c r="B2345" s="2">
        <v>277297</v>
      </c>
      <c r="C2345" s="3">
        <v>0.114</v>
      </c>
      <c r="D2345" s="4" t="s">
        <v>331</v>
      </c>
      <c r="E2345" s="4" t="s">
        <v>332</v>
      </c>
    </row>
    <row r="2346" spans="1:5" ht="39" hidden="1" x14ac:dyDescent="0.15">
      <c r="A2346" s="1" t="s">
        <v>337</v>
      </c>
      <c r="B2346" s="2">
        <v>327628</v>
      </c>
      <c r="C2346" s="3">
        <v>0.13400000000000001</v>
      </c>
      <c r="D2346" s="4" t="s">
        <v>331</v>
      </c>
      <c r="E2346" s="4" t="s">
        <v>332</v>
      </c>
    </row>
    <row r="2347" spans="1:5" ht="26" hidden="1" x14ac:dyDescent="0.15">
      <c r="A2347" s="1" t="s">
        <v>338</v>
      </c>
      <c r="B2347" s="2">
        <v>634887</v>
      </c>
      <c r="C2347" s="3">
        <v>0.26</v>
      </c>
      <c r="D2347" s="4" t="s">
        <v>331</v>
      </c>
      <c r="E2347" s="4" t="s">
        <v>332</v>
      </c>
    </row>
    <row r="2348" spans="1:5" ht="26" hidden="1" x14ac:dyDescent="0.15">
      <c r="A2348" s="1" t="s">
        <v>339</v>
      </c>
      <c r="B2348" s="2">
        <v>76614</v>
      </c>
      <c r="C2348" s="3">
        <v>3.1E-2</v>
      </c>
      <c r="D2348" s="4" t="s">
        <v>331</v>
      </c>
      <c r="E2348" s="4" t="s">
        <v>332</v>
      </c>
    </row>
    <row r="2349" spans="1:5" hidden="1" x14ac:dyDescent="0.15">
      <c r="A2349" s="1" t="s">
        <v>0</v>
      </c>
      <c r="B2349" s="2">
        <v>2280443</v>
      </c>
      <c r="C2349" s="3">
        <v>1</v>
      </c>
      <c r="D2349" s="4" t="s">
        <v>340</v>
      </c>
      <c r="E2349" s="4" t="s">
        <v>2</v>
      </c>
    </row>
    <row r="2350" spans="1:5" ht="26" hidden="1" x14ac:dyDescent="0.15">
      <c r="A2350" s="1" t="s">
        <v>3</v>
      </c>
      <c r="B2350" s="2">
        <v>39103</v>
      </c>
      <c r="C2350" s="3">
        <v>1.7000000000000001E-2</v>
      </c>
      <c r="D2350" s="4" t="s">
        <v>340</v>
      </c>
      <c r="E2350" s="4" t="s">
        <v>2</v>
      </c>
    </row>
    <row r="2351" spans="1:5" hidden="1" x14ac:dyDescent="0.15">
      <c r="A2351" s="1" t="s">
        <v>4</v>
      </c>
      <c r="B2351" s="2">
        <v>51878</v>
      </c>
      <c r="C2351" s="3">
        <v>2.3E-2</v>
      </c>
      <c r="D2351" s="4" t="s">
        <v>340</v>
      </c>
      <c r="E2351" s="4" t="s">
        <v>2</v>
      </c>
    </row>
    <row r="2352" spans="1:5" ht="26" hidden="1" x14ac:dyDescent="0.15">
      <c r="A2352" s="1" t="s">
        <v>5</v>
      </c>
      <c r="B2352" s="2">
        <v>39979</v>
      </c>
      <c r="C2352" s="3">
        <v>1.8000000000000002E-2</v>
      </c>
      <c r="D2352" s="4" t="s">
        <v>340</v>
      </c>
      <c r="E2352" s="4" t="s">
        <v>2</v>
      </c>
    </row>
    <row r="2353" spans="1:5" ht="26" hidden="1" x14ac:dyDescent="0.15">
      <c r="A2353" s="1" t="s">
        <v>6</v>
      </c>
      <c r="B2353" s="2">
        <v>238335</v>
      </c>
      <c r="C2353" s="3">
        <v>0.105</v>
      </c>
      <c r="D2353" s="4" t="s">
        <v>340</v>
      </c>
      <c r="E2353" s="4" t="s">
        <v>2</v>
      </c>
    </row>
    <row r="2354" spans="1:5" ht="26" hidden="1" x14ac:dyDescent="0.15">
      <c r="A2354" s="1" t="s">
        <v>7</v>
      </c>
      <c r="B2354" s="2">
        <v>378835</v>
      </c>
      <c r="C2354" s="3">
        <v>0.16600000000000001</v>
      </c>
      <c r="D2354" s="4" t="s">
        <v>340</v>
      </c>
      <c r="E2354" s="4" t="s">
        <v>2</v>
      </c>
    </row>
    <row r="2355" spans="1:5" ht="26" hidden="1" x14ac:dyDescent="0.15">
      <c r="A2355" s="1" t="s">
        <v>8</v>
      </c>
      <c r="B2355" s="2">
        <v>23898</v>
      </c>
      <c r="C2355" s="3">
        <v>0.01</v>
      </c>
      <c r="D2355" s="4" t="s">
        <v>340</v>
      </c>
      <c r="E2355" s="4" t="s">
        <v>2</v>
      </c>
    </row>
    <row r="2356" spans="1:5" ht="26" hidden="1" x14ac:dyDescent="0.15">
      <c r="A2356" s="1" t="s">
        <v>9</v>
      </c>
      <c r="B2356" s="2">
        <v>30535</v>
      </c>
      <c r="C2356" s="3">
        <v>1.3000000000000001E-2</v>
      </c>
      <c r="D2356" s="4" t="s">
        <v>340</v>
      </c>
      <c r="E2356" s="4" t="s">
        <v>2</v>
      </c>
    </row>
    <row r="2357" spans="1:5" ht="26" hidden="1" x14ac:dyDescent="0.15">
      <c r="A2357" s="1" t="s">
        <v>10</v>
      </c>
      <c r="B2357" s="2">
        <v>14230</v>
      </c>
      <c r="C2357" s="3">
        <v>6.0000000000000001E-3</v>
      </c>
      <c r="D2357" s="4" t="s">
        <v>340</v>
      </c>
      <c r="E2357" s="4" t="s">
        <v>2</v>
      </c>
    </row>
    <row r="2358" spans="1:5" ht="26" hidden="1" x14ac:dyDescent="0.15">
      <c r="A2358" s="1" t="s">
        <v>11</v>
      </c>
      <c r="B2358" s="2">
        <v>109729</v>
      </c>
      <c r="C2358" s="3">
        <v>4.8000000000000001E-2</v>
      </c>
      <c r="D2358" s="4" t="s">
        <v>340</v>
      </c>
      <c r="E2358" s="4" t="s">
        <v>2</v>
      </c>
    </row>
    <row r="2359" spans="1:5" ht="26" hidden="1" x14ac:dyDescent="0.15">
      <c r="A2359" s="1" t="s">
        <v>12</v>
      </c>
      <c r="B2359" s="2">
        <v>17275</v>
      </c>
      <c r="C2359" s="3">
        <v>8.0000000000000002E-3</v>
      </c>
      <c r="D2359" s="4" t="s">
        <v>340</v>
      </c>
      <c r="E2359" s="4" t="s">
        <v>2</v>
      </c>
    </row>
    <row r="2360" spans="1:5" ht="26" hidden="1" x14ac:dyDescent="0.15">
      <c r="A2360" s="1" t="s">
        <v>13</v>
      </c>
      <c r="B2360" s="2">
        <v>6350</v>
      </c>
      <c r="C2360" s="3">
        <v>3.0000000000000001E-3</v>
      </c>
      <c r="D2360" s="4" t="s">
        <v>340</v>
      </c>
      <c r="E2360" s="4" t="s">
        <v>2</v>
      </c>
    </row>
    <row r="2361" spans="1:5" hidden="1" x14ac:dyDescent="0.15">
      <c r="A2361" s="1" t="s">
        <v>14</v>
      </c>
      <c r="B2361" s="2">
        <v>110212</v>
      </c>
      <c r="C2361" s="3">
        <v>4.8000000000000001E-2</v>
      </c>
      <c r="D2361" s="4" t="s">
        <v>340</v>
      </c>
      <c r="E2361" s="4" t="s">
        <v>2</v>
      </c>
    </row>
    <row r="2362" spans="1:5" ht="26" hidden="1" x14ac:dyDescent="0.15">
      <c r="A2362" s="1" t="s">
        <v>15</v>
      </c>
      <c r="B2362" s="2">
        <v>137253</v>
      </c>
      <c r="C2362" s="3">
        <v>0.06</v>
      </c>
      <c r="D2362" s="4" t="s">
        <v>340</v>
      </c>
      <c r="E2362" s="4" t="s">
        <v>2</v>
      </c>
    </row>
    <row r="2363" spans="1:5" ht="26" hidden="1" x14ac:dyDescent="0.15">
      <c r="A2363" s="1" t="s">
        <v>16</v>
      </c>
      <c r="B2363" s="2">
        <v>84814</v>
      </c>
      <c r="C2363" s="3">
        <v>3.7000000000000005E-2</v>
      </c>
      <c r="D2363" s="4" t="s">
        <v>340</v>
      </c>
      <c r="E2363" s="4" t="s">
        <v>2</v>
      </c>
    </row>
    <row r="2364" spans="1:5" ht="26" hidden="1" x14ac:dyDescent="0.15">
      <c r="A2364" s="1" t="s">
        <v>17</v>
      </c>
      <c r="B2364" s="2">
        <v>22618</v>
      </c>
      <c r="C2364" s="3">
        <v>0.01</v>
      </c>
      <c r="D2364" s="4" t="s">
        <v>340</v>
      </c>
      <c r="E2364" s="4" t="s">
        <v>2</v>
      </c>
    </row>
    <row r="2365" spans="1:5" hidden="1" x14ac:dyDescent="0.15">
      <c r="A2365" s="1" t="s">
        <v>18</v>
      </c>
      <c r="B2365" s="2">
        <v>34918</v>
      </c>
      <c r="C2365" s="3">
        <v>1.4999999999999999E-2</v>
      </c>
      <c r="D2365" s="4" t="s">
        <v>340</v>
      </c>
      <c r="E2365" s="4" t="s">
        <v>2</v>
      </c>
    </row>
    <row r="2366" spans="1:5" hidden="1" x14ac:dyDescent="0.15">
      <c r="A2366" s="1" t="s">
        <v>19</v>
      </c>
      <c r="B2366" s="2">
        <v>306827</v>
      </c>
      <c r="C2366" s="3">
        <v>0.13500000000000001</v>
      </c>
      <c r="D2366" s="4" t="s">
        <v>340</v>
      </c>
      <c r="E2366" s="4" t="s">
        <v>2</v>
      </c>
    </row>
    <row r="2367" spans="1:5" hidden="1" x14ac:dyDescent="0.15">
      <c r="A2367" s="1" t="s">
        <v>20</v>
      </c>
      <c r="B2367" s="2">
        <v>25567</v>
      </c>
      <c r="C2367" s="3">
        <v>1.1000000000000001E-2</v>
      </c>
      <c r="D2367" s="4" t="s">
        <v>340</v>
      </c>
      <c r="E2367" s="4" t="s">
        <v>2</v>
      </c>
    </row>
    <row r="2368" spans="1:5" ht="26" hidden="1" x14ac:dyDescent="0.15">
      <c r="A2368" s="1" t="s">
        <v>21</v>
      </c>
      <c r="B2368" s="2">
        <v>30604</v>
      </c>
      <c r="C2368" s="3">
        <v>1.3000000000000001E-2</v>
      </c>
      <c r="D2368" s="4" t="s">
        <v>340</v>
      </c>
      <c r="E2368" s="4" t="s">
        <v>2</v>
      </c>
    </row>
    <row r="2369" spans="1:5" ht="26" hidden="1" x14ac:dyDescent="0.15">
      <c r="A2369" s="1" t="s">
        <v>22</v>
      </c>
      <c r="B2369" s="2">
        <v>6168</v>
      </c>
      <c r="C2369" s="3">
        <v>3.0000000000000001E-3</v>
      </c>
      <c r="D2369" s="4" t="s">
        <v>340</v>
      </c>
      <c r="E2369" s="4" t="s">
        <v>2</v>
      </c>
    </row>
    <row r="2370" spans="1:5" ht="26" hidden="1" x14ac:dyDescent="0.15">
      <c r="A2370" s="1" t="s">
        <v>23</v>
      </c>
      <c r="B2370" s="2">
        <v>18750</v>
      </c>
      <c r="C2370" s="3">
        <v>8.0000000000000002E-3</v>
      </c>
      <c r="D2370" s="4" t="s">
        <v>340</v>
      </c>
      <c r="E2370" s="4" t="s">
        <v>2</v>
      </c>
    </row>
    <row r="2371" spans="1:5" ht="26" hidden="1" x14ac:dyDescent="0.15">
      <c r="A2371" s="1" t="s">
        <v>24</v>
      </c>
      <c r="B2371" s="2">
        <v>14266</v>
      </c>
      <c r="C2371" s="3">
        <v>6.0000000000000001E-3</v>
      </c>
      <c r="D2371" s="4" t="s">
        <v>340</v>
      </c>
      <c r="E2371" s="4" t="s">
        <v>2</v>
      </c>
    </row>
    <row r="2372" spans="1:5" ht="26" hidden="1" x14ac:dyDescent="0.15">
      <c r="A2372" s="1" t="s">
        <v>25</v>
      </c>
      <c r="B2372" s="2">
        <v>34702</v>
      </c>
      <c r="C2372" s="3">
        <v>1.4999999999999999E-2</v>
      </c>
      <c r="D2372" s="4" t="s">
        <v>340</v>
      </c>
      <c r="E2372" s="4" t="s">
        <v>2</v>
      </c>
    </row>
    <row r="2373" spans="1:5" hidden="1" x14ac:dyDescent="0.15">
      <c r="A2373" s="1" t="s">
        <v>26</v>
      </c>
      <c r="B2373" s="2">
        <v>17160</v>
      </c>
      <c r="C2373" s="3">
        <v>8.0000000000000002E-3</v>
      </c>
      <c r="D2373" s="4" t="s">
        <v>340</v>
      </c>
      <c r="E2373" s="4" t="s">
        <v>2</v>
      </c>
    </row>
    <row r="2374" spans="1:5" hidden="1" x14ac:dyDescent="0.15">
      <c r="A2374" s="1" t="s">
        <v>27</v>
      </c>
      <c r="B2374" s="2">
        <v>117406</v>
      </c>
      <c r="C2374" s="3">
        <v>5.0999999999999997E-2</v>
      </c>
      <c r="D2374" s="4" t="s">
        <v>340</v>
      </c>
      <c r="E2374" s="4" t="s">
        <v>2</v>
      </c>
    </row>
    <row r="2375" spans="1:5" hidden="1" x14ac:dyDescent="0.15">
      <c r="A2375" s="1" t="s">
        <v>28</v>
      </c>
      <c r="B2375" s="2">
        <v>97344</v>
      </c>
      <c r="C2375" s="3">
        <v>4.2999999999999997E-2</v>
      </c>
      <c r="D2375" s="4" t="s">
        <v>340</v>
      </c>
      <c r="E2375" s="4" t="s">
        <v>2</v>
      </c>
    </row>
    <row r="2376" spans="1:5" hidden="1" x14ac:dyDescent="0.15">
      <c r="A2376" s="1" t="s">
        <v>29</v>
      </c>
      <c r="B2376" s="2">
        <v>960355</v>
      </c>
      <c r="C2376" s="3">
        <v>0.42100000000000004</v>
      </c>
      <c r="D2376" s="4" t="s">
        <v>340</v>
      </c>
      <c r="E2376" s="4" t="s">
        <v>2</v>
      </c>
    </row>
    <row r="2377" spans="1:5" hidden="1" x14ac:dyDescent="0.15">
      <c r="A2377" s="1" t="s">
        <v>30</v>
      </c>
      <c r="B2377" s="2">
        <v>518609</v>
      </c>
      <c r="C2377" s="3">
        <v>0.22699999999999998</v>
      </c>
      <c r="D2377" s="4" t="s">
        <v>340</v>
      </c>
      <c r="E2377" s="4" t="s">
        <v>2</v>
      </c>
    </row>
    <row r="2378" spans="1:5" ht="39" hidden="1" x14ac:dyDescent="0.15">
      <c r="A2378" s="1" t="s">
        <v>31</v>
      </c>
      <c r="B2378" s="2">
        <v>7805</v>
      </c>
      <c r="C2378" s="3">
        <v>3.0000000000000001E-3</v>
      </c>
      <c r="D2378" s="4" t="s">
        <v>340</v>
      </c>
      <c r="E2378" s="4" t="s">
        <v>2</v>
      </c>
    </row>
    <row r="2379" spans="1:5" hidden="1" x14ac:dyDescent="0.15">
      <c r="A2379" s="1" t="s">
        <v>32</v>
      </c>
      <c r="B2379" s="2">
        <v>28710</v>
      </c>
      <c r="C2379" s="3">
        <v>1.3000000000000001E-2</v>
      </c>
      <c r="D2379" s="4" t="s">
        <v>340</v>
      </c>
      <c r="E2379" s="4" t="s">
        <v>2</v>
      </c>
    </row>
    <row r="2380" spans="1:5" hidden="1" x14ac:dyDescent="0.15">
      <c r="A2380" s="1" t="s">
        <v>33</v>
      </c>
      <c r="B2380" s="2">
        <v>485010</v>
      </c>
      <c r="C2380" s="3">
        <v>0.21299999999999999</v>
      </c>
      <c r="D2380" s="4" t="s">
        <v>340</v>
      </c>
      <c r="E2380" s="4" t="s">
        <v>2</v>
      </c>
    </row>
    <row r="2381" spans="1:5" hidden="1" x14ac:dyDescent="0.15">
      <c r="A2381" s="1" t="s">
        <v>34</v>
      </c>
      <c r="B2381" s="2">
        <v>189259</v>
      </c>
      <c r="C2381" s="3">
        <v>8.3000000000000004E-2</v>
      </c>
      <c r="D2381" s="4" t="s">
        <v>340</v>
      </c>
      <c r="E2381" s="4" t="s">
        <v>2</v>
      </c>
    </row>
    <row r="2382" spans="1:5" hidden="1" x14ac:dyDescent="0.15">
      <c r="A2382" s="1" t="s">
        <v>35</v>
      </c>
      <c r="B2382" s="2">
        <v>68979</v>
      </c>
      <c r="C2382" s="3">
        <v>0.03</v>
      </c>
      <c r="D2382" s="4" t="s">
        <v>340</v>
      </c>
      <c r="E2382" s="4" t="s">
        <v>2</v>
      </c>
    </row>
    <row r="2383" spans="1:5" ht="26" hidden="1" x14ac:dyDescent="0.15">
      <c r="A2383" s="1" t="s">
        <v>36</v>
      </c>
      <c r="B2383" s="2">
        <v>27833</v>
      </c>
      <c r="C2383" s="3">
        <v>1.2E-2</v>
      </c>
      <c r="D2383" s="4" t="s">
        <v>340</v>
      </c>
      <c r="E2383" s="4" t="s">
        <v>2</v>
      </c>
    </row>
    <row r="2384" spans="1:5" hidden="1" x14ac:dyDescent="0.15">
      <c r="A2384" s="1" t="s">
        <v>37</v>
      </c>
      <c r="B2384" s="2">
        <v>18263</v>
      </c>
      <c r="C2384" s="3">
        <v>8.0000000000000002E-3</v>
      </c>
      <c r="D2384" s="4" t="s">
        <v>340</v>
      </c>
      <c r="E2384" s="4" t="s">
        <v>2</v>
      </c>
    </row>
    <row r="2385" spans="1:5" ht="39" hidden="1" x14ac:dyDescent="0.15">
      <c r="A2385" s="1" t="s">
        <v>38</v>
      </c>
      <c r="B2385" s="2">
        <v>40057</v>
      </c>
      <c r="C2385" s="3">
        <v>1.8000000000000002E-2</v>
      </c>
      <c r="D2385" s="4" t="s">
        <v>340</v>
      </c>
      <c r="E2385" s="4" t="s">
        <v>2</v>
      </c>
    </row>
    <row r="2386" spans="1:5" hidden="1" x14ac:dyDescent="0.15">
      <c r="A2386" s="1" t="s">
        <v>39</v>
      </c>
      <c r="B2386" s="2">
        <v>35689</v>
      </c>
      <c r="C2386" s="3">
        <v>1.6E-2</v>
      </c>
      <c r="D2386" s="4" t="s">
        <v>340</v>
      </c>
      <c r="E2386" s="4" t="s">
        <v>2</v>
      </c>
    </row>
    <row r="2387" spans="1:5" hidden="1" x14ac:dyDescent="0.15">
      <c r="A2387" s="1" t="s">
        <v>40</v>
      </c>
      <c r="B2387" s="2">
        <v>16524</v>
      </c>
      <c r="C2387" s="3">
        <v>6.9999999999999993E-3</v>
      </c>
      <c r="D2387" s="4" t="s">
        <v>340</v>
      </c>
      <c r="E2387" s="4" t="s">
        <v>2</v>
      </c>
    </row>
    <row r="2388" spans="1:5" hidden="1" x14ac:dyDescent="0.15">
      <c r="A2388" s="1" t="s">
        <v>41</v>
      </c>
      <c r="B2388" s="2">
        <v>25002</v>
      </c>
      <c r="C2388" s="3">
        <v>1.1000000000000001E-2</v>
      </c>
      <c r="D2388" s="4" t="s">
        <v>340</v>
      </c>
      <c r="E2388" s="4" t="s">
        <v>2</v>
      </c>
    </row>
    <row r="2389" spans="1:5" hidden="1" x14ac:dyDescent="0.15">
      <c r="A2389" s="1" t="s">
        <v>42</v>
      </c>
      <c r="B2389" s="2">
        <v>59059</v>
      </c>
      <c r="C2389" s="3">
        <v>2.6000000000000002E-2</v>
      </c>
      <c r="D2389" s="4" t="s">
        <v>340</v>
      </c>
      <c r="E2389" s="4" t="s">
        <v>2</v>
      </c>
    </row>
    <row r="2390" spans="1:5" hidden="1" x14ac:dyDescent="0.15">
      <c r="A2390" s="1" t="s">
        <v>43</v>
      </c>
      <c r="B2390" s="2">
        <v>210462</v>
      </c>
      <c r="C2390" s="3">
        <v>9.1999999999999998E-2</v>
      </c>
      <c r="D2390" s="4" t="s">
        <v>340</v>
      </c>
      <c r="E2390" s="4" t="s">
        <v>2</v>
      </c>
    </row>
    <row r="2391" spans="1:5" ht="26" hidden="1" x14ac:dyDescent="0.15">
      <c r="A2391" s="1" t="s">
        <v>44</v>
      </c>
      <c r="B2391" s="2">
        <v>326869</v>
      </c>
      <c r="C2391" s="3">
        <v>0.14300000000000002</v>
      </c>
      <c r="D2391" s="4" t="s">
        <v>340</v>
      </c>
      <c r="E2391" s="4" t="s">
        <v>2</v>
      </c>
    </row>
    <row r="2392" spans="1:5" hidden="1" x14ac:dyDescent="0.15">
      <c r="A2392" s="1" t="s">
        <v>45</v>
      </c>
      <c r="B2392" s="2">
        <v>333585</v>
      </c>
      <c r="C2392" s="3">
        <v>0.14599999999999999</v>
      </c>
      <c r="D2392" s="4" t="s">
        <v>340</v>
      </c>
      <c r="E2392" s="4" t="s">
        <v>2</v>
      </c>
    </row>
    <row r="2393" spans="1:5" ht="26" hidden="1" x14ac:dyDescent="0.15">
      <c r="A2393" s="1" t="s">
        <v>46</v>
      </c>
      <c r="B2393" s="2">
        <v>787218</v>
      </c>
      <c r="C2393" s="3">
        <v>0.34499999999999997</v>
      </c>
      <c r="D2393" s="4" t="s">
        <v>340</v>
      </c>
      <c r="E2393" s="4" t="s">
        <v>2</v>
      </c>
    </row>
    <row r="2394" spans="1:5" hidden="1" x14ac:dyDescent="0.15">
      <c r="A2394" s="1" t="s">
        <v>47</v>
      </c>
      <c r="B2394" s="2">
        <v>1132711</v>
      </c>
      <c r="C2394" s="3">
        <v>0.49700000000000005</v>
      </c>
      <c r="D2394" s="4" t="s">
        <v>340</v>
      </c>
      <c r="E2394" s="4" t="s">
        <v>2</v>
      </c>
    </row>
    <row r="2395" spans="1:5" hidden="1" x14ac:dyDescent="0.15">
      <c r="A2395" s="1" t="s">
        <v>48</v>
      </c>
      <c r="B2395" s="2">
        <v>300845</v>
      </c>
      <c r="C2395" s="3">
        <v>0.13200000000000001</v>
      </c>
      <c r="D2395" s="4" t="s">
        <v>340</v>
      </c>
      <c r="E2395" s="4" t="s">
        <v>2</v>
      </c>
    </row>
    <row r="2396" spans="1:5" hidden="1" x14ac:dyDescent="0.15">
      <c r="A2396" s="1" t="s">
        <v>49</v>
      </c>
      <c r="B2396" s="2">
        <v>243573</v>
      </c>
      <c r="C2396" s="3">
        <v>0.107</v>
      </c>
      <c r="D2396" s="4" t="s">
        <v>340</v>
      </c>
      <c r="E2396" s="4" t="s">
        <v>2</v>
      </c>
    </row>
    <row r="2397" spans="1:5" ht="26" hidden="1" x14ac:dyDescent="0.15">
      <c r="A2397" s="1" t="s">
        <v>50</v>
      </c>
      <c r="B2397" s="2">
        <v>331264</v>
      </c>
      <c r="C2397" s="3">
        <v>0.14499999999999999</v>
      </c>
      <c r="D2397" s="4" t="s">
        <v>340</v>
      </c>
      <c r="E2397" s="4" t="s">
        <v>2</v>
      </c>
    </row>
    <row r="2398" spans="1:5" hidden="1" x14ac:dyDescent="0.15">
      <c r="A2398" s="1" t="s">
        <v>51</v>
      </c>
      <c r="B2398" s="2">
        <v>665563</v>
      </c>
      <c r="C2398" s="3">
        <v>0.29199999999999998</v>
      </c>
      <c r="D2398" s="4" t="s">
        <v>340</v>
      </c>
      <c r="E2398" s="4" t="s">
        <v>2</v>
      </c>
    </row>
    <row r="2399" spans="1:5" hidden="1" x14ac:dyDescent="0.15">
      <c r="A2399" s="1" t="s">
        <v>52</v>
      </c>
      <c r="B2399" s="2">
        <v>235697</v>
      </c>
      <c r="C2399" s="3">
        <v>0.10300000000000001</v>
      </c>
      <c r="D2399" s="4" t="s">
        <v>340</v>
      </c>
      <c r="E2399" s="4" t="s">
        <v>2</v>
      </c>
    </row>
    <row r="2400" spans="1:5" ht="26" hidden="1" x14ac:dyDescent="0.15">
      <c r="A2400" s="1" t="s">
        <v>53</v>
      </c>
      <c r="B2400" s="2">
        <v>142877</v>
      </c>
      <c r="C2400" s="3">
        <v>6.3E-2</v>
      </c>
      <c r="D2400" s="4" t="s">
        <v>340</v>
      </c>
      <c r="E2400" s="4" t="s">
        <v>2</v>
      </c>
    </row>
    <row r="2401" spans="1:5" hidden="1" x14ac:dyDescent="0.15">
      <c r="A2401" s="1" t="s">
        <v>54</v>
      </c>
      <c r="B2401" s="2">
        <v>666484</v>
      </c>
      <c r="C2401" s="3">
        <v>0.29199999999999998</v>
      </c>
      <c r="D2401" s="4" t="s">
        <v>340</v>
      </c>
      <c r="E2401" s="4" t="s">
        <v>2</v>
      </c>
    </row>
    <row r="2402" spans="1:5" ht="26" hidden="1" x14ac:dyDescent="0.15">
      <c r="A2402" s="1" t="s">
        <v>55</v>
      </c>
      <c r="B2402" s="2">
        <v>772383</v>
      </c>
      <c r="C2402" s="3">
        <v>0.33899999999999997</v>
      </c>
      <c r="D2402" s="4" t="s">
        <v>340</v>
      </c>
      <c r="E2402" s="4" t="s">
        <v>2</v>
      </c>
    </row>
    <row r="2403" spans="1:5" hidden="1" x14ac:dyDescent="0.15">
      <c r="A2403" s="1" t="s">
        <v>56</v>
      </c>
      <c r="B2403" s="2">
        <v>487099</v>
      </c>
      <c r="C2403" s="3">
        <v>0.214</v>
      </c>
      <c r="D2403" s="4" t="s">
        <v>340</v>
      </c>
      <c r="E2403" s="4" t="s">
        <v>2</v>
      </c>
    </row>
    <row r="2404" spans="1:5" hidden="1" x14ac:dyDescent="0.15">
      <c r="A2404" s="1" t="s">
        <v>57</v>
      </c>
      <c r="B2404" s="2">
        <v>323398</v>
      </c>
      <c r="C2404" s="3">
        <v>0.14199999999999999</v>
      </c>
      <c r="D2404" s="4" t="s">
        <v>340</v>
      </c>
      <c r="E2404" s="4" t="s">
        <v>2</v>
      </c>
    </row>
    <row r="2405" spans="1:5" hidden="1" x14ac:dyDescent="0.15">
      <c r="A2405" s="1" t="s">
        <v>58</v>
      </c>
      <c r="B2405" s="2">
        <v>282657</v>
      </c>
      <c r="C2405" s="3">
        <v>0.124</v>
      </c>
      <c r="D2405" s="4" t="s">
        <v>340</v>
      </c>
      <c r="E2405" s="4" t="s">
        <v>2</v>
      </c>
    </row>
    <row r="2406" spans="1:5" hidden="1" x14ac:dyDescent="0.15">
      <c r="A2406" s="1" t="s">
        <v>59</v>
      </c>
      <c r="B2406" s="2">
        <v>1246085</v>
      </c>
      <c r="C2406" s="3">
        <v>0.54600000000000004</v>
      </c>
      <c r="D2406" s="4" t="s">
        <v>340</v>
      </c>
      <c r="E2406" s="4" t="s">
        <v>2</v>
      </c>
    </row>
    <row r="2407" spans="1:5" hidden="1" x14ac:dyDescent="0.15">
      <c r="A2407" s="1" t="s">
        <v>60</v>
      </c>
      <c r="B2407" s="2">
        <v>291426</v>
      </c>
      <c r="C2407" s="3">
        <v>0.128</v>
      </c>
      <c r="D2407" s="4" t="s">
        <v>340</v>
      </c>
      <c r="E2407" s="4" t="s">
        <v>2</v>
      </c>
    </row>
    <row r="2408" spans="1:5" ht="26" hidden="1" x14ac:dyDescent="0.15">
      <c r="A2408" s="1" t="s">
        <v>61</v>
      </c>
      <c r="B2408" s="2">
        <v>263382</v>
      </c>
      <c r="C2408" s="3">
        <v>0.115</v>
      </c>
      <c r="D2408" s="4" t="s">
        <v>340</v>
      </c>
      <c r="E2408" s="4" t="s">
        <v>2</v>
      </c>
    </row>
    <row r="2409" spans="1:5" hidden="1" x14ac:dyDescent="0.15">
      <c r="A2409" s="1" t="s">
        <v>62</v>
      </c>
      <c r="B2409" s="2">
        <v>110412</v>
      </c>
      <c r="C2409" s="3">
        <v>4.8000000000000001E-2</v>
      </c>
      <c r="D2409" s="4" t="s">
        <v>340</v>
      </c>
      <c r="E2409" s="4" t="s">
        <v>2</v>
      </c>
    </row>
    <row r="2410" spans="1:5" ht="26" hidden="1" x14ac:dyDescent="0.15">
      <c r="A2410" s="1" t="s">
        <v>63</v>
      </c>
      <c r="B2410" s="2">
        <v>220648</v>
      </c>
      <c r="C2410" s="3">
        <v>9.6999999999999989E-2</v>
      </c>
      <c r="D2410" s="4" t="s">
        <v>340</v>
      </c>
      <c r="E2410" s="4" t="s">
        <v>2</v>
      </c>
    </row>
    <row r="2411" spans="1:5" ht="26" hidden="1" x14ac:dyDescent="0.15">
      <c r="A2411" s="1" t="s">
        <v>64</v>
      </c>
      <c r="B2411" s="2">
        <v>211360</v>
      </c>
      <c r="C2411" s="3">
        <v>9.3000000000000013E-2</v>
      </c>
      <c r="D2411" s="4" t="s">
        <v>340</v>
      </c>
      <c r="E2411" s="4" t="s">
        <v>2</v>
      </c>
    </row>
    <row r="2412" spans="1:5" hidden="1" x14ac:dyDescent="0.15">
      <c r="A2412" s="1" t="s">
        <v>65</v>
      </c>
      <c r="B2412" s="2">
        <v>277582</v>
      </c>
      <c r="C2412" s="3">
        <v>0.122</v>
      </c>
      <c r="D2412" s="4" t="s">
        <v>340</v>
      </c>
      <c r="E2412" s="4" t="s">
        <v>2</v>
      </c>
    </row>
    <row r="2413" spans="1:5" hidden="1" x14ac:dyDescent="0.15">
      <c r="A2413" s="1" t="s">
        <v>66</v>
      </c>
      <c r="B2413" s="2">
        <v>174360</v>
      </c>
      <c r="C2413" s="3">
        <v>7.5999999999999998E-2</v>
      </c>
      <c r="D2413" s="4" t="s">
        <v>340</v>
      </c>
      <c r="E2413" s="4" t="s">
        <v>2</v>
      </c>
    </row>
    <row r="2414" spans="1:5" hidden="1" x14ac:dyDescent="0.15">
      <c r="A2414" s="1" t="s">
        <v>67</v>
      </c>
      <c r="B2414" s="2">
        <v>602992</v>
      </c>
      <c r="C2414" s="3">
        <v>0.26400000000000001</v>
      </c>
      <c r="D2414" s="4" t="s">
        <v>340</v>
      </c>
      <c r="E2414" s="4" t="s">
        <v>2</v>
      </c>
    </row>
    <row r="2415" spans="1:5" hidden="1" x14ac:dyDescent="0.15">
      <c r="A2415" s="1" t="s">
        <v>68</v>
      </c>
      <c r="B2415" s="2">
        <v>475844</v>
      </c>
      <c r="C2415" s="3">
        <v>0.20899999999999999</v>
      </c>
      <c r="D2415" s="4" t="s">
        <v>340</v>
      </c>
      <c r="E2415" s="4" t="s">
        <v>2</v>
      </c>
    </row>
    <row r="2416" spans="1:5" hidden="1" x14ac:dyDescent="0.15">
      <c r="A2416" s="1" t="s">
        <v>69</v>
      </c>
      <c r="B2416" s="2">
        <v>1788255</v>
      </c>
      <c r="C2416" s="3">
        <v>0.78400000000000003</v>
      </c>
      <c r="D2416" s="4" t="s">
        <v>340</v>
      </c>
      <c r="E2416" s="4" t="s">
        <v>2</v>
      </c>
    </row>
    <row r="2417" spans="1:5" hidden="1" x14ac:dyDescent="0.15">
      <c r="A2417" s="1" t="s">
        <v>70</v>
      </c>
      <c r="B2417" s="2">
        <v>1295593</v>
      </c>
      <c r="C2417" s="3">
        <v>0.56799999999999995</v>
      </c>
      <c r="D2417" s="4" t="s">
        <v>340</v>
      </c>
      <c r="E2417" s="4" t="s">
        <v>2</v>
      </c>
    </row>
    <row r="2418" spans="1:5" ht="26" hidden="1" x14ac:dyDescent="0.15">
      <c r="A2418" s="1" t="s">
        <v>71</v>
      </c>
      <c r="B2418" s="2">
        <v>57659</v>
      </c>
      <c r="C2418" s="3">
        <v>2.5000000000000001E-2</v>
      </c>
      <c r="D2418" s="4" t="s">
        <v>340</v>
      </c>
      <c r="E2418" s="4" t="s">
        <v>2</v>
      </c>
    </row>
    <row r="2419" spans="1:5" hidden="1" x14ac:dyDescent="0.15">
      <c r="A2419" s="1" t="s">
        <v>72</v>
      </c>
      <c r="B2419" s="2">
        <v>255188</v>
      </c>
      <c r="C2419" s="3">
        <v>0.11199999999999999</v>
      </c>
      <c r="D2419" s="4" t="s">
        <v>340</v>
      </c>
      <c r="E2419" s="4" t="s">
        <v>2</v>
      </c>
    </row>
    <row r="2420" spans="1:5" hidden="1" x14ac:dyDescent="0.15">
      <c r="A2420" s="1" t="s">
        <v>73</v>
      </c>
      <c r="B2420" s="2">
        <v>1420826</v>
      </c>
      <c r="C2420" s="3">
        <v>0.623</v>
      </c>
      <c r="D2420" s="4" t="s">
        <v>340</v>
      </c>
      <c r="E2420" s="4" t="s">
        <v>2</v>
      </c>
    </row>
    <row r="2421" spans="1:5" hidden="1" x14ac:dyDescent="0.15">
      <c r="A2421" s="1" t="s">
        <v>74</v>
      </c>
      <c r="B2421" s="2">
        <v>621948</v>
      </c>
      <c r="C2421" s="3">
        <v>0.27300000000000002</v>
      </c>
      <c r="D2421" s="4" t="s">
        <v>340</v>
      </c>
      <c r="E2421" s="4" t="s">
        <v>2</v>
      </c>
    </row>
    <row r="2422" spans="1:5" hidden="1" x14ac:dyDescent="0.15">
      <c r="A2422" s="1" t="s">
        <v>75</v>
      </c>
      <c r="B2422" s="2">
        <v>417871</v>
      </c>
      <c r="C2422" s="3">
        <v>0.183</v>
      </c>
      <c r="D2422" s="4" t="s">
        <v>340</v>
      </c>
      <c r="E2422" s="4" t="s">
        <v>2</v>
      </c>
    </row>
    <row r="2423" spans="1:5" hidden="1" x14ac:dyDescent="0.15">
      <c r="A2423" s="1" t="s">
        <v>76</v>
      </c>
      <c r="B2423" s="2">
        <v>199818</v>
      </c>
      <c r="C2423" s="3">
        <v>8.8000000000000009E-2</v>
      </c>
      <c r="D2423" s="4" t="s">
        <v>340</v>
      </c>
      <c r="E2423" s="4" t="s">
        <v>2</v>
      </c>
    </row>
    <row r="2424" spans="1:5" hidden="1" x14ac:dyDescent="0.15">
      <c r="A2424" s="1" t="s">
        <v>77</v>
      </c>
      <c r="B2424" s="2">
        <v>162319</v>
      </c>
      <c r="C2424" s="3">
        <v>7.0999999999999994E-2</v>
      </c>
      <c r="D2424" s="4" t="s">
        <v>340</v>
      </c>
      <c r="E2424" s="4" t="s">
        <v>2</v>
      </c>
    </row>
    <row r="2425" spans="1:5" ht="26" hidden="1" x14ac:dyDescent="0.15">
      <c r="A2425" s="1" t="s">
        <v>78</v>
      </c>
      <c r="B2425" s="2">
        <v>266450</v>
      </c>
      <c r="C2425" s="3">
        <v>0.11699999999999999</v>
      </c>
      <c r="D2425" s="4" t="s">
        <v>340</v>
      </c>
      <c r="E2425" s="4" t="s">
        <v>2</v>
      </c>
    </row>
    <row r="2426" spans="1:5" hidden="1" x14ac:dyDescent="0.15">
      <c r="A2426" s="1" t="s">
        <v>79</v>
      </c>
      <c r="B2426" s="2">
        <v>288290</v>
      </c>
      <c r="C2426" s="3">
        <v>0.126</v>
      </c>
      <c r="D2426" s="4" t="s">
        <v>340</v>
      </c>
      <c r="E2426" s="4" t="s">
        <v>2</v>
      </c>
    </row>
    <row r="2427" spans="1:5" hidden="1" x14ac:dyDescent="0.15">
      <c r="A2427" s="1" t="s">
        <v>80</v>
      </c>
      <c r="B2427" s="2">
        <v>170245</v>
      </c>
      <c r="C2427" s="3">
        <v>7.4999999999999997E-2</v>
      </c>
      <c r="D2427" s="4" t="s">
        <v>340</v>
      </c>
      <c r="E2427" s="4" t="s">
        <v>2</v>
      </c>
    </row>
    <row r="2428" spans="1:5" ht="26" hidden="1" x14ac:dyDescent="0.15">
      <c r="A2428" s="1" t="s">
        <v>81</v>
      </c>
      <c r="B2428" s="2">
        <v>271951</v>
      </c>
      <c r="C2428" s="3">
        <v>0.11900000000000001</v>
      </c>
      <c r="D2428" s="4" t="s">
        <v>340</v>
      </c>
      <c r="E2428" s="4" t="s">
        <v>2</v>
      </c>
    </row>
    <row r="2429" spans="1:5" hidden="1" x14ac:dyDescent="0.15">
      <c r="A2429" s="1" t="s">
        <v>82</v>
      </c>
      <c r="B2429" s="2">
        <v>245173</v>
      </c>
      <c r="C2429" s="3">
        <v>0.10800000000000001</v>
      </c>
      <c r="D2429" s="4" t="s">
        <v>340</v>
      </c>
      <c r="E2429" s="4" t="s">
        <v>2</v>
      </c>
    </row>
    <row r="2430" spans="1:5" hidden="1" x14ac:dyDescent="0.15">
      <c r="A2430" s="4"/>
      <c r="B2430" s="4"/>
      <c r="C2430" s="4"/>
      <c r="D2430" s="4" t="s">
        <v>340</v>
      </c>
      <c r="E2430" s="4" t="s">
        <v>2</v>
      </c>
    </row>
    <row r="2431" spans="1:5" hidden="1" x14ac:dyDescent="0.15">
      <c r="A2431" s="16"/>
      <c r="B2431" s="16"/>
      <c r="C2431" s="16"/>
      <c r="D2431" s="4" t="s">
        <v>340</v>
      </c>
      <c r="E2431" s="4" t="s">
        <v>2</v>
      </c>
    </row>
    <row r="2432" spans="1:5" ht="26" hidden="1" x14ac:dyDescent="0.15">
      <c r="A2432" s="1" t="s">
        <v>84</v>
      </c>
      <c r="B2432" s="2">
        <v>1294928</v>
      </c>
      <c r="C2432" s="3">
        <v>0.56799999999999995</v>
      </c>
      <c r="D2432" s="4" t="s">
        <v>340</v>
      </c>
      <c r="E2432" s="4" t="s">
        <v>2</v>
      </c>
    </row>
    <row r="2433" spans="1:5" hidden="1" x14ac:dyDescent="0.15">
      <c r="A2433" s="4"/>
      <c r="B2433" s="4"/>
      <c r="C2433" s="4"/>
      <c r="D2433" s="4" t="s">
        <v>340</v>
      </c>
      <c r="E2433" s="4" t="s">
        <v>2</v>
      </c>
    </row>
    <row r="2434" spans="1:5" hidden="1" x14ac:dyDescent="0.15">
      <c r="A2434" s="16"/>
      <c r="B2434" s="16"/>
      <c r="C2434" s="16"/>
      <c r="D2434" s="4" t="s">
        <v>340</v>
      </c>
      <c r="E2434" s="4" t="s">
        <v>2</v>
      </c>
    </row>
    <row r="2435" spans="1:5" ht="26" hidden="1" x14ac:dyDescent="0.15">
      <c r="A2435" s="1" t="s">
        <v>88</v>
      </c>
      <c r="B2435" s="2">
        <v>1770753</v>
      </c>
      <c r="C2435" s="3">
        <v>0.77599999999999991</v>
      </c>
      <c r="D2435" s="4" t="s">
        <v>340</v>
      </c>
      <c r="E2435" s="4" t="s">
        <v>2</v>
      </c>
    </row>
    <row r="2436" spans="1:5" hidden="1" x14ac:dyDescent="0.15">
      <c r="A2436" s="4"/>
      <c r="B2436" s="4"/>
      <c r="C2436" s="4"/>
      <c r="D2436" s="4" t="s">
        <v>340</v>
      </c>
      <c r="E2436" s="4" t="s">
        <v>2</v>
      </c>
    </row>
    <row r="2437" spans="1:5" hidden="1" x14ac:dyDescent="0.15">
      <c r="A2437" s="16"/>
      <c r="B2437" s="16"/>
      <c r="C2437" s="16"/>
      <c r="D2437" s="4" t="s">
        <v>340</v>
      </c>
      <c r="E2437" s="4" t="s">
        <v>2</v>
      </c>
    </row>
    <row r="2438" spans="1:5" ht="26" hidden="1" x14ac:dyDescent="0.15">
      <c r="A2438" s="1" t="s">
        <v>90</v>
      </c>
      <c r="B2438" s="2">
        <v>1226424</v>
      </c>
      <c r="C2438" s="3">
        <v>0.53799999999999992</v>
      </c>
      <c r="D2438" s="4" t="s">
        <v>340</v>
      </c>
      <c r="E2438" s="4" t="s">
        <v>2</v>
      </c>
    </row>
    <row r="2439" spans="1:5" hidden="1" x14ac:dyDescent="0.15">
      <c r="A2439" s="4"/>
      <c r="B2439" s="4"/>
      <c r="C2439" s="4"/>
      <c r="D2439" s="4" t="s">
        <v>340</v>
      </c>
      <c r="E2439" s="4" t="s">
        <v>2</v>
      </c>
    </row>
    <row r="2440" spans="1:5" hidden="1" x14ac:dyDescent="0.15">
      <c r="A2440" s="16"/>
      <c r="B2440" s="16"/>
      <c r="C2440" s="16"/>
      <c r="D2440" s="4" t="s">
        <v>340</v>
      </c>
      <c r="E2440" s="4" t="s">
        <v>2</v>
      </c>
    </row>
    <row r="2441" spans="1:5" ht="26" hidden="1" x14ac:dyDescent="0.15">
      <c r="A2441" s="1" t="s">
        <v>341</v>
      </c>
      <c r="B2441" s="2">
        <v>104780</v>
      </c>
      <c r="C2441" s="3">
        <v>4.5999999999999999E-2</v>
      </c>
      <c r="D2441" s="4" t="s">
        <v>340</v>
      </c>
      <c r="E2441" s="4" t="s">
        <v>2</v>
      </c>
    </row>
    <row r="2442" spans="1:5" ht="26" hidden="1" x14ac:dyDescent="0.15">
      <c r="A2442" s="1" t="s">
        <v>342</v>
      </c>
      <c r="B2442" s="2">
        <v>152222</v>
      </c>
      <c r="C2442" s="3">
        <v>6.7000000000000004E-2</v>
      </c>
      <c r="D2442" s="4" t="s">
        <v>340</v>
      </c>
      <c r="E2442" s="4" t="s">
        <v>2</v>
      </c>
    </row>
    <row r="2443" spans="1:5" ht="26" hidden="1" x14ac:dyDescent="0.15">
      <c r="A2443" s="1" t="s">
        <v>343</v>
      </c>
      <c r="B2443" s="2">
        <v>330407</v>
      </c>
      <c r="C2443" s="3">
        <v>0.14499999999999999</v>
      </c>
      <c r="D2443" s="4" t="s">
        <v>340</v>
      </c>
      <c r="E2443" s="4" t="s">
        <v>2</v>
      </c>
    </row>
    <row r="2444" spans="1:5" ht="26" hidden="1" x14ac:dyDescent="0.15">
      <c r="A2444" s="1" t="s">
        <v>344</v>
      </c>
      <c r="B2444" s="2">
        <v>191197</v>
      </c>
      <c r="C2444" s="3">
        <v>8.4000000000000005E-2</v>
      </c>
      <c r="D2444" s="4" t="s">
        <v>340</v>
      </c>
      <c r="E2444" s="4" t="s">
        <v>2</v>
      </c>
    </row>
    <row r="2445" spans="1:5" ht="26" hidden="1" x14ac:dyDescent="0.15">
      <c r="A2445" s="1" t="s">
        <v>345</v>
      </c>
      <c r="B2445" s="2">
        <v>503426</v>
      </c>
      <c r="C2445" s="3">
        <v>0.221</v>
      </c>
      <c r="D2445" s="4" t="s">
        <v>340</v>
      </c>
      <c r="E2445" s="4" t="s">
        <v>2</v>
      </c>
    </row>
    <row r="2446" spans="1:5" ht="39" hidden="1" x14ac:dyDescent="0.15">
      <c r="A2446" s="1" t="s">
        <v>346</v>
      </c>
      <c r="B2446" s="2">
        <v>553220</v>
      </c>
      <c r="C2446" s="3">
        <v>0.24299999999999999</v>
      </c>
      <c r="D2446" s="4" t="s">
        <v>340</v>
      </c>
      <c r="E2446" s="4" t="s">
        <v>2</v>
      </c>
    </row>
    <row r="2447" spans="1:5" ht="39" hidden="1" x14ac:dyDescent="0.15">
      <c r="A2447" s="1" t="s">
        <v>347</v>
      </c>
      <c r="B2447" s="2">
        <v>685649</v>
      </c>
      <c r="C2447" s="3">
        <v>0.30099999999999999</v>
      </c>
      <c r="D2447" s="4" t="s">
        <v>340</v>
      </c>
      <c r="E2447" s="4" t="s">
        <v>2</v>
      </c>
    </row>
    <row r="2448" spans="1:5" ht="26" hidden="1" x14ac:dyDescent="0.15">
      <c r="A2448" s="1" t="s">
        <v>348</v>
      </c>
      <c r="B2448" s="2">
        <v>61943</v>
      </c>
      <c r="C2448" s="3">
        <v>2.7000000000000003E-2</v>
      </c>
      <c r="D2448" s="4" t="s">
        <v>340</v>
      </c>
      <c r="E2448" s="4" t="s">
        <v>2</v>
      </c>
    </row>
    <row r="2449" spans="1:5" ht="39" hidden="1" x14ac:dyDescent="0.15">
      <c r="A2449" s="1" t="s">
        <v>349</v>
      </c>
      <c r="B2449" s="2">
        <v>246315</v>
      </c>
      <c r="C2449" s="3">
        <v>0.10800000000000001</v>
      </c>
      <c r="D2449" s="4" t="s">
        <v>340</v>
      </c>
      <c r="E2449" s="4" t="s">
        <v>2</v>
      </c>
    </row>
    <row r="2450" spans="1:5" ht="26" hidden="1" x14ac:dyDescent="0.15">
      <c r="A2450" s="1" t="s">
        <v>350</v>
      </c>
      <c r="B2450" s="2">
        <v>401254</v>
      </c>
      <c r="C2450" s="3">
        <v>0.17600000000000002</v>
      </c>
      <c r="D2450" s="4" t="s">
        <v>340</v>
      </c>
      <c r="E2450" s="4" t="s">
        <v>2</v>
      </c>
    </row>
    <row r="2451" spans="1:5" hidden="1" x14ac:dyDescent="0.15">
      <c r="A2451" s="1" t="s">
        <v>0</v>
      </c>
      <c r="B2451" s="2">
        <v>3774234</v>
      </c>
      <c r="C2451" s="3">
        <v>1</v>
      </c>
      <c r="D2451" s="4" t="s">
        <v>351</v>
      </c>
      <c r="E2451" s="4" t="s">
        <v>156</v>
      </c>
    </row>
    <row r="2452" spans="1:5" ht="26" hidden="1" x14ac:dyDescent="0.15">
      <c r="A2452" s="1" t="s">
        <v>3</v>
      </c>
      <c r="B2452" s="2">
        <v>59365</v>
      </c>
      <c r="C2452" s="3">
        <v>1.6E-2</v>
      </c>
      <c r="D2452" s="4" t="s">
        <v>351</v>
      </c>
      <c r="E2452" s="4" t="s">
        <v>156</v>
      </c>
    </row>
    <row r="2453" spans="1:5" hidden="1" x14ac:dyDescent="0.15">
      <c r="A2453" s="1" t="s">
        <v>4</v>
      </c>
      <c r="B2453" s="2">
        <v>41220</v>
      </c>
      <c r="C2453" s="3">
        <v>1.1000000000000001E-2</v>
      </c>
      <c r="D2453" s="4" t="s">
        <v>351</v>
      </c>
      <c r="E2453" s="4" t="s">
        <v>156</v>
      </c>
    </row>
    <row r="2454" spans="1:5" ht="26" hidden="1" x14ac:dyDescent="0.15">
      <c r="A2454" s="1" t="s">
        <v>5</v>
      </c>
      <c r="B2454" s="2">
        <v>69374</v>
      </c>
      <c r="C2454" s="3">
        <v>1.8000000000000002E-2</v>
      </c>
      <c r="D2454" s="4" t="s">
        <v>351</v>
      </c>
      <c r="E2454" s="4" t="s">
        <v>156</v>
      </c>
    </row>
    <row r="2455" spans="1:5" ht="26" hidden="1" x14ac:dyDescent="0.15">
      <c r="A2455" s="1" t="s">
        <v>6</v>
      </c>
      <c r="B2455" s="2">
        <v>211205</v>
      </c>
      <c r="C2455" s="3">
        <v>5.5999999999999994E-2</v>
      </c>
      <c r="D2455" s="4" t="s">
        <v>351</v>
      </c>
      <c r="E2455" s="4" t="s">
        <v>156</v>
      </c>
    </row>
    <row r="2456" spans="1:5" ht="26" hidden="1" x14ac:dyDescent="0.15">
      <c r="A2456" s="1" t="s">
        <v>7</v>
      </c>
      <c r="B2456" s="2">
        <v>556056</v>
      </c>
      <c r="C2456" s="3">
        <v>0.14699999999999999</v>
      </c>
      <c r="D2456" s="4" t="s">
        <v>351</v>
      </c>
      <c r="E2456" s="4" t="s">
        <v>156</v>
      </c>
    </row>
    <row r="2457" spans="1:5" ht="26" hidden="1" x14ac:dyDescent="0.15">
      <c r="A2457" s="1" t="s">
        <v>8</v>
      </c>
      <c r="B2457" s="2">
        <v>20382</v>
      </c>
      <c r="C2457" s="3">
        <v>5.0000000000000001E-3</v>
      </c>
      <c r="D2457" s="4" t="s">
        <v>351</v>
      </c>
      <c r="E2457" s="4" t="s">
        <v>156</v>
      </c>
    </row>
    <row r="2458" spans="1:5" ht="26" hidden="1" x14ac:dyDescent="0.15">
      <c r="A2458" s="1" t="s">
        <v>9</v>
      </c>
      <c r="B2458" s="2">
        <v>122139</v>
      </c>
      <c r="C2458" s="3">
        <v>3.2000000000000001E-2</v>
      </c>
      <c r="D2458" s="4" t="s">
        <v>351</v>
      </c>
      <c r="E2458" s="4" t="s">
        <v>156</v>
      </c>
    </row>
    <row r="2459" spans="1:5" ht="26" hidden="1" x14ac:dyDescent="0.15">
      <c r="A2459" s="1" t="s">
        <v>10</v>
      </c>
      <c r="B2459" s="2">
        <v>145873</v>
      </c>
      <c r="C2459" s="3">
        <v>3.9E-2</v>
      </c>
      <c r="D2459" s="4" t="s">
        <v>351</v>
      </c>
      <c r="E2459" s="4" t="s">
        <v>156</v>
      </c>
    </row>
    <row r="2460" spans="1:5" ht="26" hidden="1" x14ac:dyDescent="0.15">
      <c r="A2460" s="1" t="s">
        <v>11</v>
      </c>
      <c r="B2460" s="2">
        <v>223038</v>
      </c>
      <c r="C2460" s="3">
        <v>5.9000000000000004E-2</v>
      </c>
      <c r="D2460" s="4" t="s">
        <v>351</v>
      </c>
      <c r="E2460" s="4" t="s">
        <v>156</v>
      </c>
    </row>
    <row r="2461" spans="1:5" ht="26" hidden="1" x14ac:dyDescent="0.15">
      <c r="A2461" s="1" t="s">
        <v>12</v>
      </c>
      <c r="B2461" s="2">
        <v>54870</v>
      </c>
      <c r="C2461" s="3">
        <v>1.4999999999999999E-2</v>
      </c>
      <c r="D2461" s="4" t="s">
        <v>351</v>
      </c>
      <c r="E2461" s="4" t="s">
        <v>156</v>
      </c>
    </row>
    <row r="2462" spans="1:5" ht="26" hidden="1" x14ac:dyDescent="0.15">
      <c r="A2462" s="1" t="s">
        <v>13</v>
      </c>
      <c r="B2462" s="2">
        <v>28172</v>
      </c>
      <c r="C2462" s="3">
        <v>6.9999999999999993E-3</v>
      </c>
      <c r="D2462" s="4" t="s">
        <v>351</v>
      </c>
      <c r="E2462" s="4" t="s">
        <v>156</v>
      </c>
    </row>
    <row r="2463" spans="1:5" hidden="1" x14ac:dyDescent="0.15">
      <c r="A2463" s="1" t="s">
        <v>14</v>
      </c>
      <c r="B2463" s="2">
        <v>257967</v>
      </c>
      <c r="C2463" s="3">
        <v>6.8000000000000005E-2</v>
      </c>
      <c r="D2463" s="4" t="s">
        <v>351</v>
      </c>
      <c r="E2463" s="4" t="s">
        <v>156</v>
      </c>
    </row>
    <row r="2464" spans="1:5" ht="26" hidden="1" x14ac:dyDescent="0.15">
      <c r="A2464" s="1" t="s">
        <v>15</v>
      </c>
      <c r="B2464" s="2">
        <v>121813</v>
      </c>
      <c r="C2464" s="3">
        <v>3.2000000000000001E-2</v>
      </c>
      <c r="D2464" s="4" t="s">
        <v>351</v>
      </c>
      <c r="E2464" s="4" t="s">
        <v>156</v>
      </c>
    </row>
    <row r="2465" spans="1:5" ht="26" hidden="1" x14ac:dyDescent="0.15">
      <c r="A2465" s="1" t="s">
        <v>16</v>
      </c>
      <c r="B2465" s="2">
        <v>119207</v>
      </c>
      <c r="C2465" s="3">
        <v>3.2000000000000001E-2</v>
      </c>
      <c r="D2465" s="4" t="s">
        <v>351</v>
      </c>
      <c r="E2465" s="4" t="s">
        <v>156</v>
      </c>
    </row>
    <row r="2466" spans="1:5" ht="26" hidden="1" x14ac:dyDescent="0.15">
      <c r="A2466" s="1" t="s">
        <v>17</v>
      </c>
      <c r="B2466" s="2">
        <v>117431</v>
      </c>
      <c r="C2466" s="3">
        <v>3.1E-2</v>
      </c>
      <c r="D2466" s="4" t="s">
        <v>351</v>
      </c>
      <c r="E2466" s="4" t="s">
        <v>156</v>
      </c>
    </row>
    <row r="2467" spans="1:5" hidden="1" x14ac:dyDescent="0.15">
      <c r="A2467" s="1" t="s">
        <v>18</v>
      </c>
      <c r="B2467" s="2">
        <v>80902</v>
      </c>
      <c r="C2467" s="3">
        <v>2.1000000000000001E-2</v>
      </c>
      <c r="D2467" s="4" t="s">
        <v>351</v>
      </c>
      <c r="E2467" s="4" t="s">
        <v>156</v>
      </c>
    </row>
    <row r="2468" spans="1:5" hidden="1" x14ac:dyDescent="0.15">
      <c r="A2468" s="1" t="s">
        <v>19</v>
      </c>
      <c r="B2468" s="2">
        <v>544045</v>
      </c>
      <c r="C2468" s="3">
        <v>0.14400000000000002</v>
      </c>
      <c r="D2468" s="4" t="s">
        <v>351</v>
      </c>
      <c r="E2468" s="4" t="s">
        <v>156</v>
      </c>
    </row>
    <row r="2469" spans="1:5" hidden="1" x14ac:dyDescent="0.15">
      <c r="A2469" s="1" t="s">
        <v>20</v>
      </c>
      <c r="B2469" s="2">
        <v>87245</v>
      </c>
      <c r="C2469" s="3">
        <v>2.3E-2</v>
      </c>
      <c r="D2469" s="4" t="s">
        <v>351</v>
      </c>
      <c r="E2469" s="4" t="s">
        <v>156</v>
      </c>
    </row>
    <row r="2470" spans="1:5" ht="26" hidden="1" x14ac:dyDescent="0.15">
      <c r="A2470" s="1" t="s">
        <v>21</v>
      </c>
      <c r="B2470" s="2">
        <v>122824</v>
      </c>
      <c r="C2470" s="3">
        <v>3.3000000000000002E-2</v>
      </c>
      <c r="D2470" s="4" t="s">
        <v>351</v>
      </c>
      <c r="E2470" s="4" t="s">
        <v>156</v>
      </c>
    </row>
    <row r="2471" spans="1:5" ht="26" hidden="1" x14ac:dyDescent="0.15">
      <c r="A2471" s="1" t="s">
        <v>22</v>
      </c>
      <c r="B2471" s="2">
        <v>83568</v>
      </c>
      <c r="C2471" s="3">
        <v>2.2000000000000002E-2</v>
      </c>
      <c r="D2471" s="4" t="s">
        <v>351</v>
      </c>
      <c r="E2471" s="4" t="s">
        <v>156</v>
      </c>
    </row>
    <row r="2472" spans="1:5" ht="26" hidden="1" x14ac:dyDescent="0.15">
      <c r="A2472" s="1" t="s">
        <v>23</v>
      </c>
      <c r="B2472" s="2">
        <v>55557</v>
      </c>
      <c r="C2472" s="3">
        <v>1.4999999999999999E-2</v>
      </c>
      <c r="D2472" s="4" t="s">
        <v>351</v>
      </c>
      <c r="E2472" s="4" t="s">
        <v>156</v>
      </c>
    </row>
    <row r="2473" spans="1:5" ht="26" hidden="1" x14ac:dyDescent="0.15">
      <c r="A2473" s="1" t="s">
        <v>24</v>
      </c>
      <c r="B2473" s="2">
        <v>6830</v>
      </c>
      <c r="C2473" s="3">
        <v>2E-3</v>
      </c>
      <c r="D2473" s="4" t="s">
        <v>351</v>
      </c>
      <c r="E2473" s="4" t="s">
        <v>156</v>
      </c>
    </row>
    <row r="2474" spans="1:5" ht="26" hidden="1" x14ac:dyDescent="0.15">
      <c r="A2474" s="1" t="s">
        <v>25</v>
      </c>
      <c r="B2474" s="2">
        <v>99073</v>
      </c>
      <c r="C2474" s="3">
        <v>2.6000000000000002E-2</v>
      </c>
      <c r="D2474" s="4" t="s">
        <v>351</v>
      </c>
      <c r="E2474" s="4" t="s">
        <v>156</v>
      </c>
    </row>
    <row r="2475" spans="1:5" hidden="1" x14ac:dyDescent="0.15">
      <c r="A2475" s="1" t="s">
        <v>26</v>
      </c>
      <c r="B2475" s="2">
        <v>57785</v>
      </c>
      <c r="C2475" s="3">
        <v>1.4999999999999999E-2</v>
      </c>
      <c r="D2475" s="4" t="s">
        <v>351</v>
      </c>
      <c r="E2475" s="4" t="s">
        <v>156</v>
      </c>
    </row>
    <row r="2476" spans="1:5" hidden="1" x14ac:dyDescent="0.15">
      <c r="A2476" s="1" t="s">
        <v>27</v>
      </c>
      <c r="B2476" s="2">
        <v>240794</v>
      </c>
      <c r="C2476" s="3">
        <v>6.4000000000000001E-2</v>
      </c>
      <c r="D2476" s="4" t="s">
        <v>351</v>
      </c>
      <c r="E2476" s="4" t="s">
        <v>156</v>
      </c>
    </row>
    <row r="2477" spans="1:5" hidden="1" x14ac:dyDescent="0.15">
      <c r="A2477" s="1" t="s">
        <v>28</v>
      </c>
      <c r="B2477" s="2">
        <v>353874</v>
      </c>
      <c r="C2477" s="3">
        <v>9.4E-2</v>
      </c>
      <c r="D2477" s="4" t="s">
        <v>351</v>
      </c>
      <c r="E2477" s="4" t="s">
        <v>156</v>
      </c>
    </row>
    <row r="2478" spans="1:5" hidden="1" x14ac:dyDescent="0.15">
      <c r="A2478" s="1" t="s">
        <v>29</v>
      </c>
      <c r="B2478" s="2">
        <v>1093963</v>
      </c>
      <c r="C2478" s="3">
        <v>0.28999999999999998</v>
      </c>
      <c r="D2478" s="4" t="s">
        <v>351</v>
      </c>
      <c r="E2478" s="4" t="s">
        <v>156</v>
      </c>
    </row>
    <row r="2479" spans="1:5" hidden="1" x14ac:dyDescent="0.15">
      <c r="A2479" s="1" t="s">
        <v>30</v>
      </c>
      <c r="B2479" s="2">
        <v>172120</v>
      </c>
      <c r="C2479" s="3">
        <v>4.5999999999999999E-2</v>
      </c>
      <c r="D2479" s="4" t="s">
        <v>351</v>
      </c>
      <c r="E2479" s="4" t="s">
        <v>156</v>
      </c>
    </row>
    <row r="2480" spans="1:5" ht="39" hidden="1" x14ac:dyDescent="0.15">
      <c r="A2480" s="1" t="s">
        <v>31</v>
      </c>
      <c r="B2480" s="2">
        <v>42669</v>
      </c>
      <c r="C2480" s="3">
        <v>1.1000000000000001E-2</v>
      </c>
      <c r="D2480" s="4" t="s">
        <v>351</v>
      </c>
      <c r="E2480" s="4" t="s">
        <v>156</v>
      </c>
    </row>
    <row r="2481" spans="1:5" hidden="1" x14ac:dyDescent="0.15">
      <c r="A2481" s="1" t="s">
        <v>32</v>
      </c>
      <c r="B2481" s="2">
        <v>84717</v>
      </c>
      <c r="C2481" s="3">
        <v>2.2000000000000002E-2</v>
      </c>
      <c r="D2481" s="4" t="s">
        <v>351</v>
      </c>
      <c r="E2481" s="4" t="s">
        <v>156</v>
      </c>
    </row>
    <row r="2482" spans="1:5" hidden="1" x14ac:dyDescent="0.15">
      <c r="A2482" s="1" t="s">
        <v>33</v>
      </c>
      <c r="B2482" s="2">
        <v>1007504</v>
      </c>
      <c r="C2482" s="3">
        <v>0.26700000000000002</v>
      </c>
      <c r="D2482" s="4" t="s">
        <v>351</v>
      </c>
      <c r="E2482" s="4" t="s">
        <v>156</v>
      </c>
    </row>
    <row r="2483" spans="1:5" hidden="1" x14ac:dyDescent="0.15">
      <c r="A2483" s="1" t="s">
        <v>34</v>
      </c>
      <c r="B2483" s="2">
        <v>285042</v>
      </c>
      <c r="C2483" s="3">
        <v>7.5999999999999998E-2</v>
      </c>
      <c r="D2483" s="4" t="s">
        <v>351</v>
      </c>
      <c r="E2483" s="4" t="s">
        <v>156</v>
      </c>
    </row>
    <row r="2484" spans="1:5" hidden="1" x14ac:dyDescent="0.15">
      <c r="A2484" s="1" t="s">
        <v>35</v>
      </c>
      <c r="B2484" s="2">
        <v>186160</v>
      </c>
      <c r="C2484" s="3">
        <v>4.9000000000000002E-2</v>
      </c>
      <c r="D2484" s="4" t="s">
        <v>351</v>
      </c>
      <c r="E2484" s="4" t="s">
        <v>156</v>
      </c>
    </row>
    <row r="2485" spans="1:5" ht="26" hidden="1" x14ac:dyDescent="0.15">
      <c r="A2485" s="1" t="s">
        <v>36</v>
      </c>
      <c r="B2485" s="2">
        <v>79558</v>
      </c>
      <c r="C2485" s="3">
        <v>2.1000000000000001E-2</v>
      </c>
      <c r="D2485" s="4" t="s">
        <v>351</v>
      </c>
      <c r="E2485" s="4" t="s">
        <v>156</v>
      </c>
    </row>
    <row r="2486" spans="1:5" hidden="1" x14ac:dyDescent="0.15">
      <c r="A2486" s="1" t="s">
        <v>37</v>
      </c>
      <c r="B2486" s="2">
        <v>71455</v>
      </c>
      <c r="C2486" s="3">
        <v>1.9E-2</v>
      </c>
      <c r="D2486" s="4" t="s">
        <v>351</v>
      </c>
      <c r="E2486" s="4" t="s">
        <v>156</v>
      </c>
    </row>
    <row r="2487" spans="1:5" ht="39" hidden="1" x14ac:dyDescent="0.15">
      <c r="A2487" s="1" t="s">
        <v>38</v>
      </c>
      <c r="B2487" s="2">
        <v>78886</v>
      </c>
      <c r="C2487" s="3">
        <v>2.1000000000000001E-2</v>
      </c>
      <c r="D2487" s="4" t="s">
        <v>351</v>
      </c>
      <c r="E2487" s="4" t="s">
        <v>156</v>
      </c>
    </row>
    <row r="2488" spans="1:5" hidden="1" x14ac:dyDescent="0.15">
      <c r="A2488" s="1" t="s">
        <v>39</v>
      </c>
      <c r="B2488" s="2">
        <v>225551</v>
      </c>
      <c r="C2488" s="3">
        <v>0.06</v>
      </c>
      <c r="D2488" s="4" t="s">
        <v>351</v>
      </c>
      <c r="E2488" s="4" t="s">
        <v>156</v>
      </c>
    </row>
    <row r="2489" spans="1:5" hidden="1" x14ac:dyDescent="0.15">
      <c r="A2489" s="1" t="s">
        <v>40</v>
      </c>
      <c r="B2489" s="2">
        <v>59130</v>
      </c>
      <c r="C2489" s="3">
        <v>1.6E-2</v>
      </c>
      <c r="D2489" s="4" t="s">
        <v>351</v>
      </c>
      <c r="E2489" s="4" t="s">
        <v>156</v>
      </c>
    </row>
    <row r="2490" spans="1:5" hidden="1" x14ac:dyDescent="0.15">
      <c r="A2490" s="1" t="s">
        <v>41</v>
      </c>
      <c r="B2490" s="2">
        <v>94234</v>
      </c>
      <c r="C2490" s="3">
        <v>2.5000000000000001E-2</v>
      </c>
      <c r="D2490" s="4" t="s">
        <v>351</v>
      </c>
      <c r="E2490" s="4" t="s">
        <v>156</v>
      </c>
    </row>
    <row r="2491" spans="1:5" hidden="1" x14ac:dyDescent="0.15">
      <c r="A2491" s="1" t="s">
        <v>42</v>
      </c>
      <c r="B2491" s="2">
        <v>89231</v>
      </c>
      <c r="C2491" s="3">
        <v>2.4E-2</v>
      </c>
      <c r="D2491" s="4" t="s">
        <v>351</v>
      </c>
      <c r="E2491" s="4" t="s">
        <v>156</v>
      </c>
    </row>
    <row r="2492" spans="1:5" hidden="1" x14ac:dyDescent="0.15">
      <c r="A2492" s="1" t="s">
        <v>43</v>
      </c>
      <c r="B2492" s="2">
        <v>310807</v>
      </c>
      <c r="C2492" s="3">
        <v>8.199999999999999E-2</v>
      </c>
      <c r="D2492" s="4" t="s">
        <v>351</v>
      </c>
      <c r="E2492" s="4" t="s">
        <v>156</v>
      </c>
    </row>
    <row r="2493" spans="1:5" ht="26" hidden="1" x14ac:dyDescent="0.15">
      <c r="A2493" s="1" t="s">
        <v>44</v>
      </c>
      <c r="B2493" s="2">
        <v>564019</v>
      </c>
      <c r="C2493" s="3">
        <v>0.14899999999999999</v>
      </c>
      <c r="D2493" s="4" t="s">
        <v>351</v>
      </c>
      <c r="E2493" s="4" t="s">
        <v>156</v>
      </c>
    </row>
    <row r="2494" spans="1:5" hidden="1" x14ac:dyDescent="0.15">
      <c r="A2494" s="1" t="s">
        <v>45</v>
      </c>
      <c r="B2494" s="2">
        <v>757564</v>
      </c>
      <c r="C2494" s="3">
        <v>0.20100000000000001</v>
      </c>
      <c r="D2494" s="4" t="s">
        <v>351</v>
      </c>
      <c r="E2494" s="4" t="s">
        <v>156</v>
      </c>
    </row>
    <row r="2495" spans="1:5" ht="26" hidden="1" x14ac:dyDescent="0.15">
      <c r="A2495" s="1" t="s">
        <v>46</v>
      </c>
      <c r="B2495" s="2">
        <v>1108133</v>
      </c>
      <c r="C2495" s="3">
        <v>0.29399999999999998</v>
      </c>
      <c r="D2495" s="4" t="s">
        <v>351</v>
      </c>
      <c r="E2495" s="4" t="s">
        <v>156</v>
      </c>
    </row>
    <row r="2496" spans="1:5" hidden="1" x14ac:dyDescent="0.15">
      <c r="A2496" s="1" t="s">
        <v>47</v>
      </c>
      <c r="B2496" s="2">
        <v>1553591</v>
      </c>
      <c r="C2496" s="3">
        <v>0.41200000000000003</v>
      </c>
      <c r="D2496" s="4" t="s">
        <v>351</v>
      </c>
      <c r="E2496" s="4" t="s">
        <v>156</v>
      </c>
    </row>
    <row r="2497" spans="1:5" hidden="1" x14ac:dyDescent="0.15">
      <c r="A2497" s="1" t="s">
        <v>48</v>
      </c>
      <c r="B2497" s="2">
        <v>359205</v>
      </c>
      <c r="C2497" s="3">
        <v>9.5000000000000001E-2</v>
      </c>
      <c r="D2497" s="4" t="s">
        <v>351</v>
      </c>
      <c r="E2497" s="4" t="s">
        <v>156</v>
      </c>
    </row>
    <row r="2498" spans="1:5" hidden="1" x14ac:dyDescent="0.15">
      <c r="A2498" s="1" t="s">
        <v>49</v>
      </c>
      <c r="B2498" s="2">
        <v>475150</v>
      </c>
      <c r="C2498" s="3">
        <v>0.126</v>
      </c>
      <c r="D2498" s="4" t="s">
        <v>351</v>
      </c>
      <c r="E2498" s="4" t="s">
        <v>156</v>
      </c>
    </row>
    <row r="2499" spans="1:5" ht="26" hidden="1" x14ac:dyDescent="0.15">
      <c r="A2499" s="1" t="s">
        <v>50</v>
      </c>
      <c r="B2499" s="2">
        <v>638819</v>
      </c>
      <c r="C2499" s="3">
        <v>0.16899999999999998</v>
      </c>
      <c r="D2499" s="4" t="s">
        <v>351</v>
      </c>
      <c r="E2499" s="4" t="s">
        <v>156</v>
      </c>
    </row>
    <row r="2500" spans="1:5" hidden="1" x14ac:dyDescent="0.15">
      <c r="A2500" s="1" t="s">
        <v>51</v>
      </c>
      <c r="B2500" s="2">
        <v>1175254</v>
      </c>
      <c r="C2500" s="3">
        <v>0.311</v>
      </c>
      <c r="D2500" s="4" t="s">
        <v>351</v>
      </c>
      <c r="E2500" s="4" t="s">
        <v>156</v>
      </c>
    </row>
    <row r="2501" spans="1:5" hidden="1" x14ac:dyDescent="0.15">
      <c r="A2501" s="1" t="s">
        <v>52</v>
      </c>
      <c r="B2501" s="2">
        <v>449678</v>
      </c>
      <c r="C2501" s="3">
        <v>0.11900000000000001</v>
      </c>
      <c r="D2501" s="4" t="s">
        <v>351</v>
      </c>
      <c r="E2501" s="4" t="s">
        <v>156</v>
      </c>
    </row>
    <row r="2502" spans="1:5" ht="26" hidden="1" x14ac:dyDescent="0.15">
      <c r="A2502" s="1" t="s">
        <v>53</v>
      </c>
      <c r="B2502" s="2">
        <v>298164</v>
      </c>
      <c r="C2502" s="3">
        <v>7.9000000000000001E-2</v>
      </c>
      <c r="D2502" s="4" t="s">
        <v>351</v>
      </c>
      <c r="E2502" s="4" t="s">
        <v>156</v>
      </c>
    </row>
    <row r="2503" spans="1:5" hidden="1" x14ac:dyDescent="0.15">
      <c r="A2503" s="1" t="s">
        <v>54</v>
      </c>
      <c r="B2503" s="2">
        <v>1318469</v>
      </c>
      <c r="C2503" s="3">
        <v>0.34899999999999998</v>
      </c>
      <c r="D2503" s="4" t="s">
        <v>351</v>
      </c>
      <c r="E2503" s="4" t="s">
        <v>156</v>
      </c>
    </row>
    <row r="2504" spans="1:5" ht="26" hidden="1" x14ac:dyDescent="0.15">
      <c r="A2504" s="1" t="s">
        <v>55</v>
      </c>
      <c r="B2504" s="2">
        <v>831082</v>
      </c>
      <c r="C2504" s="3">
        <v>0.22</v>
      </c>
      <c r="D2504" s="4" t="s">
        <v>351</v>
      </c>
      <c r="E2504" s="4" t="s">
        <v>156</v>
      </c>
    </row>
    <row r="2505" spans="1:5" hidden="1" x14ac:dyDescent="0.15">
      <c r="A2505" s="1" t="s">
        <v>56</v>
      </c>
      <c r="B2505" s="2">
        <v>770725</v>
      </c>
      <c r="C2505" s="3">
        <v>0.20399999999999999</v>
      </c>
      <c r="D2505" s="4" t="s">
        <v>351</v>
      </c>
      <c r="E2505" s="4" t="s">
        <v>156</v>
      </c>
    </row>
    <row r="2506" spans="1:5" hidden="1" x14ac:dyDescent="0.15">
      <c r="A2506" s="1" t="s">
        <v>57</v>
      </c>
      <c r="B2506" s="2">
        <v>552858</v>
      </c>
      <c r="C2506" s="3">
        <v>0.14599999999999999</v>
      </c>
      <c r="D2506" s="4" t="s">
        <v>351</v>
      </c>
      <c r="E2506" s="4" t="s">
        <v>156</v>
      </c>
    </row>
    <row r="2507" spans="1:5" hidden="1" x14ac:dyDescent="0.15">
      <c r="A2507" s="1" t="s">
        <v>58</v>
      </c>
      <c r="B2507" s="2">
        <v>472675</v>
      </c>
      <c r="C2507" s="3">
        <v>0.125</v>
      </c>
      <c r="D2507" s="4" t="s">
        <v>351</v>
      </c>
      <c r="E2507" s="4" t="s">
        <v>156</v>
      </c>
    </row>
    <row r="2508" spans="1:5" hidden="1" x14ac:dyDescent="0.15">
      <c r="A2508" s="1" t="s">
        <v>59</v>
      </c>
      <c r="B2508" s="2">
        <v>1840350</v>
      </c>
      <c r="C2508" s="3">
        <v>0.48799999999999999</v>
      </c>
      <c r="D2508" s="4" t="s">
        <v>351</v>
      </c>
      <c r="E2508" s="4" t="s">
        <v>156</v>
      </c>
    </row>
    <row r="2509" spans="1:5" hidden="1" x14ac:dyDescent="0.15">
      <c r="A2509" s="1" t="s">
        <v>60</v>
      </c>
      <c r="B2509" s="2">
        <v>552670</v>
      </c>
      <c r="C2509" s="3">
        <v>0.14599999999999999</v>
      </c>
      <c r="D2509" s="4" t="s">
        <v>351</v>
      </c>
      <c r="E2509" s="4" t="s">
        <v>156</v>
      </c>
    </row>
    <row r="2510" spans="1:5" ht="26" hidden="1" x14ac:dyDescent="0.15">
      <c r="A2510" s="1" t="s">
        <v>61</v>
      </c>
      <c r="B2510" s="2">
        <v>600557</v>
      </c>
      <c r="C2510" s="3">
        <v>0.159</v>
      </c>
      <c r="D2510" s="4" t="s">
        <v>351</v>
      </c>
      <c r="E2510" s="4" t="s">
        <v>156</v>
      </c>
    </row>
    <row r="2511" spans="1:5" hidden="1" x14ac:dyDescent="0.15">
      <c r="A2511" s="1" t="s">
        <v>62</v>
      </c>
      <c r="B2511" s="2">
        <v>408430</v>
      </c>
      <c r="C2511" s="3">
        <v>0.10800000000000001</v>
      </c>
      <c r="D2511" s="4" t="s">
        <v>351</v>
      </c>
      <c r="E2511" s="4" t="s">
        <v>156</v>
      </c>
    </row>
    <row r="2512" spans="1:5" ht="26" hidden="1" x14ac:dyDescent="0.15">
      <c r="A2512" s="1" t="s">
        <v>63</v>
      </c>
      <c r="B2512" s="2">
        <v>470199</v>
      </c>
      <c r="C2512" s="3">
        <v>0.125</v>
      </c>
      <c r="D2512" s="4" t="s">
        <v>351</v>
      </c>
      <c r="E2512" s="4" t="s">
        <v>156</v>
      </c>
    </row>
    <row r="2513" spans="1:5" ht="26" hidden="1" x14ac:dyDescent="0.15">
      <c r="A2513" s="1" t="s">
        <v>64</v>
      </c>
      <c r="B2513" s="2">
        <v>267727</v>
      </c>
      <c r="C2513" s="3">
        <v>7.0999999999999994E-2</v>
      </c>
      <c r="D2513" s="4" t="s">
        <v>351</v>
      </c>
      <c r="E2513" s="4" t="s">
        <v>156</v>
      </c>
    </row>
    <row r="2514" spans="1:5" hidden="1" x14ac:dyDescent="0.15">
      <c r="A2514" s="1" t="s">
        <v>65</v>
      </c>
      <c r="B2514" s="2">
        <v>597436</v>
      </c>
      <c r="C2514" s="3">
        <v>0.158</v>
      </c>
      <c r="D2514" s="4" t="s">
        <v>351</v>
      </c>
      <c r="E2514" s="4" t="s">
        <v>156</v>
      </c>
    </row>
    <row r="2515" spans="1:5" hidden="1" x14ac:dyDescent="0.15">
      <c r="A2515" s="1" t="s">
        <v>66</v>
      </c>
      <c r="B2515" s="2">
        <v>266189</v>
      </c>
      <c r="C2515" s="3">
        <v>7.0999999999999994E-2</v>
      </c>
      <c r="D2515" s="4" t="s">
        <v>351</v>
      </c>
      <c r="E2515" s="4" t="s">
        <v>156</v>
      </c>
    </row>
    <row r="2516" spans="1:5" hidden="1" x14ac:dyDescent="0.15">
      <c r="A2516" s="1" t="s">
        <v>67</v>
      </c>
      <c r="B2516" s="2">
        <v>895549</v>
      </c>
      <c r="C2516" s="3">
        <v>0.23699999999999999</v>
      </c>
      <c r="D2516" s="4" t="s">
        <v>351</v>
      </c>
      <c r="E2516" s="4" t="s">
        <v>156</v>
      </c>
    </row>
    <row r="2517" spans="1:5" hidden="1" x14ac:dyDescent="0.15">
      <c r="A2517" s="1" t="s">
        <v>68</v>
      </c>
      <c r="B2517" s="2">
        <v>1501231</v>
      </c>
      <c r="C2517" s="3">
        <v>0.39799999999999996</v>
      </c>
      <c r="D2517" s="4" t="s">
        <v>351</v>
      </c>
      <c r="E2517" s="4" t="s">
        <v>156</v>
      </c>
    </row>
    <row r="2518" spans="1:5" hidden="1" x14ac:dyDescent="0.15">
      <c r="A2518" s="1" t="s">
        <v>69</v>
      </c>
      <c r="B2518" s="2">
        <v>2289853</v>
      </c>
      <c r="C2518" s="3">
        <v>0.60699999999999998</v>
      </c>
      <c r="D2518" s="4" t="s">
        <v>351</v>
      </c>
      <c r="E2518" s="4" t="s">
        <v>156</v>
      </c>
    </row>
    <row r="2519" spans="1:5" hidden="1" x14ac:dyDescent="0.15">
      <c r="A2519" s="1" t="s">
        <v>70</v>
      </c>
      <c r="B2519" s="2">
        <v>1089475</v>
      </c>
      <c r="C2519" s="3">
        <v>0.28899999999999998</v>
      </c>
      <c r="D2519" s="4" t="s">
        <v>351</v>
      </c>
      <c r="E2519" s="4" t="s">
        <v>156</v>
      </c>
    </row>
    <row r="2520" spans="1:5" ht="26" hidden="1" x14ac:dyDescent="0.15">
      <c r="A2520" s="1" t="s">
        <v>71</v>
      </c>
      <c r="B2520" s="2">
        <v>273367</v>
      </c>
      <c r="C2520" s="3">
        <v>7.2000000000000008E-2</v>
      </c>
      <c r="D2520" s="4" t="s">
        <v>351</v>
      </c>
      <c r="E2520" s="4" t="s">
        <v>156</v>
      </c>
    </row>
    <row r="2521" spans="1:5" hidden="1" x14ac:dyDescent="0.15">
      <c r="A2521" s="1" t="s">
        <v>72</v>
      </c>
      <c r="B2521" s="2">
        <v>457243</v>
      </c>
      <c r="C2521" s="3">
        <v>0.121</v>
      </c>
      <c r="D2521" s="4" t="s">
        <v>351</v>
      </c>
      <c r="E2521" s="4" t="s">
        <v>156</v>
      </c>
    </row>
    <row r="2522" spans="1:5" hidden="1" x14ac:dyDescent="0.15">
      <c r="A2522" s="1" t="s">
        <v>73</v>
      </c>
      <c r="B2522" s="2">
        <v>2218618</v>
      </c>
      <c r="C2522" s="3">
        <v>0.58799999999999997</v>
      </c>
      <c r="D2522" s="4" t="s">
        <v>351</v>
      </c>
      <c r="E2522" s="4" t="s">
        <v>156</v>
      </c>
    </row>
    <row r="2523" spans="1:5" hidden="1" x14ac:dyDescent="0.15">
      <c r="A2523" s="1" t="s">
        <v>74</v>
      </c>
      <c r="B2523" s="2">
        <v>963904</v>
      </c>
      <c r="C2523" s="3">
        <v>0.255</v>
      </c>
      <c r="D2523" s="4" t="s">
        <v>351</v>
      </c>
      <c r="E2523" s="4" t="s">
        <v>156</v>
      </c>
    </row>
    <row r="2524" spans="1:5" hidden="1" x14ac:dyDescent="0.15">
      <c r="A2524" s="1" t="s">
        <v>75</v>
      </c>
      <c r="B2524" s="2">
        <v>761928</v>
      </c>
      <c r="C2524" s="3">
        <v>0.20199999999999999</v>
      </c>
      <c r="D2524" s="4" t="s">
        <v>351</v>
      </c>
      <c r="E2524" s="4" t="s">
        <v>156</v>
      </c>
    </row>
    <row r="2525" spans="1:5" hidden="1" x14ac:dyDescent="0.15">
      <c r="A2525" s="1" t="s">
        <v>76</v>
      </c>
      <c r="B2525" s="2">
        <v>577135</v>
      </c>
      <c r="C2525" s="3">
        <v>0.153</v>
      </c>
      <c r="D2525" s="4" t="s">
        <v>351</v>
      </c>
      <c r="E2525" s="4" t="s">
        <v>156</v>
      </c>
    </row>
    <row r="2526" spans="1:5" hidden="1" x14ac:dyDescent="0.15">
      <c r="A2526" s="1" t="s">
        <v>77</v>
      </c>
      <c r="B2526" s="2">
        <v>535584</v>
      </c>
      <c r="C2526" s="3">
        <v>0.14199999999999999</v>
      </c>
      <c r="D2526" s="4" t="s">
        <v>351</v>
      </c>
      <c r="E2526" s="4" t="s">
        <v>156</v>
      </c>
    </row>
    <row r="2527" spans="1:5" ht="26" hidden="1" x14ac:dyDescent="0.15">
      <c r="A2527" s="1" t="s">
        <v>78</v>
      </c>
      <c r="B2527" s="2">
        <v>408792</v>
      </c>
      <c r="C2527" s="3">
        <v>0.10800000000000001</v>
      </c>
      <c r="D2527" s="4" t="s">
        <v>351</v>
      </c>
      <c r="E2527" s="4" t="s">
        <v>156</v>
      </c>
    </row>
    <row r="2528" spans="1:5" hidden="1" x14ac:dyDescent="0.15">
      <c r="A2528" s="1" t="s">
        <v>79</v>
      </c>
      <c r="B2528" s="2">
        <v>684289</v>
      </c>
      <c r="C2528" s="3">
        <v>0.18100000000000002</v>
      </c>
      <c r="D2528" s="4" t="s">
        <v>351</v>
      </c>
      <c r="E2528" s="4" t="s">
        <v>156</v>
      </c>
    </row>
    <row r="2529" spans="1:5" hidden="1" x14ac:dyDescent="0.15">
      <c r="A2529" s="1" t="s">
        <v>80</v>
      </c>
      <c r="B2529" s="2">
        <v>511759</v>
      </c>
      <c r="C2529" s="3">
        <v>0.13600000000000001</v>
      </c>
      <c r="D2529" s="4" t="s">
        <v>351</v>
      </c>
      <c r="E2529" s="4" t="s">
        <v>156</v>
      </c>
    </row>
    <row r="2530" spans="1:5" ht="26" hidden="1" x14ac:dyDescent="0.15">
      <c r="A2530" s="1" t="s">
        <v>81</v>
      </c>
      <c r="B2530" s="2">
        <v>547630</v>
      </c>
      <c r="C2530" s="3">
        <v>0.14499999999999999</v>
      </c>
      <c r="D2530" s="4" t="s">
        <v>351</v>
      </c>
      <c r="E2530" s="4" t="s">
        <v>156</v>
      </c>
    </row>
    <row r="2531" spans="1:5" hidden="1" x14ac:dyDescent="0.15">
      <c r="A2531" s="1" t="s">
        <v>82</v>
      </c>
      <c r="B2531" s="2">
        <v>346327</v>
      </c>
      <c r="C2531" s="3">
        <v>9.1999999999999998E-2</v>
      </c>
      <c r="D2531" s="4" t="s">
        <v>351</v>
      </c>
      <c r="E2531" s="4" t="s">
        <v>156</v>
      </c>
    </row>
    <row r="2532" spans="1:5" hidden="1" x14ac:dyDescent="0.15">
      <c r="A2532" s="4"/>
      <c r="B2532" s="4"/>
      <c r="C2532" s="4"/>
      <c r="D2532" s="4" t="s">
        <v>351</v>
      </c>
      <c r="E2532" s="4" t="s">
        <v>156</v>
      </c>
    </row>
    <row r="2533" spans="1:5" hidden="1" x14ac:dyDescent="0.15">
      <c r="A2533" s="16"/>
      <c r="B2533" s="16"/>
      <c r="C2533" s="16"/>
      <c r="D2533" s="4" t="s">
        <v>351</v>
      </c>
      <c r="E2533" s="4" t="s">
        <v>156</v>
      </c>
    </row>
    <row r="2534" spans="1:5" ht="26" hidden="1" x14ac:dyDescent="0.15">
      <c r="A2534" s="1" t="s">
        <v>157</v>
      </c>
      <c r="B2534" s="2">
        <v>1603728</v>
      </c>
      <c r="C2534" s="3">
        <v>0.42499999999999999</v>
      </c>
      <c r="D2534" s="4" t="s">
        <v>351</v>
      </c>
      <c r="E2534" s="4" t="s">
        <v>156</v>
      </c>
    </row>
    <row r="2535" spans="1:5" hidden="1" x14ac:dyDescent="0.15">
      <c r="A2535" s="4"/>
      <c r="B2535" s="4"/>
      <c r="C2535" s="4"/>
      <c r="D2535" s="4" t="s">
        <v>351</v>
      </c>
      <c r="E2535" s="4" t="s">
        <v>156</v>
      </c>
    </row>
    <row r="2536" spans="1:5" hidden="1" x14ac:dyDescent="0.15">
      <c r="A2536" s="16"/>
      <c r="B2536" s="16"/>
      <c r="C2536" s="16"/>
      <c r="D2536" s="4" t="s">
        <v>351</v>
      </c>
      <c r="E2536" s="4" t="s">
        <v>156</v>
      </c>
    </row>
    <row r="2537" spans="1:5" hidden="1" x14ac:dyDescent="0.15">
      <c r="A2537" s="1" t="s">
        <v>158</v>
      </c>
      <c r="B2537" s="2">
        <v>1371062</v>
      </c>
      <c r="C2537" s="3">
        <v>0.36299999999999999</v>
      </c>
      <c r="D2537" s="4" t="s">
        <v>351</v>
      </c>
      <c r="E2537" s="4" t="s">
        <v>156</v>
      </c>
    </row>
    <row r="2538" spans="1:5" hidden="1" x14ac:dyDescent="0.15">
      <c r="A2538" s="4"/>
      <c r="B2538" s="4"/>
      <c r="C2538" s="4"/>
      <c r="D2538" s="4" t="s">
        <v>351</v>
      </c>
      <c r="E2538" s="4" t="s">
        <v>156</v>
      </c>
    </row>
    <row r="2539" spans="1:5" hidden="1" x14ac:dyDescent="0.15">
      <c r="A2539" s="16"/>
      <c r="B2539" s="16"/>
      <c r="C2539" s="16"/>
      <c r="D2539" s="4" t="s">
        <v>351</v>
      </c>
      <c r="E2539" s="4" t="s">
        <v>156</v>
      </c>
    </row>
    <row r="2540" spans="1:5" ht="26" hidden="1" x14ac:dyDescent="0.15">
      <c r="A2540" s="1" t="s">
        <v>159</v>
      </c>
      <c r="B2540" s="2">
        <v>1866347</v>
      </c>
      <c r="C2540" s="3">
        <v>0.49399999999999999</v>
      </c>
      <c r="D2540" s="4" t="s">
        <v>351</v>
      </c>
      <c r="E2540" s="4" t="s">
        <v>156</v>
      </c>
    </row>
    <row r="2541" spans="1:5" hidden="1" x14ac:dyDescent="0.15">
      <c r="A2541" s="4"/>
      <c r="B2541" s="4"/>
      <c r="C2541" s="4"/>
      <c r="D2541" s="4" t="s">
        <v>351</v>
      </c>
      <c r="E2541" s="4" t="s">
        <v>156</v>
      </c>
    </row>
    <row r="2542" spans="1:5" hidden="1" x14ac:dyDescent="0.15">
      <c r="A2542" s="16"/>
      <c r="B2542" s="16"/>
      <c r="C2542" s="16"/>
      <c r="D2542" s="4" t="s">
        <v>351</v>
      </c>
      <c r="E2542" s="4" t="s">
        <v>156</v>
      </c>
    </row>
    <row r="2543" spans="1:5" ht="26" hidden="1" x14ac:dyDescent="0.15">
      <c r="A2543" s="1" t="s">
        <v>160</v>
      </c>
      <c r="B2543" s="2">
        <v>662337</v>
      </c>
      <c r="C2543" s="3">
        <v>0.17499999999999999</v>
      </c>
      <c r="D2543" s="4" t="s">
        <v>351</v>
      </c>
      <c r="E2543" s="4" t="s">
        <v>156</v>
      </c>
    </row>
    <row r="2544" spans="1:5" hidden="1" x14ac:dyDescent="0.15">
      <c r="A2544" s="4"/>
      <c r="B2544" s="4"/>
      <c r="C2544" s="4"/>
      <c r="D2544" s="4" t="s">
        <v>351</v>
      </c>
      <c r="E2544" s="4" t="s">
        <v>156</v>
      </c>
    </row>
    <row r="2545" spans="1:5" hidden="1" x14ac:dyDescent="0.15">
      <c r="A2545" s="16"/>
      <c r="B2545" s="16"/>
      <c r="C2545" s="16"/>
      <c r="D2545" s="4" t="s">
        <v>351</v>
      </c>
      <c r="E2545" s="4" t="s">
        <v>156</v>
      </c>
    </row>
    <row r="2546" spans="1:5" ht="26" hidden="1" x14ac:dyDescent="0.15">
      <c r="A2546" s="1" t="s">
        <v>352</v>
      </c>
      <c r="B2546" s="2">
        <v>272602</v>
      </c>
      <c r="C2546" s="3">
        <v>7.2000000000000008E-2</v>
      </c>
      <c r="D2546" s="4" t="s">
        <v>351</v>
      </c>
      <c r="E2546" s="4" t="s">
        <v>156</v>
      </c>
    </row>
    <row r="2547" spans="1:5" ht="39" hidden="1" x14ac:dyDescent="0.15">
      <c r="A2547" s="1" t="s">
        <v>353</v>
      </c>
      <c r="B2547" s="2">
        <v>537613</v>
      </c>
      <c r="C2547" s="3">
        <v>0.14199999999999999</v>
      </c>
      <c r="D2547" s="4" t="s">
        <v>351</v>
      </c>
      <c r="E2547" s="4" t="s">
        <v>156</v>
      </c>
    </row>
    <row r="2548" spans="1:5" ht="39" hidden="1" x14ac:dyDescent="0.15">
      <c r="A2548" s="1" t="s">
        <v>354</v>
      </c>
      <c r="B2548" s="2">
        <v>141275</v>
      </c>
      <c r="C2548" s="3">
        <v>3.7000000000000005E-2</v>
      </c>
      <c r="D2548" s="4" t="s">
        <v>351</v>
      </c>
      <c r="E2548" s="4" t="s">
        <v>156</v>
      </c>
    </row>
    <row r="2549" spans="1:5" ht="26" hidden="1" x14ac:dyDescent="0.15">
      <c r="A2549" s="1" t="s">
        <v>355</v>
      </c>
      <c r="B2549" s="2">
        <v>1016252</v>
      </c>
      <c r="C2549" s="3">
        <v>0.26899999999999996</v>
      </c>
      <c r="D2549" s="4" t="s">
        <v>351</v>
      </c>
      <c r="E2549" s="4" t="s">
        <v>156</v>
      </c>
    </row>
    <row r="2550" spans="1:5" ht="26" hidden="1" x14ac:dyDescent="0.15">
      <c r="A2550" s="1" t="s">
        <v>356</v>
      </c>
      <c r="B2550" s="2">
        <v>337327</v>
      </c>
      <c r="C2550" s="3">
        <v>8.900000000000001E-2</v>
      </c>
      <c r="D2550" s="4" t="s">
        <v>351</v>
      </c>
      <c r="E2550" s="4" t="s">
        <v>156</v>
      </c>
    </row>
    <row r="2551" spans="1:5" ht="26" hidden="1" x14ac:dyDescent="0.15">
      <c r="A2551" s="1" t="s">
        <v>357</v>
      </c>
      <c r="B2551" s="2">
        <v>436729</v>
      </c>
      <c r="C2551" s="3">
        <v>0.11599999999999999</v>
      </c>
      <c r="D2551" s="4" t="s">
        <v>351</v>
      </c>
      <c r="E2551" s="4" t="s">
        <v>156</v>
      </c>
    </row>
    <row r="2552" spans="1:5" hidden="1" x14ac:dyDescent="0.15">
      <c r="A2552" s="1" t="s">
        <v>0</v>
      </c>
      <c r="B2552" s="2">
        <v>6320903</v>
      </c>
      <c r="C2552" s="3">
        <v>1</v>
      </c>
      <c r="D2552" s="4" t="s">
        <v>358</v>
      </c>
      <c r="E2552" s="4" t="s">
        <v>2</v>
      </c>
    </row>
    <row r="2553" spans="1:5" ht="26" hidden="1" x14ac:dyDescent="0.15">
      <c r="A2553" s="1" t="s">
        <v>3</v>
      </c>
      <c r="B2553" s="2">
        <v>46819</v>
      </c>
      <c r="C2553" s="3">
        <v>6.9999999999999993E-3</v>
      </c>
      <c r="D2553" s="4" t="s">
        <v>358</v>
      </c>
      <c r="E2553" s="4" t="s">
        <v>2</v>
      </c>
    </row>
    <row r="2554" spans="1:5" hidden="1" x14ac:dyDescent="0.15">
      <c r="A2554" s="1" t="s">
        <v>4</v>
      </c>
      <c r="B2554" s="2">
        <v>98147</v>
      </c>
      <c r="C2554" s="3">
        <v>1.6E-2</v>
      </c>
      <c r="D2554" s="4" t="s">
        <v>358</v>
      </c>
      <c r="E2554" s="4" t="s">
        <v>2</v>
      </c>
    </row>
    <row r="2555" spans="1:5" ht="26" hidden="1" x14ac:dyDescent="0.15">
      <c r="A2555" s="1" t="s">
        <v>5</v>
      </c>
      <c r="B2555" s="2">
        <v>146571</v>
      </c>
      <c r="C2555" s="3">
        <v>2.3E-2</v>
      </c>
      <c r="D2555" s="4" t="s">
        <v>358</v>
      </c>
      <c r="E2555" s="4" t="s">
        <v>2</v>
      </c>
    </row>
    <row r="2556" spans="1:5" ht="26" hidden="1" x14ac:dyDescent="0.15">
      <c r="A2556" s="1" t="s">
        <v>6</v>
      </c>
      <c r="B2556" s="2">
        <v>480855</v>
      </c>
      <c r="C2556" s="3">
        <v>7.5999999999999998E-2</v>
      </c>
      <c r="D2556" s="4" t="s">
        <v>358</v>
      </c>
      <c r="E2556" s="4" t="s">
        <v>2</v>
      </c>
    </row>
    <row r="2557" spans="1:5" ht="26" hidden="1" x14ac:dyDescent="0.15">
      <c r="A2557" s="1" t="s">
        <v>7</v>
      </c>
      <c r="B2557" s="2">
        <v>793180</v>
      </c>
      <c r="C2557" s="3">
        <v>0.125</v>
      </c>
      <c r="D2557" s="4" t="s">
        <v>358</v>
      </c>
      <c r="E2557" s="4" t="s">
        <v>2</v>
      </c>
    </row>
    <row r="2558" spans="1:5" ht="26" hidden="1" x14ac:dyDescent="0.15">
      <c r="A2558" s="1" t="s">
        <v>8</v>
      </c>
      <c r="B2558" s="2">
        <v>68845</v>
      </c>
      <c r="C2558" s="3">
        <v>1.1000000000000001E-2</v>
      </c>
      <c r="D2558" s="4" t="s">
        <v>358</v>
      </c>
      <c r="E2558" s="4" t="s">
        <v>2</v>
      </c>
    </row>
    <row r="2559" spans="1:5" ht="26" hidden="1" x14ac:dyDescent="0.15">
      <c r="A2559" s="1" t="s">
        <v>9</v>
      </c>
      <c r="B2559" s="2">
        <v>125497</v>
      </c>
      <c r="C2559" s="3">
        <v>0.02</v>
      </c>
      <c r="D2559" s="4" t="s">
        <v>358</v>
      </c>
      <c r="E2559" s="4" t="s">
        <v>2</v>
      </c>
    </row>
    <row r="2560" spans="1:5" ht="26" hidden="1" x14ac:dyDescent="0.15">
      <c r="A2560" s="1" t="s">
        <v>10</v>
      </c>
      <c r="B2560" s="2">
        <v>135398</v>
      </c>
      <c r="C2560" s="3">
        <v>2.1000000000000001E-2</v>
      </c>
      <c r="D2560" s="4" t="s">
        <v>358</v>
      </c>
      <c r="E2560" s="4" t="s">
        <v>2</v>
      </c>
    </row>
    <row r="2561" spans="1:5" ht="26" hidden="1" x14ac:dyDescent="0.15">
      <c r="A2561" s="1" t="s">
        <v>11</v>
      </c>
      <c r="B2561" s="2">
        <v>274966</v>
      </c>
      <c r="C2561" s="3">
        <v>4.4000000000000004E-2</v>
      </c>
      <c r="D2561" s="4" t="s">
        <v>358</v>
      </c>
      <c r="E2561" s="4" t="s">
        <v>2</v>
      </c>
    </row>
    <row r="2562" spans="1:5" ht="26" hidden="1" x14ac:dyDescent="0.15">
      <c r="A2562" s="1" t="s">
        <v>12</v>
      </c>
      <c r="B2562" s="2">
        <v>74934</v>
      </c>
      <c r="C2562" s="3">
        <v>1.2E-2</v>
      </c>
      <c r="D2562" s="4" t="s">
        <v>358</v>
      </c>
      <c r="E2562" s="4" t="s">
        <v>2</v>
      </c>
    </row>
    <row r="2563" spans="1:5" ht="26" hidden="1" x14ac:dyDescent="0.15">
      <c r="A2563" s="1" t="s">
        <v>13</v>
      </c>
      <c r="B2563" s="2">
        <v>33212</v>
      </c>
      <c r="C2563" s="3">
        <v>5.0000000000000001E-3</v>
      </c>
      <c r="D2563" s="4" t="s">
        <v>358</v>
      </c>
      <c r="E2563" s="4" t="s">
        <v>2</v>
      </c>
    </row>
    <row r="2564" spans="1:5" hidden="1" x14ac:dyDescent="0.15">
      <c r="A2564" s="1" t="s">
        <v>14</v>
      </c>
      <c r="B2564" s="2">
        <v>394728</v>
      </c>
      <c r="C2564" s="3">
        <v>6.2E-2</v>
      </c>
      <c r="D2564" s="4" t="s">
        <v>358</v>
      </c>
      <c r="E2564" s="4" t="s">
        <v>2</v>
      </c>
    </row>
    <row r="2565" spans="1:5" ht="26" hidden="1" x14ac:dyDescent="0.15">
      <c r="A2565" s="1" t="s">
        <v>15</v>
      </c>
      <c r="B2565" s="2">
        <v>303342</v>
      </c>
      <c r="C2565" s="3">
        <v>4.8000000000000001E-2</v>
      </c>
      <c r="D2565" s="4" t="s">
        <v>358</v>
      </c>
      <c r="E2565" s="4" t="s">
        <v>2</v>
      </c>
    </row>
    <row r="2566" spans="1:5" ht="26" hidden="1" x14ac:dyDescent="0.15">
      <c r="A2566" s="1" t="s">
        <v>16</v>
      </c>
      <c r="B2566" s="2">
        <v>174725</v>
      </c>
      <c r="C2566" s="3">
        <v>2.7999999999999997E-2</v>
      </c>
      <c r="D2566" s="4" t="s">
        <v>358</v>
      </c>
      <c r="E2566" s="4" t="s">
        <v>2</v>
      </c>
    </row>
    <row r="2567" spans="1:5" ht="26" hidden="1" x14ac:dyDescent="0.15">
      <c r="A2567" s="1" t="s">
        <v>17</v>
      </c>
      <c r="B2567" s="2">
        <v>94674</v>
      </c>
      <c r="C2567" s="3">
        <v>1.4999999999999999E-2</v>
      </c>
      <c r="D2567" s="4" t="s">
        <v>358</v>
      </c>
      <c r="E2567" s="4" t="s">
        <v>2</v>
      </c>
    </row>
    <row r="2568" spans="1:5" hidden="1" x14ac:dyDescent="0.15">
      <c r="A2568" s="1" t="s">
        <v>18</v>
      </c>
      <c r="B2568" s="2">
        <v>71201</v>
      </c>
      <c r="C2568" s="3">
        <v>1.1000000000000001E-2</v>
      </c>
      <c r="D2568" s="4" t="s">
        <v>358</v>
      </c>
      <c r="E2568" s="4" t="s">
        <v>2</v>
      </c>
    </row>
    <row r="2569" spans="1:5" hidden="1" x14ac:dyDescent="0.15">
      <c r="A2569" s="1" t="s">
        <v>19</v>
      </c>
      <c r="B2569" s="2">
        <v>1630134</v>
      </c>
      <c r="C2569" s="3">
        <v>0.25800000000000001</v>
      </c>
      <c r="D2569" s="4" t="s">
        <v>358</v>
      </c>
      <c r="E2569" s="4" t="s">
        <v>2</v>
      </c>
    </row>
    <row r="2570" spans="1:5" hidden="1" x14ac:dyDescent="0.15">
      <c r="A2570" s="1" t="s">
        <v>20</v>
      </c>
      <c r="B2570" s="2">
        <v>124426</v>
      </c>
      <c r="C2570" s="3">
        <v>0.02</v>
      </c>
      <c r="D2570" s="4" t="s">
        <v>358</v>
      </c>
      <c r="E2570" s="4" t="s">
        <v>2</v>
      </c>
    </row>
    <row r="2571" spans="1:5" ht="26" hidden="1" x14ac:dyDescent="0.15">
      <c r="A2571" s="1" t="s">
        <v>21</v>
      </c>
      <c r="B2571" s="2">
        <v>147400</v>
      </c>
      <c r="C2571" s="3">
        <v>2.3E-2</v>
      </c>
      <c r="D2571" s="4" t="s">
        <v>358</v>
      </c>
      <c r="E2571" s="4" t="s">
        <v>2</v>
      </c>
    </row>
    <row r="2572" spans="1:5" ht="26" hidden="1" x14ac:dyDescent="0.15">
      <c r="A2572" s="1" t="s">
        <v>22</v>
      </c>
      <c r="B2572" s="2">
        <v>47766</v>
      </c>
      <c r="C2572" s="3">
        <v>8.0000000000000002E-3</v>
      </c>
      <c r="D2572" s="4" t="s">
        <v>358</v>
      </c>
      <c r="E2572" s="4" t="s">
        <v>2</v>
      </c>
    </row>
    <row r="2573" spans="1:5" ht="26" hidden="1" x14ac:dyDescent="0.15">
      <c r="A2573" s="1" t="s">
        <v>23</v>
      </c>
      <c r="B2573" s="2">
        <v>155407</v>
      </c>
      <c r="C2573" s="3">
        <v>2.5000000000000001E-2</v>
      </c>
      <c r="D2573" s="4" t="s">
        <v>358</v>
      </c>
      <c r="E2573" s="4" t="s">
        <v>2</v>
      </c>
    </row>
    <row r="2574" spans="1:5" ht="26" hidden="1" x14ac:dyDescent="0.15">
      <c r="A2574" s="1" t="s">
        <v>24</v>
      </c>
      <c r="B2574" s="2">
        <v>52677</v>
      </c>
      <c r="C2574" s="3">
        <v>8.0000000000000002E-3</v>
      </c>
      <c r="D2574" s="4" t="s">
        <v>358</v>
      </c>
      <c r="E2574" s="4" t="s">
        <v>2</v>
      </c>
    </row>
    <row r="2575" spans="1:5" ht="26" hidden="1" x14ac:dyDescent="0.15">
      <c r="A2575" s="1" t="s">
        <v>25</v>
      </c>
      <c r="B2575" s="2">
        <v>120844</v>
      </c>
      <c r="C2575" s="3">
        <v>1.9E-2</v>
      </c>
      <c r="D2575" s="4" t="s">
        <v>358</v>
      </c>
      <c r="E2575" s="4" t="s">
        <v>2</v>
      </c>
    </row>
    <row r="2576" spans="1:5" hidden="1" x14ac:dyDescent="0.15">
      <c r="A2576" s="1" t="s">
        <v>26</v>
      </c>
      <c r="B2576" s="2">
        <v>35805</v>
      </c>
      <c r="C2576" s="3">
        <v>6.0000000000000001E-3</v>
      </c>
      <c r="D2576" s="4" t="s">
        <v>358</v>
      </c>
      <c r="E2576" s="4" t="s">
        <v>2</v>
      </c>
    </row>
    <row r="2577" spans="1:5" hidden="1" x14ac:dyDescent="0.15">
      <c r="A2577" s="1" t="s">
        <v>27</v>
      </c>
      <c r="B2577" s="2">
        <v>349031</v>
      </c>
      <c r="C2577" s="3">
        <v>5.5E-2</v>
      </c>
      <c r="D2577" s="4" t="s">
        <v>358</v>
      </c>
      <c r="E2577" s="4" t="s">
        <v>2</v>
      </c>
    </row>
    <row r="2578" spans="1:5" hidden="1" x14ac:dyDescent="0.15">
      <c r="A2578" s="1" t="s">
        <v>28</v>
      </c>
      <c r="B2578" s="2">
        <v>462860</v>
      </c>
      <c r="C2578" s="3">
        <v>7.2999999999999995E-2</v>
      </c>
      <c r="D2578" s="4" t="s">
        <v>358</v>
      </c>
      <c r="E2578" s="4" t="s">
        <v>2</v>
      </c>
    </row>
    <row r="2579" spans="1:5" hidden="1" x14ac:dyDescent="0.15">
      <c r="A2579" s="1" t="s">
        <v>29</v>
      </c>
      <c r="B2579" s="2">
        <v>1906371</v>
      </c>
      <c r="C2579" s="3">
        <v>0.30199999999999999</v>
      </c>
      <c r="D2579" s="4" t="s">
        <v>358</v>
      </c>
      <c r="E2579" s="4" t="s">
        <v>2</v>
      </c>
    </row>
    <row r="2580" spans="1:5" hidden="1" x14ac:dyDescent="0.15">
      <c r="A2580" s="1" t="s">
        <v>30</v>
      </c>
      <c r="B2580" s="2">
        <v>665021</v>
      </c>
      <c r="C2580" s="3">
        <v>0.105</v>
      </c>
      <c r="D2580" s="4" t="s">
        <v>358</v>
      </c>
      <c r="E2580" s="4" t="s">
        <v>2</v>
      </c>
    </row>
    <row r="2581" spans="1:5" ht="39" hidden="1" x14ac:dyDescent="0.15">
      <c r="A2581" s="1" t="s">
        <v>31</v>
      </c>
      <c r="B2581" s="2">
        <v>60317</v>
      </c>
      <c r="C2581" s="3">
        <v>0.01</v>
      </c>
      <c r="D2581" s="4" t="s">
        <v>358</v>
      </c>
      <c r="E2581" s="4" t="s">
        <v>2</v>
      </c>
    </row>
    <row r="2582" spans="1:5" hidden="1" x14ac:dyDescent="0.15">
      <c r="A2582" s="1" t="s">
        <v>32</v>
      </c>
      <c r="B2582" s="2">
        <v>110082</v>
      </c>
      <c r="C2582" s="3">
        <v>1.7000000000000001E-2</v>
      </c>
      <c r="D2582" s="4" t="s">
        <v>358</v>
      </c>
      <c r="E2582" s="4" t="s">
        <v>2</v>
      </c>
    </row>
    <row r="2583" spans="1:5" hidden="1" x14ac:dyDescent="0.15">
      <c r="A2583" s="1" t="s">
        <v>33</v>
      </c>
      <c r="B2583" s="2">
        <v>1673860</v>
      </c>
      <c r="C2583" s="3">
        <v>0.26500000000000001</v>
      </c>
      <c r="D2583" s="4" t="s">
        <v>358</v>
      </c>
      <c r="E2583" s="4" t="s">
        <v>2</v>
      </c>
    </row>
    <row r="2584" spans="1:5" hidden="1" x14ac:dyDescent="0.15">
      <c r="A2584" s="1" t="s">
        <v>34</v>
      </c>
      <c r="B2584" s="2">
        <v>393088</v>
      </c>
      <c r="C2584" s="3">
        <v>6.2E-2</v>
      </c>
      <c r="D2584" s="4" t="s">
        <v>358</v>
      </c>
      <c r="E2584" s="4" t="s">
        <v>2</v>
      </c>
    </row>
    <row r="2585" spans="1:5" hidden="1" x14ac:dyDescent="0.15">
      <c r="A2585" s="1" t="s">
        <v>35</v>
      </c>
      <c r="B2585" s="2">
        <v>407166</v>
      </c>
      <c r="C2585" s="3">
        <v>6.4000000000000001E-2</v>
      </c>
      <c r="D2585" s="4" t="s">
        <v>358</v>
      </c>
      <c r="E2585" s="4" t="s">
        <v>2</v>
      </c>
    </row>
    <row r="2586" spans="1:5" ht="26" hidden="1" x14ac:dyDescent="0.15">
      <c r="A2586" s="1" t="s">
        <v>36</v>
      </c>
      <c r="B2586" s="2">
        <v>54038</v>
      </c>
      <c r="C2586" s="3">
        <v>9.0000000000000011E-3</v>
      </c>
      <c r="D2586" s="4" t="s">
        <v>358</v>
      </c>
      <c r="E2586" s="4" t="s">
        <v>2</v>
      </c>
    </row>
    <row r="2587" spans="1:5" hidden="1" x14ac:dyDescent="0.15">
      <c r="A2587" s="1" t="s">
        <v>37</v>
      </c>
      <c r="B2587" s="2">
        <v>47033</v>
      </c>
      <c r="C2587" s="3">
        <v>6.9999999999999993E-3</v>
      </c>
      <c r="D2587" s="4" t="s">
        <v>358</v>
      </c>
      <c r="E2587" s="4" t="s">
        <v>2</v>
      </c>
    </row>
    <row r="2588" spans="1:5" ht="39" hidden="1" x14ac:dyDescent="0.15">
      <c r="A2588" s="1" t="s">
        <v>38</v>
      </c>
      <c r="B2588" s="2">
        <v>68505</v>
      </c>
      <c r="C2588" s="3">
        <v>1.1000000000000001E-2</v>
      </c>
      <c r="D2588" s="4" t="s">
        <v>358</v>
      </c>
      <c r="E2588" s="4" t="s">
        <v>2</v>
      </c>
    </row>
    <row r="2589" spans="1:5" hidden="1" x14ac:dyDescent="0.15">
      <c r="A2589" s="1" t="s">
        <v>39</v>
      </c>
      <c r="B2589" s="2">
        <v>187377</v>
      </c>
      <c r="C2589" s="3">
        <v>0.03</v>
      </c>
      <c r="D2589" s="4" t="s">
        <v>358</v>
      </c>
      <c r="E2589" s="4" t="s">
        <v>2</v>
      </c>
    </row>
    <row r="2590" spans="1:5" hidden="1" x14ac:dyDescent="0.15">
      <c r="A2590" s="1" t="s">
        <v>40</v>
      </c>
      <c r="B2590" s="2">
        <v>62067</v>
      </c>
      <c r="C2590" s="3">
        <v>0.01</v>
      </c>
      <c r="D2590" s="4" t="s">
        <v>358</v>
      </c>
      <c r="E2590" s="4" t="s">
        <v>2</v>
      </c>
    </row>
    <row r="2591" spans="1:5" hidden="1" x14ac:dyDescent="0.15">
      <c r="A2591" s="1" t="s">
        <v>41</v>
      </c>
      <c r="B2591" s="2">
        <v>178770</v>
      </c>
      <c r="C2591" s="3">
        <v>2.7999999999999997E-2</v>
      </c>
      <c r="D2591" s="4" t="s">
        <v>358</v>
      </c>
      <c r="E2591" s="4" t="s">
        <v>2</v>
      </c>
    </row>
    <row r="2592" spans="1:5" hidden="1" x14ac:dyDescent="0.15">
      <c r="A2592" s="1" t="s">
        <v>42</v>
      </c>
      <c r="B2592" s="2">
        <v>171141</v>
      </c>
      <c r="C2592" s="3">
        <v>2.7000000000000003E-2</v>
      </c>
      <c r="D2592" s="4" t="s">
        <v>358</v>
      </c>
      <c r="E2592" s="4" t="s">
        <v>2</v>
      </c>
    </row>
    <row r="2593" spans="1:5" hidden="1" x14ac:dyDescent="0.15">
      <c r="A2593" s="1" t="s">
        <v>43</v>
      </c>
      <c r="B2593" s="2">
        <v>416666</v>
      </c>
      <c r="C2593" s="3">
        <v>6.6000000000000003E-2</v>
      </c>
      <c r="D2593" s="4" t="s">
        <v>358</v>
      </c>
      <c r="E2593" s="4" t="s">
        <v>2</v>
      </c>
    </row>
    <row r="2594" spans="1:5" ht="26" hidden="1" x14ac:dyDescent="0.15">
      <c r="A2594" s="1" t="s">
        <v>44</v>
      </c>
      <c r="B2594" s="2">
        <v>722818</v>
      </c>
      <c r="C2594" s="3">
        <v>0.114</v>
      </c>
      <c r="D2594" s="4" t="s">
        <v>358</v>
      </c>
      <c r="E2594" s="4" t="s">
        <v>2</v>
      </c>
    </row>
    <row r="2595" spans="1:5" hidden="1" x14ac:dyDescent="0.15">
      <c r="A2595" s="1" t="s">
        <v>45</v>
      </c>
      <c r="B2595" s="2">
        <v>1014334</v>
      </c>
      <c r="C2595" s="3">
        <v>0.16</v>
      </c>
      <c r="D2595" s="4" t="s">
        <v>358</v>
      </c>
      <c r="E2595" s="4" t="s">
        <v>2</v>
      </c>
    </row>
    <row r="2596" spans="1:5" ht="26" hidden="1" x14ac:dyDescent="0.15">
      <c r="A2596" s="1" t="s">
        <v>46</v>
      </c>
      <c r="B2596" s="2">
        <v>1857449</v>
      </c>
      <c r="C2596" s="3">
        <v>0.29399999999999998</v>
      </c>
      <c r="D2596" s="4" t="s">
        <v>358</v>
      </c>
      <c r="E2596" s="4" t="s">
        <v>2</v>
      </c>
    </row>
    <row r="2597" spans="1:5" hidden="1" x14ac:dyDescent="0.15">
      <c r="A2597" s="1" t="s">
        <v>47</v>
      </c>
      <c r="B2597" s="2">
        <v>2343517</v>
      </c>
      <c r="C2597" s="3">
        <v>0.371</v>
      </c>
      <c r="D2597" s="4" t="s">
        <v>358</v>
      </c>
      <c r="E2597" s="4" t="s">
        <v>2</v>
      </c>
    </row>
    <row r="2598" spans="1:5" hidden="1" x14ac:dyDescent="0.15">
      <c r="A2598" s="1" t="s">
        <v>48</v>
      </c>
      <c r="B2598" s="2">
        <v>595975</v>
      </c>
      <c r="C2598" s="3">
        <v>9.4E-2</v>
      </c>
      <c r="D2598" s="4" t="s">
        <v>358</v>
      </c>
      <c r="E2598" s="4" t="s">
        <v>2</v>
      </c>
    </row>
    <row r="2599" spans="1:5" hidden="1" x14ac:dyDescent="0.15">
      <c r="A2599" s="1" t="s">
        <v>49</v>
      </c>
      <c r="B2599" s="2">
        <v>786145</v>
      </c>
      <c r="C2599" s="3">
        <v>0.124</v>
      </c>
      <c r="D2599" s="4" t="s">
        <v>358</v>
      </c>
      <c r="E2599" s="4" t="s">
        <v>2</v>
      </c>
    </row>
    <row r="2600" spans="1:5" ht="26" hidden="1" x14ac:dyDescent="0.15">
      <c r="A2600" s="1" t="s">
        <v>50</v>
      </c>
      <c r="B2600" s="2">
        <v>959869</v>
      </c>
      <c r="C2600" s="3">
        <v>0.152</v>
      </c>
      <c r="D2600" s="4" t="s">
        <v>358</v>
      </c>
      <c r="E2600" s="4" t="s">
        <v>2</v>
      </c>
    </row>
    <row r="2601" spans="1:5" hidden="1" x14ac:dyDescent="0.15">
      <c r="A2601" s="1" t="s">
        <v>51</v>
      </c>
      <c r="B2601" s="2">
        <v>1967523</v>
      </c>
      <c r="C2601" s="3">
        <v>0.311</v>
      </c>
      <c r="D2601" s="4" t="s">
        <v>358</v>
      </c>
      <c r="E2601" s="4" t="s">
        <v>2</v>
      </c>
    </row>
    <row r="2602" spans="1:5" hidden="1" x14ac:dyDescent="0.15">
      <c r="A2602" s="1" t="s">
        <v>52</v>
      </c>
      <c r="B2602" s="2">
        <v>677609</v>
      </c>
      <c r="C2602" s="3">
        <v>0.107</v>
      </c>
      <c r="D2602" s="4" t="s">
        <v>358</v>
      </c>
      <c r="E2602" s="4" t="s">
        <v>2</v>
      </c>
    </row>
    <row r="2603" spans="1:5" ht="26" hidden="1" x14ac:dyDescent="0.15">
      <c r="A2603" s="1" t="s">
        <v>53</v>
      </c>
      <c r="B2603" s="2">
        <v>464406</v>
      </c>
      <c r="C2603" s="3">
        <v>7.2999999999999995E-2</v>
      </c>
      <c r="D2603" s="4" t="s">
        <v>358</v>
      </c>
      <c r="E2603" s="4" t="s">
        <v>2</v>
      </c>
    </row>
    <row r="2604" spans="1:5" hidden="1" x14ac:dyDescent="0.15">
      <c r="A2604" s="1" t="s">
        <v>54</v>
      </c>
      <c r="B2604" s="2">
        <v>2277723</v>
      </c>
      <c r="C2604" s="3">
        <v>0.36</v>
      </c>
      <c r="D2604" s="4" t="s">
        <v>358</v>
      </c>
      <c r="E2604" s="4" t="s">
        <v>2</v>
      </c>
    </row>
    <row r="2605" spans="1:5" ht="26" hidden="1" x14ac:dyDescent="0.15">
      <c r="A2605" s="1" t="s">
        <v>55</v>
      </c>
      <c r="B2605" s="2">
        <v>1550003</v>
      </c>
      <c r="C2605" s="3">
        <v>0.245</v>
      </c>
      <c r="D2605" s="4" t="s">
        <v>358</v>
      </c>
      <c r="E2605" s="4" t="s">
        <v>2</v>
      </c>
    </row>
    <row r="2606" spans="1:5" hidden="1" x14ac:dyDescent="0.15">
      <c r="A2606" s="1" t="s">
        <v>56</v>
      </c>
      <c r="B2606" s="2">
        <v>1288494</v>
      </c>
      <c r="C2606" s="3">
        <v>0.20399999999999999</v>
      </c>
      <c r="D2606" s="4" t="s">
        <v>358</v>
      </c>
      <c r="E2606" s="4" t="s">
        <v>2</v>
      </c>
    </row>
    <row r="2607" spans="1:5" hidden="1" x14ac:dyDescent="0.15">
      <c r="A2607" s="1" t="s">
        <v>57</v>
      </c>
      <c r="B2607" s="2">
        <v>782526</v>
      </c>
      <c r="C2607" s="3">
        <v>0.124</v>
      </c>
      <c r="D2607" s="4" t="s">
        <v>358</v>
      </c>
      <c r="E2607" s="4" t="s">
        <v>2</v>
      </c>
    </row>
    <row r="2608" spans="1:5" hidden="1" x14ac:dyDescent="0.15">
      <c r="A2608" s="1" t="s">
        <v>58</v>
      </c>
      <c r="B2608" s="2">
        <v>734239</v>
      </c>
      <c r="C2608" s="3">
        <v>0.11599999999999999</v>
      </c>
      <c r="D2608" s="4" t="s">
        <v>358</v>
      </c>
      <c r="E2608" s="4" t="s">
        <v>2</v>
      </c>
    </row>
    <row r="2609" spans="1:5" hidden="1" x14ac:dyDescent="0.15">
      <c r="A2609" s="1" t="s">
        <v>59</v>
      </c>
      <c r="B2609" s="2">
        <v>3834904</v>
      </c>
      <c r="C2609" s="3">
        <v>0.60699999999999998</v>
      </c>
      <c r="D2609" s="4" t="s">
        <v>358</v>
      </c>
      <c r="E2609" s="4" t="s">
        <v>2</v>
      </c>
    </row>
    <row r="2610" spans="1:5" hidden="1" x14ac:dyDescent="0.15">
      <c r="A2610" s="1" t="s">
        <v>60</v>
      </c>
      <c r="B2610" s="2">
        <v>1112798</v>
      </c>
      <c r="C2610" s="3">
        <v>0.17600000000000002</v>
      </c>
      <c r="D2610" s="4" t="s">
        <v>358</v>
      </c>
      <c r="E2610" s="4" t="s">
        <v>2</v>
      </c>
    </row>
    <row r="2611" spans="1:5" ht="26" hidden="1" x14ac:dyDescent="0.15">
      <c r="A2611" s="1" t="s">
        <v>61</v>
      </c>
      <c r="B2611" s="2">
        <v>1034067</v>
      </c>
      <c r="C2611" s="3">
        <v>0.16399999999999998</v>
      </c>
      <c r="D2611" s="4" t="s">
        <v>358</v>
      </c>
      <c r="E2611" s="4" t="s">
        <v>2</v>
      </c>
    </row>
    <row r="2612" spans="1:5" hidden="1" x14ac:dyDescent="0.15">
      <c r="A2612" s="1" t="s">
        <v>62</v>
      </c>
      <c r="B2612" s="2">
        <v>358202</v>
      </c>
      <c r="C2612" s="3">
        <v>5.7000000000000002E-2</v>
      </c>
      <c r="D2612" s="4" t="s">
        <v>358</v>
      </c>
      <c r="E2612" s="4" t="s">
        <v>2</v>
      </c>
    </row>
    <row r="2613" spans="1:5" ht="26" hidden="1" x14ac:dyDescent="0.15">
      <c r="A2613" s="1" t="s">
        <v>63</v>
      </c>
      <c r="B2613" s="2">
        <v>1107780</v>
      </c>
      <c r="C2613" s="3">
        <v>0.17499999999999999</v>
      </c>
      <c r="D2613" s="4" t="s">
        <v>358</v>
      </c>
      <c r="E2613" s="4" t="s">
        <v>2</v>
      </c>
    </row>
    <row r="2614" spans="1:5" ht="26" hidden="1" x14ac:dyDescent="0.15">
      <c r="A2614" s="1" t="s">
        <v>64</v>
      </c>
      <c r="B2614" s="2">
        <v>481078</v>
      </c>
      <c r="C2614" s="3">
        <v>7.5999999999999998E-2</v>
      </c>
      <c r="D2614" s="4" t="s">
        <v>358</v>
      </c>
      <c r="E2614" s="4" t="s">
        <v>2</v>
      </c>
    </row>
    <row r="2615" spans="1:5" hidden="1" x14ac:dyDescent="0.15">
      <c r="A2615" s="1" t="s">
        <v>65</v>
      </c>
      <c r="B2615" s="2">
        <v>774250</v>
      </c>
      <c r="C2615" s="3">
        <v>0.122</v>
      </c>
      <c r="D2615" s="4" t="s">
        <v>358</v>
      </c>
      <c r="E2615" s="4" t="s">
        <v>2</v>
      </c>
    </row>
    <row r="2616" spans="1:5" hidden="1" x14ac:dyDescent="0.15">
      <c r="A2616" s="1" t="s">
        <v>66</v>
      </c>
      <c r="B2616" s="2">
        <v>355199</v>
      </c>
      <c r="C2616" s="3">
        <v>5.5999999999999994E-2</v>
      </c>
      <c r="D2616" s="4" t="s">
        <v>358</v>
      </c>
      <c r="E2616" s="4" t="s">
        <v>2</v>
      </c>
    </row>
    <row r="2617" spans="1:5" hidden="1" x14ac:dyDescent="0.15">
      <c r="A2617" s="1" t="s">
        <v>67</v>
      </c>
      <c r="B2617" s="2">
        <v>1376839</v>
      </c>
      <c r="C2617" s="3">
        <v>0.218</v>
      </c>
      <c r="D2617" s="4" t="s">
        <v>358</v>
      </c>
      <c r="E2617" s="4" t="s">
        <v>2</v>
      </c>
    </row>
    <row r="2618" spans="1:5" hidden="1" x14ac:dyDescent="0.15">
      <c r="A2618" s="1" t="s">
        <v>68</v>
      </c>
      <c r="B2618" s="2">
        <v>1987833</v>
      </c>
      <c r="C2618" s="3">
        <v>0.314</v>
      </c>
      <c r="D2618" s="4" t="s">
        <v>358</v>
      </c>
      <c r="E2618" s="4" t="s">
        <v>2</v>
      </c>
    </row>
    <row r="2619" spans="1:5" hidden="1" x14ac:dyDescent="0.15">
      <c r="A2619" s="1" t="s">
        <v>69</v>
      </c>
      <c r="B2619" s="2">
        <v>4194235</v>
      </c>
      <c r="C2619" s="3">
        <v>0.66400000000000003</v>
      </c>
      <c r="D2619" s="4" t="s">
        <v>358</v>
      </c>
      <c r="E2619" s="4" t="s">
        <v>2</v>
      </c>
    </row>
    <row r="2620" spans="1:5" hidden="1" x14ac:dyDescent="0.15">
      <c r="A2620" s="1" t="s">
        <v>70</v>
      </c>
      <c r="B2620" s="2">
        <v>2311035</v>
      </c>
      <c r="C2620" s="3">
        <v>0.36599999999999999</v>
      </c>
      <c r="D2620" s="4" t="s">
        <v>358</v>
      </c>
      <c r="E2620" s="4" t="s">
        <v>2</v>
      </c>
    </row>
    <row r="2621" spans="1:5" ht="26" hidden="1" x14ac:dyDescent="0.15">
      <c r="A2621" s="1" t="s">
        <v>71</v>
      </c>
      <c r="B2621" s="2">
        <v>332203</v>
      </c>
      <c r="C2621" s="3">
        <v>5.2999999999999999E-2</v>
      </c>
      <c r="D2621" s="4" t="s">
        <v>358</v>
      </c>
      <c r="E2621" s="4" t="s">
        <v>2</v>
      </c>
    </row>
    <row r="2622" spans="1:5" hidden="1" x14ac:dyDescent="0.15">
      <c r="A2622" s="1" t="s">
        <v>72</v>
      </c>
      <c r="B2622" s="2">
        <v>675562</v>
      </c>
      <c r="C2622" s="3">
        <v>0.107</v>
      </c>
      <c r="D2622" s="4" t="s">
        <v>358</v>
      </c>
      <c r="E2622" s="4" t="s">
        <v>2</v>
      </c>
    </row>
    <row r="2623" spans="1:5" hidden="1" x14ac:dyDescent="0.15">
      <c r="A2623" s="1" t="s">
        <v>73</v>
      </c>
      <c r="B2623" s="2">
        <v>3881464</v>
      </c>
      <c r="C2623" s="3">
        <v>0.61399999999999999</v>
      </c>
      <c r="D2623" s="4" t="s">
        <v>358</v>
      </c>
      <c r="E2623" s="4" t="s">
        <v>2</v>
      </c>
    </row>
    <row r="2624" spans="1:5" hidden="1" x14ac:dyDescent="0.15">
      <c r="A2624" s="1" t="s">
        <v>74</v>
      </c>
      <c r="B2624" s="2">
        <v>1553639</v>
      </c>
      <c r="C2624" s="3">
        <v>0.24600000000000002</v>
      </c>
      <c r="D2624" s="4" t="s">
        <v>358</v>
      </c>
      <c r="E2624" s="4" t="s">
        <v>2</v>
      </c>
    </row>
    <row r="2625" spans="1:5" hidden="1" x14ac:dyDescent="0.15">
      <c r="A2625" s="1" t="s">
        <v>75</v>
      </c>
      <c r="B2625" s="2">
        <v>1280946</v>
      </c>
      <c r="C2625" s="3">
        <v>0.20300000000000001</v>
      </c>
      <c r="D2625" s="4" t="s">
        <v>358</v>
      </c>
      <c r="E2625" s="4" t="s">
        <v>2</v>
      </c>
    </row>
    <row r="2626" spans="1:5" hidden="1" x14ac:dyDescent="0.15">
      <c r="A2626" s="1" t="s">
        <v>76</v>
      </c>
      <c r="B2626" s="2">
        <v>489527</v>
      </c>
      <c r="C2626" s="3">
        <v>7.6999999999999999E-2</v>
      </c>
      <c r="D2626" s="4" t="s">
        <v>358</v>
      </c>
      <c r="E2626" s="4" t="s">
        <v>2</v>
      </c>
    </row>
    <row r="2627" spans="1:5" hidden="1" x14ac:dyDescent="0.15">
      <c r="A2627" s="1" t="s">
        <v>77</v>
      </c>
      <c r="B2627" s="2">
        <v>404050</v>
      </c>
      <c r="C2627" s="3">
        <v>6.4000000000000001E-2</v>
      </c>
      <c r="D2627" s="4" t="s">
        <v>358</v>
      </c>
      <c r="E2627" s="4" t="s">
        <v>2</v>
      </c>
    </row>
    <row r="2628" spans="1:5" ht="26" hidden="1" x14ac:dyDescent="0.15">
      <c r="A2628" s="1" t="s">
        <v>78</v>
      </c>
      <c r="B2628" s="2">
        <v>526321</v>
      </c>
      <c r="C2628" s="3">
        <v>8.3000000000000004E-2</v>
      </c>
      <c r="D2628" s="4" t="s">
        <v>358</v>
      </c>
      <c r="E2628" s="4" t="s">
        <v>2</v>
      </c>
    </row>
    <row r="2629" spans="1:5" hidden="1" x14ac:dyDescent="0.15">
      <c r="A2629" s="1" t="s">
        <v>79</v>
      </c>
      <c r="B2629" s="2">
        <v>812427</v>
      </c>
      <c r="C2629" s="3">
        <v>0.129</v>
      </c>
      <c r="D2629" s="4" t="s">
        <v>358</v>
      </c>
      <c r="E2629" s="4" t="s">
        <v>2</v>
      </c>
    </row>
    <row r="2630" spans="1:5" hidden="1" x14ac:dyDescent="0.15">
      <c r="A2630" s="1" t="s">
        <v>80</v>
      </c>
      <c r="B2630" s="2">
        <v>580168</v>
      </c>
      <c r="C2630" s="3">
        <v>9.1999999999999998E-2</v>
      </c>
      <c r="D2630" s="4" t="s">
        <v>358</v>
      </c>
      <c r="E2630" s="4" t="s">
        <v>2</v>
      </c>
    </row>
    <row r="2631" spans="1:5" ht="26" hidden="1" x14ac:dyDescent="0.15">
      <c r="A2631" s="1" t="s">
        <v>81</v>
      </c>
      <c r="B2631" s="2">
        <v>1112724</v>
      </c>
      <c r="C2631" s="3">
        <v>0.17600000000000002</v>
      </c>
      <c r="D2631" s="4" t="s">
        <v>358</v>
      </c>
      <c r="E2631" s="4" t="s">
        <v>2</v>
      </c>
    </row>
    <row r="2632" spans="1:5" hidden="1" x14ac:dyDescent="0.15">
      <c r="A2632" s="1" t="s">
        <v>82</v>
      </c>
      <c r="B2632" s="2">
        <v>646659</v>
      </c>
      <c r="C2632" s="3">
        <v>0.10199999999999999</v>
      </c>
      <c r="D2632" s="4" t="s">
        <v>358</v>
      </c>
      <c r="E2632" s="4" t="s">
        <v>2</v>
      </c>
    </row>
    <row r="2633" spans="1:5" hidden="1" x14ac:dyDescent="0.15">
      <c r="A2633" s="4"/>
      <c r="B2633" s="4"/>
      <c r="C2633" s="4"/>
      <c r="D2633" s="4" t="s">
        <v>358</v>
      </c>
      <c r="E2633" s="4" t="s">
        <v>2</v>
      </c>
    </row>
    <row r="2634" spans="1:5" hidden="1" x14ac:dyDescent="0.15">
      <c r="A2634" s="16"/>
      <c r="B2634" s="16"/>
      <c r="C2634" s="16"/>
      <c r="D2634" s="4" t="s">
        <v>358</v>
      </c>
      <c r="E2634" s="4" t="s">
        <v>2</v>
      </c>
    </row>
    <row r="2635" spans="1:5" ht="26" hidden="1" x14ac:dyDescent="0.15">
      <c r="A2635" s="1" t="s">
        <v>83</v>
      </c>
      <c r="B2635" s="2">
        <v>3785553</v>
      </c>
      <c r="C2635" s="3">
        <v>0.59899999999999998</v>
      </c>
      <c r="D2635" s="4" t="s">
        <v>358</v>
      </c>
      <c r="E2635" s="4" t="s">
        <v>2</v>
      </c>
    </row>
    <row r="2636" spans="1:5" hidden="1" x14ac:dyDescent="0.15">
      <c r="A2636" s="4"/>
      <c r="B2636" s="4"/>
      <c r="C2636" s="4"/>
      <c r="D2636" s="4" t="s">
        <v>358</v>
      </c>
      <c r="E2636" s="4" t="s">
        <v>2</v>
      </c>
    </row>
    <row r="2637" spans="1:5" hidden="1" x14ac:dyDescent="0.15">
      <c r="A2637" s="16"/>
      <c r="B2637" s="16"/>
      <c r="C2637" s="16"/>
      <c r="D2637" s="4" t="s">
        <v>358</v>
      </c>
      <c r="E2637" s="4" t="s">
        <v>2</v>
      </c>
    </row>
    <row r="2638" spans="1:5" ht="26" hidden="1" x14ac:dyDescent="0.15">
      <c r="A2638" s="1" t="s">
        <v>85</v>
      </c>
      <c r="B2638" s="2">
        <v>604650</v>
      </c>
      <c r="C2638" s="3">
        <v>9.6000000000000002E-2</v>
      </c>
      <c r="D2638" s="4" t="s">
        <v>358</v>
      </c>
      <c r="E2638" s="4" t="s">
        <v>2</v>
      </c>
    </row>
    <row r="2639" spans="1:5" hidden="1" x14ac:dyDescent="0.15">
      <c r="A2639" s="4"/>
      <c r="B2639" s="4"/>
      <c r="C2639" s="4"/>
      <c r="D2639" s="4" t="s">
        <v>358</v>
      </c>
      <c r="E2639" s="4" t="s">
        <v>2</v>
      </c>
    </row>
    <row r="2640" spans="1:5" hidden="1" x14ac:dyDescent="0.15">
      <c r="A2640" s="16"/>
      <c r="B2640" s="16"/>
      <c r="C2640" s="16"/>
      <c r="D2640" s="4" t="s">
        <v>358</v>
      </c>
      <c r="E2640" s="4" t="s">
        <v>2</v>
      </c>
    </row>
    <row r="2641" spans="1:5" ht="26" hidden="1" x14ac:dyDescent="0.15">
      <c r="A2641" s="1" t="s">
        <v>86</v>
      </c>
      <c r="B2641" s="2">
        <v>1704137</v>
      </c>
      <c r="C2641" s="3">
        <v>0.27</v>
      </c>
      <c r="D2641" s="4" t="s">
        <v>358</v>
      </c>
      <c r="E2641" s="4" t="s">
        <v>2</v>
      </c>
    </row>
    <row r="2642" spans="1:5" hidden="1" x14ac:dyDescent="0.15">
      <c r="A2642" s="4"/>
      <c r="B2642" s="4"/>
      <c r="C2642" s="4"/>
      <c r="D2642" s="4" t="s">
        <v>358</v>
      </c>
      <c r="E2642" s="4" t="s">
        <v>2</v>
      </c>
    </row>
    <row r="2643" spans="1:5" hidden="1" x14ac:dyDescent="0.15">
      <c r="A2643" s="16"/>
      <c r="B2643" s="16"/>
      <c r="C2643" s="16"/>
      <c r="D2643" s="4" t="s">
        <v>358</v>
      </c>
      <c r="E2643" s="4" t="s">
        <v>2</v>
      </c>
    </row>
    <row r="2644" spans="1:5" ht="26" hidden="1" x14ac:dyDescent="0.15">
      <c r="A2644" s="1" t="s">
        <v>87</v>
      </c>
      <c r="B2644" s="2">
        <v>3714512</v>
      </c>
      <c r="C2644" s="3">
        <v>0.58799999999999997</v>
      </c>
      <c r="D2644" s="4" t="s">
        <v>358</v>
      </c>
      <c r="E2644" s="4" t="s">
        <v>2</v>
      </c>
    </row>
    <row r="2645" spans="1:5" hidden="1" x14ac:dyDescent="0.15">
      <c r="A2645" s="4"/>
      <c r="B2645" s="4"/>
      <c r="C2645" s="4"/>
      <c r="D2645" s="4" t="s">
        <v>358</v>
      </c>
      <c r="E2645" s="4" t="s">
        <v>2</v>
      </c>
    </row>
    <row r="2646" spans="1:5" hidden="1" x14ac:dyDescent="0.15">
      <c r="A2646" s="16"/>
      <c r="B2646" s="16"/>
      <c r="C2646" s="16"/>
      <c r="D2646" s="4" t="s">
        <v>358</v>
      </c>
      <c r="E2646" s="4" t="s">
        <v>2</v>
      </c>
    </row>
    <row r="2647" spans="1:5" ht="26" hidden="1" x14ac:dyDescent="0.15">
      <c r="A2647" s="1" t="s">
        <v>89</v>
      </c>
      <c r="B2647" s="2">
        <v>1881886</v>
      </c>
      <c r="C2647" s="3">
        <v>0.29799999999999999</v>
      </c>
      <c r="D2647" s="4" t="s">
        <v>358</v>
      </c>
      <c r="E2647" s="4" t="s">
        <v>2</v>
      </c>
    </row>
    <row r="2648" spans="1:5" hidden="1" x14ac:dyDescent="0.15">
      <c r="A2648" s="4"/>
      <c r="B2648" s="4"/>
      <c r="C2648" s="4"/>
      <c r="D2648" s="4" t="s">
        <v>358</v>
      </c>
      <c r="E2648" s="4" t="s">
        <v>2</v>
      </c>
    </row>
    <row r="2649" spans="1:5" hidden="1" x14ac:dyDescent="0.15">
      <c r="A2649" s="16"/>
      <c r="B2649" s="16"/>
      <c r="C2649" s="16"/>
      <c r="D2649" s="4" t="s">
        <v>358</v>
      </c>
      <c r="E2649" s="4" t="s">
        <v>2</v>
      </c>
    </row>
    <row r="2650" spans="1:5" ht="26" hidden="1" x14ac:dyDescent="0.15">
      <c r="A2650" s="1" t="s">
        <v>359</v>
      </c>
      <c r="B2650" s="2">
        <v>256518</v>
      </c>
      <c r="C2650" s="3">
        <v>4.0999999999999995E-2</v>
      </c>
      <c r="D2650" s="4" t="s">
        <v>358</v>
      </c>
      <c r="E2650" s="4" t="s">
        <v>2</v>
      </c>
    </row>
    <row r="2651" spans="1:5" hidden="1" x14ac:dyDescent="0.15">
      <c r="A2651" s="1" t="s">
        <v>360</v>
      </c>
      <c r="B2651" s="2">
        <v>294197</v>
      </c>
      <c r="C2651" s="3">
        <v>4.7E-2</v>
      </c>
      <c r="D2651" s="4" t="s">
        <v>358</v>
      </c>
      <c r="E2651" s="4" t="s">
        <v>2</v>
      </c>
    </row>
    <row r="2652" spans="1:5" ht="26" hidden="1" x14ac:dyDescent="0.15">
      <c r="A2652" s="1" t="s">
        <v>361</v>
      </c>
      <c r="B2652" s="2">
        <v>114346</v>
      </c>
      <c r="C2652" s="3">
        <v>1.8000000000000002E-2</v>
      </c>
      <c r="D2652" s="4" t="s">
        <v>358</v>
      </c>
      <c r="E2652" s="4" t="s">
        <v>2</v>
      </c>
    </row>
    <row r="2653" spans="1:5" ht="26" hidden="1" x14ac:dyDescent="0.15">
      <c r="A2653" s="1" t="s">
        <v>362</v>
      </c>
      <c r="B2653" s="2">
        <v>111592</v>
      </c>
      <c r="C2653" s="3">
        <v>1.8000000000000002E-2</v>
      </c>
      <c r="D2653" s="4" t="s">
        <v>358</v>
      </c>
      <c r="E2653" s="4" t="s">
        <v>2</v>
      </c>
    </row>
    <row r="2654" spans="1:5" ht="26" hidden="1" x14ac:dyDescent="0.15">
      <c r="A2654" s="1" t="s">
        <v>344</v>
      </c>
      <c r="B2654" s="2">
        <v>595390</v>
      </c>
      <c r="C2654" s="3">
        <v>9.4E-2</v>
      </c>
      <c r="D2654" s="4" t="s">
        <v>358</v>
      </c>
      <c r="E2654" s="4" t="s">
        <v>2</v>
      </c>
    </row>
    <row r="2655" spans="1:5" ht="26" hidden="1" x14ac:dyDescent="0.15">
      <c r="A2655" s="1" t="s">
        <v>363</v>
      </c>
      <c r="B2655" s="2">
        <v>1285423</v>
      </c>
      <c r="C2655" s="3">
        <v>0.20300000000000001</v>
      </c>
      <c r="D2655" s="4" t="s">
        <v>358</v>
      </c>
      <c r="E2655" s="4" t="s">
        <v>2</v>
      </c>
    </row>
    <row r="2656" spans="1:5" hidden="1" x14ac:dyDescent="0.15">
      <c r="A2656" s="1" t="s">
        <v>364</v>
      </c>
      <c r="B2656" s="2">
        <v>305098</v>
      </c>
      <c r="C2656" s="3">
        <v>4.8000000000000001E-2</v>
      </c>
      <c r="D2656" s="4" t="s">
        <v>358</v>
      </c>
      <c r="E2656" s="4" t="s">
        <v>2</v>
      </c>
    </row>
    <row r="2657" spans="1:5" ht="39" hidden="1" x14ac:dyDescent="0.15">
      <c r="A2657" s="1" t="s">
        <v>365</v>
      </c>
      <c r="B2657" s="2">
        <v>439944</v>
      </c>
      <c r="C2657" s="3">
        <v>7.0000000000000007E-2</v>
      </c>
      <c r="D2657" s="4" t="s">
        <v>358</v>
      </c>
      <c r="E2657" s="4" t="s">
        <v>2</v>
      </c>
    </row>
    <row r="2658" spans="1:5" ht="26" hidden="1" x14ac:dyDescent="0.15">
      <c r="A2658" s="1" t="s">
        <v>366</v>
      </c>
      <c r="B2658" s="2">
        <v>623647</v>
      </c>
      <c r="C2658" s="3">
        <v>9.9000000000000005E-2</v>
      </c>
      <c r="D2658" s="4" t="s">
        <v>358</v>
      </c>
      <c r="E2658" s="4" t="s">
        <v>2</v>
      </c>
    </row>
    <row r="2659" spans="1:5" ht="26" hidden="1" x14ac:dyDescent="0.15">
      <c r="A2659" s="1" t="s">
        <v>93</v>
      </c>
      <c r="B2659" s="2">
        <v>662137</v>
      </c>
      <c r="C2659" s="3">
        <v>0.105</v>
      </c>
      <c r="D2659" s="4" t="s">
        <v>358</v>
      </c>
      <c r="E2659" s="4" t="s">
        <v>2</v>
      </c>
    </row>
    <row r="2660" spans="1:5" hidden="1" x14ac:dyDescent="0.15">
      <c r="A2660" s="1" t="s">
        <v>0</v>
      </c>
      <c r="B2660" s="2">
        <v>2983218</v>
      </c>
      <c r="C2660" s="3">
        <v>1</v>
      </c>
      <c r="D2660" s="4" t="s">
        <v>367</v>
      </c>
      <c r="E2660" s="4" t="s">
        <v>106</v>
      </c>
    </row>
    <row r="2661" spans="1:5" ht="26" hidden="1" x14ac:dyDescent="0.15">
      <c r="A2661" s="1" t="s">
        <v>3</v>
      </c>
      <c r="B2661" s="2">
        <v>22577</v>
      </c>
      <c r="C2661" s="3">
        <v>8.0000000000000002E-3</v>
      </c>
      <c r="D2661" s="4" t="s">
        <v>367</v>
      </c>
      <c r="E2661" s="4" t="s">
        <v>106</v>
      </c>
    </row>
    <row r="2662" spans="1:5" hidden="1" x14ac:dyDescent="0.15">
      <c r="A2662" s="1" t="s">
        <v>4</v>
      </c>
      <c r="B2662" s="2">
        <v>20065</v>
      </c>
      <c r="C2662" s="3">
        <v>6.9999999999999993E-3</v>
      </c>
      <c r="D2662" s="4" t="s">
        <v>367</v>
      </c>
      <c r="E2662" s="4" t="s">
        <v>106</v>
      </c>
    </row>
    <row r="2663" spans="1:5" ht="26" hidden="1" x14ac:dyDescent="0.15">
      <c r="A2663" s="1" t="s">
        <v>5</v>
      </c>
      <c r="B2663" s="2">
        <v>74787</v>
      </c>
      <c r="C2663" s="3">
        <v>2.5000000000000001E-2</v>
      </c>
      <c r="D2663" s="4" t="s">
        <v>367</v>
      </c>
      <c r="E2663" s="4" t="s">
        <v>106</v>
      </c>
    </row>
    <row r="2664" spans="1:5" ht="26" hidden="1" x14ac:dyDescent="0.15">
      <c r="A2664" s="1" t="s">
        <v>6</v>
      </c>
      <c r="B2664" s="2">
        <v>224957</v>
      </c>
      <c r="C2664" s="3">
        <v>7.4999999999999997E-2</v>
      </c>
      <c r="D2664" s="4" t="s">
        <v>367</v>
      </c>
      <c r="E2664" s="4" t="s">
        <v>106</v>
      </c>
    </row>
    <row r="2665" spans="1:5" ht="26" hidden="1" x14ac:dyDescent="0.15">
      <c r="A2665" s="1" t="s">
        <v>7</v>
      </c>
      <c r="B2665" s="2">
        <v>556636</v>
      </c>
      <c r="C2665" s="3">
        <v>0.187</v>
      </c>
      <c r="D2665" s="4" t="s">
        <v>367</v>
      </c>
      <c r="E2665" s="4" t="s">
        <v>106</v>
      </c>
    </row>
    <row r="2666" spans="1:5" ht="26" hidden="1" x14ac:dyDescent="0.15">
      <c r="A2666" s="1" t="s">
        <v>8</v>
      </c>
      <c r="B2666" s="2">
        <v>23905</v>
      </c>
      <c r="C2666" s="3">
        <v>8.0000000000000002E-3</v>
      </c>
      <c r="D2666" s="4" t="s">
        <v>367</v>
      </c>
      <c r="E2666" s="4" t="s">
        <v>106</v>
      </c>
    </row>
    <row r="2667" spans="1:5" ht="26" hidden="1" x14ac:dyDescent="0.15">
      <c r="A2667" s="1" t="s">
        <v>9</v>
      </c>
      <c r="B2667" s="2">
        <v>95618</v>
      </c>
      <c r="C2667" s="3">
        <v>3.2000000000000001E-2</v>
      </c>
      <c r="D2667" s="4" t="s">
        <v>367</v>
      </c>
      <c r="E2667" s="4" t="s">
        <v>106</v>
      </c>
    </row>
    <row r="2668" spans="1:5" ht="26" hidden="1" x14ac:dyDescent="0.15">
      <c r="A2668" s="1" t="s">
        <v>10</v>
      </c>
      <c r="B2668" s="2">
        <v>59060</v>
      </c>
      <c r="C2668" s="3">
        <v>0.02</v>
      </c>
      <c r="D2668" s="4" t="s">
        <v>367</v>
      </c>
      <c r="E2668" s="4" t="s">
        <v>106</v>
      </c>
    </row>
    <row r="2669" spans="1:5" ht="26" hidden="1" x14ac:dyDescent="0.15">
      <c r="A2669" s="1" t="s">
        <v>11</v>
      </c>
      <c r="B2669" s="2">
        <v>181430</v>
      </c>
      <c r="C2669" s="3">
        <v>6.0999999999999999E-2</v>
      </c>
      <c r="D2669" s="4" t="s">
        <v>367</v>
      </c>
      <c r="E2669" s="4" t="s">
        <v>106</v>
      </c>
    </row>
    <row r="2670" spans="1:5" ht="26" hidden="1" x14ac:dyDescent="0.15">
      <c r="A2670" s="1" t="s">
        <v>12</v>
      </c>
      <c r="B2670" s="2">
        <v>46347</v>
      </c>
      <c r="C2670" s="3">
        <v>1.6E-2</v>
      </c>
      <c r="D2670" s="4" t="s">
        <v>367</v>
      </c>
      <c r="E2670" s="4" t="s">
        <v>106</v>
      </c>
    </row>
    <row r="2671" spans="1:5" ht="26" hidden="1" x14ac:dyDescent="0.15">
      <c r="A2671" s="1" t="s">
        <v>13</v>
      </c>
      <c r="B2671" s="2">
        <v>39853</v>
      </c>
      <c r="C2671" s="3">
        <v>1.3000000000000001E-2</v>
      </c>
      <c r="D2671" s="4" t="s">
        <v>367</v>
      </c>
      <c r="E2671" s="4" t="s">
        <v>106</v>
      </c>
    </row>
    <row r="2672" spans="1:5" hidden="1" x14ac:dyDescent="0.15">
      <c r="A2672" s="1" t="s">
        <v>14</v>
      </c>
      <c r="B2672" s="2">
        <v>214237</v>
      </c>
      <c r="C2672" s="3">
        <v>7.2000000000000008E-2</v>
      </c>
      <c r="D2672" s="4" t="s">
        <v>367</v>
      </c>
      <c r="E2672" s="4" t="s">
        <v>106</v>
      </c>
    </row>
    <row r="2673" spans="1:5" ht="26" hidden="1" x14ac:dyDescent="0.15">
      <c r="A2673" s="1" t="s">
        <v>15</v>
      </c>
      <c r="B2673" s="2">
        <v>84909</v>
      </c>
      <c r="C2673" s="3">
        <v>2.7999999999999997E-2</v>
      </c>
      <c r="D2673" s="4" t="s">
        <v>367</v>
      </c>
      <c r="E2673" s="4" t="s">
        <v>106</v>
      </c>
    </row>
    <row r="2674" spans="1:5" ht="26" hidden="1" x14ac:dyDescent="0.15">
      <c r="A2674" s="1" t="s">
        <v>16</v>
      </c>
      <c r="B2674" s="2">
        <v>92688</v>
      </c>
      <c r="C2674" s="3">
        <v>3.1E-2</v>
      </c>
      <c r="D2674" s="4" t="s">
        <v>367</v>
      </c>
      <c r="E2674" s="4" t="s">
        <v>106</v>
      </c>
    </row>
    <row r="2675" spans="1:5" ht="26" hidden="1" x14ac:dyDescent="0.15">
      <c r="A2675" s="1" t="s">
        <v>17</v>
      </c>
      <c r="B2675" s="2">
        <v>68990</v>
      </c>
      <c r="C2675" s="3">
        <v>2.3E-2</v>
      </c>
      <c r="D2675" s="4" t="s">
        <v>367</v>
      </c>
      <c r="E2675" s="4" t="s">
        <v>106</v>
      </c>
    </row>
    <row r="2676" spans="1:5" hidden="1" x14ac:dyDescent="0.15">
      <c r="A2676" s="1" t="s">
        <v>18</v>
      </c>
      <c r="B2676" s="2">
        <v>61218</v>
      </c>
      <c r="C2676" s="3">
        <v>2.1000000000000001E-2</v>
      </c>
      <c r="D2676" s="4" t="s">
        <v>367</v>
      </c>
      <c r="E2676" s="4" t="s">
        <v>106</v>
      </c>
    </row>
    <row r="2677" spans="1:5" hidden="1" x14ac:dyDescent="0.15">
      <c r="A2677" s="1" t="s">
        <v>19</v>
      </c>
      <c r="B2677" s="2">
        <v>319584</v>
      </c>
      <c r="C2677" s="3">
        <v>0.107</v>
      </c>
      <c r="D2677" s="4" t="s">
        <v>367</v>
      </c>
      <c r="E2677" s="4" t="s">
        <v>106</v>
      </c>
    </row>
    <row r="2678" spans="1:5" hidden="1" x14ac:dyDescent="0.15">
      <c r="A2678" s="1" t="s">
        <v>20</v>
      </c>
      <c r="B2678" s="2">
        <v>46456</v>
      </c>
      <c r="C2678" s="3">
        <v>1.6E-2</v>
      </c>
      <c r="D2678" s="4" t="s">
        <v>367</v>
      </c>
      <c r="E2678" s="4" t="s">
        <v>106</v>
      </c>
    </row>
    <row r="2679" spans="1:5" ht="26" hidden="1" x14ac:dyDescent="0.15">
      <c r="A2679" s="1" t="s">
        <v>21</v>
      </c>
      <c r="B2679" s="2">
        <v>108805</v>
      </c>
      <c r="C2679" s="3">
        <v>3.6000000000000004E-2</v>
      </c>
      <c r="D2679" s="4" t="s">
        <v>367</v>
      </c>
      <c r="E2679" s="4" t="s">
        <v>106</v>
      </c>
    </row>
    <row r="2680" spans="1:5" ht="26" hidden="1" x14ac:dyDescent="0.15">
      <c r="A2680" s="1" t="s">
        <v>22</v>
      </c>
      <c r="B2680" s="2">
        <v>32511</v>
      </c>
      <c r="C2680" s="3">
        <v>1.1000000000000001E-2</v>
      </c>
      <c r="D2680" s="4" t="s">
        <v>367</v>
      </c>
      <c r="E2680" s="4" t="s">
        <v>106</v>
      </c>
    </row>
    <row r="2681" spans="1:5" ht="26" hidden="1" x14ac:dyDescent="0.15">
      <c r="A2681" s="1" t="s">
        <v>23</v>
      </c>
      <c r="B2681" s="2">
        <v>39872</v>
      </c>
      <c r="C2681" s="3">
        <v>1.3000000000000001E-2</v>
      </c>
      <c r="D2681" s="4" t="s">
        <v>367</v>
      </c>
      <c r="E2681" s="4" t="s">
        <v>106</v>
      </c>
    </row>
    <row r="2682" spans="1:5" ht="26" hidden="1" x14ac:dyDescent="0.15">
      <c r="A2682" s="1" t="s">
        <v>24</v>
      </c>
      <c r="B2682" s="2">
        <v>18919</v>
      </c>
      <c r="C2682" s="3">
        <v>6.0000000000000001E-3</v>
      </c>
      <c r="D2682" s="4" t="s">
        <v>367</v>
      </c>
      <c r="E2682" s="4" t="s">
        <v>106</v>
      </c>
    </row>
    <row r="2683" spans="1:5" ht="26" hidden="1" x14ac:dyDescent="0.15">
      <c r="A2683" s="1" t="s">
        <v>25</v>
      </c>
      <c r="B2683" s="2">
        <v>69556</v>
      </c>
      <c r="C2683" s="3">
        <v>2.3E-2</v>
      </c>
      <c r="D2683" s="4" t="s">
        <v>367</v>
      </c>
      <c r="E2683" s="4" t="s">
        <v>106</v>
      </c>
    </row>
    <row r="2684" spans="1:5" hidden="1" x14ac:dyDescent="0.15">
      <c r="A2684" s="1" t="s">
        <v>26</v>
      </c>
      <c r="B2684" s="2">
        <v>27095</v>
      </c>
      <c r="C2684" s="3">
        <v>9.0000000000000011E-3</v>
      </c>
      <c r="D2684" s="4" t="s">
        <v>367</v>
      </c>
      <c r="E2684" s="4" t="s">
        <v>106</v>
      </c>
    </row>
    <row r="2685" spans="1:5" hidden="1" x14ac:dyDescent="0.15">
      <c r="A2685" s="1" t="s">
        <v>27</v>
      </c>
      <c r="B2685" s="2">
        <v>339839</v>
      </c>
      <c r="C2685" s="3">
        <v>0.114</v>
      </c>
      <c r="D2685" s="4" t="s">
        <v>367</v>
      </c>
      <c r="E2685" s="4" t="s">
        <v>106</v>
      </c>
    </row>
    <row r="2686" spans="1:5" hidden="1" x14ac:dyDescent="0.15">
      <c r="A2686" s="1" t="s">
        <v>28</v>
      </c>
      <c r="B2686" s="2">
        <v>297207</v>
      </c>
      <c r="C2686" s="3">
        <v>0.1</v>
      </c>
      <c r="D2686" s="4" t="s">
        <v>367</v>
      </c>
      <c r="E2686" s="4" t="s">
        <v>106</v>
      </c>
    </row>
    <row r="2687" spans="1:5" hidden="1" x14ac:dyDescent="0.15">
      <c r="A2687" s="1" t="s">
        <v>29</v>
      </c>
      <c r="B2687" s="2">
        <v>678422</v>
      </c>
      <c r="C2687" s="3">
        <v>0.22699999999999998</v>
      </c>
      <c r="D2687" s="4" t="s">
        <v>367</v>
      </c>
      <c r="E2687" s="4" t="s">
        <v>106</v>
      </c>
    </row>
    <row r="2688" spans="1:5" hidden="1" x14ac:dyDescent="0.15">
      <c r="A2688" s="1" t="s">
        <v>30</v>
      </c>
      <c r="B2688" s="2">
        <v>94854</v>
      </c>
      <c r="C2688" s="3">
        <v>3.2000000000000001E-2</v>
      </c>
      <c r="D2688" s="4" t="s">
        <v>367</v>
      </c>
      <c r="E2688" s="4" t="s">
        <v>106</v>
      </c>
    </row>
    <row r="2689" spans="1:5" ht="39" hidden="1" x14ac:dyDescent="0.15">
      <c r="A2689" s="1" t="s">
        <v>31</v>
      </c>
      <c r="B2689" s="2">
        <v>32575</v>
      </c>
      <c r="C2689" s="3">
        <v>1.1000000000000001E-2</v>
      </c>
      <c r="D2689" s="4" t="s">
        <v>367</v>
      </c>
      <c r="E2689" s="4" t="s">
        <v>106</v>
      </c>
    </row>
    <row r="2690" spans="1:5" hidden="1" x14ac:dyDescent="0.15">
      <c r="A2690" s="1" t="s">
        <v>32</v>
      </c>
      <c r="B2690" s="2">
        <v>109128</v>
      </c>
      <c r="C2690" s="3">
        <v>3.7000000000000005E-2</v>
      </c>
      <c r="D2690" s="4" t="s">
        <v>367</v>
      </c>
      <c r="E2690" s="4" t="s">
        <v>106</v>
      </c>
    </row>
    <row r="2691" spans="1:5" hidden="1" x14ac:dyDescent="0.15">
      <c r="A2691" s="1" t="s">
        <v>33</v>
      </c>
      <c r="B2691" s="2">
        <v>775469</v>
      </c>
      <c r="C2691" s="3">
        <v>0.26</v>
      </c>
      <c r="D2691" s="4" t="s">
        <v>367</v>
      </c>
      <c r="E2691" s="4" t="s">
        <v>106</v>
      </c>
    </row>
    <row r="2692" spans="1:5" hidden="1" x14ac:dyDescent="0.15">
      <c r="A2692" s="1" t="s">
        <v>34</v>
      </c>
      <c r="B2692" s="2">
        <v>266475</v>
      </c>
      <c r="C2692" s="3">
        <v>8.900000000000001E-2</v>
      </c>
      <c r="D2692" s="4" t="s">
        <v>367</v>
      </c>
      <c r="E2692" s="4" t="s">
        <v>106</v>
      </c>
    </row>
    <row r="2693" spans="1:5" hidden="1" x14ac:dyDescent="0.15">
      <c r="A2693" s="1" t="s">
        <v>35</v>
      </c>
      <c r="B2693" s="2">
        <v>169916</v>
      </c>
      <c r="C2693" s="3">
        <v>5.7000000000000002E-2</v>
      </c>
      <c r="D2693" s="4" t="s">
        <v>367</v>
      </c>
      <c r="E2693" s="4" t="s">
        <v>106</v>
      </c>
    </row>
    <row r="2694" spans="1:5" ht="26" hidden="1" x14ac:dyDescent="0.15">
      <c r="A2694" s="1" t="s">
        <v>36</v>
      </c>
      <c r="B2694" s="2">
        <v>50705</v>
      </c>
      <c r="C2694" s="3">
        <v>1.7000000000000001E-2</v>
      </c>
      <c r="D2694" s="4" t="s">
        <v>367</v>
      </c>
      <c r="E2694" s="4" t="s">
        <v>106</v>
      </c>
    </row>
    <row r="2695" spans="1:5" hidden="1" x14ac:dyDescent="0.15">
      <c r="A2695" s="1" t="s">
        <v>37</v>
      </c>
      <c r="B2695" s="2">
        <v>40400</v>
      </c>
      <c r="C2695" s="3">
        <v>1.3999999999999999E-2</v>
      </c>
      <c r="D2695" s="4" t="s">
        <v>367</v>
      </c>
      <c r="E2695" s="4" t="s">
        <v>106</v>
      </c>
    </row>
    <row r="2696" spans="1:5" ht="39" hidden="1" x14ac:dyDescent="0.15">
      <c r="A2696" s="1" t="s">
        <v>38</v>
      </c>
      <c r="B2696" s="2">
        <v>50195</v>
      </c>
      <c r="C2696" s="3">
        <v>1.7000000000000001E-2</v>
      </c>
      <c r="D2696" s="4" t="s">
        <v>367</v>
      </c>
      <c r="E2696" s="4" t="s">
        <v>106</v>
      </c>
    </row>
    <row r="2697" spans="1:5" hidden="1" x14ac:dyDescent="0.15">
      <c r="A2697" s="1" t="s">
        <v>39</v>
      </c>
      <c r="B2697" s="2">
        <v>116548</v>
      </c>
      <c r="C2697" s="3">
        <v>3.9E-2</v>
      </c>
      <c r="D2697" s="4" t="s">
        <v>367</v>
      </c>
      <c r="E2697" s="4" t="s">
        <v>106</v>
      </c>
    </row>
    <row r="2698" spans="1:5" hidden="1" x14ac:dyDescent="0.15">
      <c r="A2698" s="1" t="s">
        <v>40</v>
      </c>
      <c r="B2698" s="2">
        <v>24032</v>
      </c>
      <c r="C2698" s="3">
        <v>8.0000000000000002E-3</v>
      </c>
      <c r="D2698" s="4" t="s">
        <v>367</v>
      </c>
      <c r="E2698" s="4" t="s">
        <v>106</v>
      </c>
    </row>
    <row r="2699" spans="1:5" hidden="1" x14ac:dyDescent="0.15">
      <c r="A2699" s="1" t="s">
        <v>41</v>
      </c>
      <c r="B2699" s="2">
        <v>99306</v>
      </c>
      <c r="C2699" s="3">
        <v>3.3000000000000002E-2</v>
      </c>
      <c r="D2699" s="4" t="s">
        <v>367</v>
      </c>
      <c r="E2699" s="4" t="s">
        <v>106</v>
      </c>
    </row>
    <row r="2700" spans="1:5" hidden="1" x14ac:dyDescent="0.15">
      <c r="A2700" s="1" t="s">
        <v>42</v>
      </c>
      <c r="B2700" s="2">
        <v>67591</v>
      </c>
      <c r="C2700" s="3">
        <v>2.3E-2</v>
      </c>
      <c r="D2700" s="4" t="s">
        <v>367</v>
      </c>
      <c r="E2700" s="4" t="s">
        <v>106</v>
      </c>
    </row>
    <row r="2701" spans="1:5" hidden="1" x14ac:dyDescent="0.15">
      <c r="A2701" s="1" t="s">
        <v>43</v>
      </c>
      <c r="B2701" s="2">
        <v>337251</v>
      </c>
      <c r="C2701" s="3">
        <v>0.113</v>
      </c>
      <c r="D2701" s="4" t="s">
        <v>367</v>
      </c>
      <c r="E2701" s="4" t="s">
        <v>106</v>
      </c>
    </row>
    <row r="2702" spans="1:5" ht="26" hidden="1" x14ac:dyDescent="0.15">
      <c r="A2702" s="1" t="s">
        <v>44</v>
      </c>
      <c r="B2702" s="2">
        <v>421676</v>
      </c>
      <c r="C2702" s="3">
        <v>0.14099999999999999</v>
      </c>
      <c r="D2702" s="4" t="s">
        <v>367</v>
      </c>
      <c r="E2702" s="4" t="s">
        <v>106</v>
      </c>
    </row>
    <row r="2703" spans="1:5" hidden="1" x14ac:dyDescent="0.15">
      <c r="A2703" s="1" t="s">
        <v>45</v>
      </c>
      <c r="B2703" s="2">
        <v>495320</v>
      </c>
      <c r="C2703" s="3">
        <v>0.16600000000000001</v>
      </c>
      <c r="D2703" s="4" t="s">
        <v>367</v>
      </c>
      <c r="E2703" s="4" t="s">
        <v>106</v>
      </c>
    </row>
    <row r="2704" spans="1:5" ht="26" hidden="1" x14ac:dyDescent="0.15">
      <c r="A2704" s="1" t="s">
        <v>46</v>
      </c>
      <c r="B2704" s="2">
        <v>787166</v>
      </c>
      <c r="C2704" s="3">
        <v>0.26400000000000001</v>
      </c>
      <c r="D2704" s="4" t="s">
        <v>367</v>
      </c>
      <c r="E2704" s="4" t="s">
        <v>106</v>
      </c>
    </row>
    <row r="2705" spans="1:5" hidden="1" x14ac:dyDescent="0.15">
      <c r="A2705" s="1" t="s">
        <v>47</v>
      </c>
      <c r="B2705" s="2">
        <v>1266869</v>
      </c>
      <c r="C2705" s="3">
        <v>0.42499999999999999</v>
      </c>
      <c r="D2705" s="4" t="s">
        <v>367</v>
      </c>
      <c r="E2705" s="4" t="s">
        <v>106</v>
      </c>
    </row>
    <row r="2706" spans="1:5" hidden="1" x14ac:dyDescent="0.15">
      <c r="A2706" s="1" t="s">
        <v>48</v>
      </c>
      <c r="B2706" s="2">
        <v>210516</v>
      </c>
      <c r="C2706" s="3">
        <v>7.0999999999999994E-2</v>
      </c>
      <c r="D2706" s="4" t="s">
        <v>367</v>
      </c>
      <c r="E2706" s="4" t="s">
        <v>106</v>
      </c>
    </row>
    <row r="2707" spans="1:5" hidden="1" x14ac:dyDescent="0.15">
      <c r="A2707" s="1" t="s">
        <v>49</v>
      </c>
      <c r="B2707" s="2">
        <v>430431</v>
      </c>
      <c r="C2707" s="3">
        <v>0.14400000000000002</v>
      </c>
      <c r="D2707" s="4" t="s">
        <v>367</v>
      </c>
      <c r="E2707" s="4" t="s">
        <v>106</v>
      </c>
    </row>
    <row r="2708" spans="1:5" ht="26" hidden="1" x14ac:dyDescent="0.15">
      <c r="A2708" s="1" t="s">
        <v>50</v>
      </c>
      <c r="B2708" s="2">
        <v>515519</v>
      </c>
      <c r="C2708" s="3">
        <v>0.17300000000000001</v>
      </c>
      <c r="D2708" s="4" t="s">
        <v>367</v>
      </c>
      <c r="E2708" s="4" t="s">
        <v>106</v>
      </c>
    </row>
    <row r="2709" spans="1:5" hidden="1" x14ac:dyDescent="0.15">
      <c r="A2709" s="1" t="s">
        <v>51</v>
      </c>
      <c r="B2709" s="2">
        <v>940835</v>
      </c>
      <c r="C2709" s="3">
        <v>0.315</v>
      </c>
      <c r="D2709" s="4" t="s">
        <v>367</v>
      </c>
      <c r="E2709" s="4" t="s">
        <v>106</v>
      </c>
    </row>
    <row r="2710" spans="1:5" hidden="1" x14ac:dyDescent="0.15">
      <c r="A2710" s="1" t="s">
        <v>52</v>
      </c>
      <c r="B2710" s="2">
        <v>456689</v>
      </c>
      <c r="C2710" s="3">
        <v>0.153</v>
      </c>
      <c r="D2710" s="4" t="s">
        <v>367</v>
      </c>
      <c r="E2710" s="4" t="s">
        <v>106</v>
      </c>
    </row>
    <row r="2711" spans="1:5" ht="26" hidden="1" x14ac:dyDescent="0.15">
      <c r="A2711" s="1" t="s">
        <v>53</v>
      </c>
      <c r="B2711" s="2">
        <v>325055</v>
      </c>
      <c r="C2711" s="3">
        <v>0.109</v>
      </c>
      <c r="D2711" s="4" t="s">
        <v>367</v>
      </c>
      <c r="E2711" s="4" t="s">
        <v>106</v>
      </c>
    </row>
    <row r="2712" spans="1:5" hidden="1" x14ac:dyDescent="0.15">
      <c r="A2712" s="1" t="s">
        <v>54</v>
      </c>
      <c r="B2712" s="2">
        <v>1100622</v>
      </c>
      <c r="C2712" s="3">
        <v>0.36899999999999999</v>
      </c>
      <c r="D2712" s="4" t="s">
        <v>367</v>
      </c>
      <c r="E2712" s="4" t="s">
        <v>106</v>
      </c>
    </row>
    <row r="2713" spans="1:5" ht="26" hidden="1" x14ac:dyDescent="0.15">
      <c r="A2713" s="1" t="s">
        <v>55</v>
      </c>
      <c r="B2713" s="2">
        <v>606935</v>
      </c>
      <c r="C2713" s="3">
        <v>0.20300000000000001</v>
      </c>
      <c r="D2713" s="4" t="s">
        <v>367</v>
      </c>
      <c r="E2713" s="4" t="s">
        <v>106</v>
      </c>
    </row>
    <row r="2714" spans="1:5" hidden="1" x14ac:dyDescent="0.15">
      <c r="A2714" s="1" t="s">
        <v>56</v>
      </c>
      <c r="B2714" s="2">
        <v>712919</v>
      </c>
      <c r="C2714" s="3">
        <v>0.23899999999999999</v>
      </c>
      <c r="D2714" s="4" t="s">
        <v>367</v>
      </c>
      <c r="E2714" s="4" t="s">
        <v>106</v>
      </c>
    </row>
    <row r="2715" spans="1:5" hidden="1" x14ac:dyDescent="0.15">
      <c r="A2715" s="1" t="s">
        <v>57</v>
      </c>
      <c r="B2715" s="2">
        <v>491857</v>
      </c>
      <c r="C2715" s="3">
        <v>0.16500000000000001</v>
      </c>
      <c r="D2715" s="4" t="s">
        <v>367</v>
      </c>
      <c r="E2715" s="4" t="s">
        <v>106</v>
      </c>
    </row>
    <row r="2716" spans="1:5" hidden="1" x14ac:dyDescent="0.15">
      <c r="A2716" s="1" t="s">
        <v>58</v>
      </c>
      <c r="B2716" s="2">
        <v>399380</v>
      </c>
      <c r="C2716" s="3">
        <v>0.13400000000000001</v>
      </c>
      <c r="D2716" s="4" t="s">
        <v>367</v>
      </c>
      <c r="E2716" s="4" t="s">
        <v>106</v>
      </c>
    </row>
    <row r="2717" spans="1:5" hidden="1" x14ac:dyDescent="0.15">
      <c r="A2717" s="1" t="s">
        <v>59</v>
      </c>
      <c r="B2717" s="2">
        <v>1178354</v>
      </c>
      <c r="C2717" s="3">
        <v>0.39500000000000002</v>
      </c>
      <c r="D2717" s="4" t="s">
        <v>367</v>
      </c>
      <c r="E2717" s="4" t="s">
        <v>106</v>
      </c>
    </row>
    <row r="2718" spans="1:5" hidden="1" x14ac:dyDescent="0.15">
      <c r="A2718" s="1" t="s">
        <v>60</v>
      </c>
      <c r="B2718" s="2">
        <v>482686</v>
      </c>
      <c r="C2718" s="3">
        <v>0.16200000000000001</v>
      </c>
      <c r="D2718" s="4" t="s">
        <v>367</v>
      </c>
      <c r="E2718" s="4" t="s">
        <v>106</v>
      </c>
    </row>
    <row r="2719" spans="1:5" ht="26" hidden="1" x14ac:dyDescent="0.15">
      <c r="A2719" s="1" t="s">
        <v>61</v>
      </c>
      <c r="B2719" s="2">
        <v>438046</v>
      </c>
      <c r="C2719" s="3">
        <v>0.14699999999999999</v>
      </c>
      <c r="D2719" s="4" t="s">
        <v>367</v>
      </c>
      <c r="E2719" s="4" t="s">
        <v>106</v>
      </c>
    </row>
    <row r="2720" spans="1:5" hidden="1" x14ac:dyDescent="0.15">
      <c r="A2720" s="1" t="s">
        <v>62</v>
      </c>
      <c r="B2720" s="2">
        <v>210068</v>
      </c>
      <c r="C2720" s="3">
        <v>7.0000000000000007E-2</v>
      </c>
      <c r="D2720" s="4" t="s">
        <v>367</v>
      </c>
      <c r="E2720" s="4" t="s">
        <v>106</v>
      </c>
    </row>
    <row r="2721" spans="1:5" ht="26" hidden="1" x14ac:dyDescent="0.15">
      <c r="A2721" s="1" t="s">
        <v>63</v>
      </c>
      <c r="B2721" s="2">
        <v>351951</v>
      </c>
      <c r="C2721" s="3">
        <v>0.11800000000000001</v>
      </c>
      <c r="D2721" s="4" t="s">
        <v>367</v>
      </c>
      <c r="E2721" s="4" t="s">
        <v>106</v>
      </c>
    </row>
    <row r="2722" spans="1:5" ht="26" hidden="1" x14ac:dyDescent="0.15">
      <c r="A2722" s="1" t="s">
        <v>64</v>
      </c>
      <c r="B2722" s="2">
        <v>155425</v>
      </c>
      <c r="C2722" s="3">
        <v>5.2000000000000005E-2</v>
      </c>
      <c r="D2722" s="4" t="s">
        <v>367</v>
      </c>
      <c r="E2722" s="4" t="s">
        <v>106</v>
      </c>
    </row>
    <row r="2723" spans="1:5" hidden="1" x14ac:dyDescent="0.15">
      <c r="A2723" s="1" t="s">
        <v>65</v>
      </c>
      <c r="B2723" s="2">
        <v>496582</v>
      </c>
      <c r="C2723" s="3">
        <v>0.16600000000000001</v>
      </c>
      <c r="D2723" s="4" t="s">
        <v>367</v>
      </c>
      <c r="E2723" s="4" t="s">
        <v>106</v>
      </c>
    </row>
    <row r="2724" spans="1:5" hidden="1" x14ac:dyDescent="0.15">
      <c r="A2724" s="1" t="s">
        <v>66</v>
      </c>
      <c r="B2724" s="2">
        <v>297573</v>
      </c>
      <c r="C2724" s="3">
        <v>0.1</v>
      </c>
      <c r="D2724" s="4" t="s">
        <v>367</v>
      </c>
      <c r="E2724" s="4" t="s">
        <v>106</v>
      </c>
    </row>
    <row r="2725" spans="1:5" hidden="1" x14ac:dyDescent="0.15">
      <c r="A2725" s="1" t="s">
        <v>67</v>
      </c>
      <c r="B2725" s="2">
        <v>969798</v>
      </c>
      <c r="C2725" s="3">
        <v>0.32500000000000001</v>
      </c>
      <c r="D2725" s="4" t="s">
        <v>367</v>
      </c>
      <c r="E2725" s="4" t="s">
        <v>106</v>
      </c>
    </row>
    <row r="2726" spans="1:5" hidden="1" x14ac:dyDescent="0.15">
      <c r="A2726" s="1" t="s">
        <v>68</v>
      </c>
      <c r="B2726" s="2">
        <v>1052169</v>
      </c>
      <c r="C2726" s="3">
        <v>0.35299999999999998</v>
      </c>
      <c r="D2726" s="4" t="s">
        <v>367</v>
      </c>
      <c r="E2726" s="4" t="s">
        <v>106</v>
      </c>
    </row>
    <row r="2727" spans="1:5" hidden="1" x14ac:dyDescent="0.15">
      <c r="A2727" s="1" t="s">
        <v>69</v>
      </c>
      <c r="B2727" s="2">
        <v>1661104</v>
      </c>
      <c r="C2727" s="3">
        <v>0.55700000000000005</v>
      </c>
      <c r="D2727" s="4" t="s">
        <v>367</v>
      </c>
      <c r="E2727" s="4" t="s">
        <v>106</v>
      </c>
    </row>
    <row r="2728" spans="1:5" hidden="1" x14ac:dyDescent="0.15">
      <c r="A2728" s="1" t="s">
        <v>70</v>
      </c>
      <c r="B2728" s="2">
        <v>524819</v>
      </c>
      <c r="C2728" s="3">
        <v>0.17600000000000002</v>
      </c>
      <c r="D2728" s="4" t="s">
        <v>367</v>
      </c>
      <c r="E2728" s="4" t="s">
        <v>106</v>
      </c>
    </row>
    <row r="2729" spans="1:5" ht="26" hidden="1" x14ac:dyDescent="0.15">
      <c r="A2729" s="1" t="s">
        <v>71</v>
      </c>
      <c r="B2729" s="2">
        <v>217251</v>
      </c>
      <c r="C2729" s="3">
        <v>7.2999999999999995E-2</v>
      </c>
      <c r="D2729" s="4" t="s">
        <v>367</v>
      </c>
      <c r="E2729" s="4" t="s">
        <v>106</v>
      </c>
    </row>
    <row r="2730" spans="1:5" hidden="1" x14ac:dyDescent="0.15">
      <c r="A2730" s="1" t="s">
        <v>72</v>
      </c>
      <c r="B2730" s="2">
        <v>447714</v>
      </c>
      <c r="C2730" s="3">
        <v>0.15</v>
      </c>
      <c r="D2730" s="4" t="s">
        <v>367</v>
      </c>
      <c r="E2730" s="4" t="s">
        <v>106</v>
      </c>
    </row>
    <row r="2731" spans="1:5" hidden="1" x14ac:dyDescent="0.15">
      <c r="A2731" s="1" t="s">
        <v>73</v>
      </c>
      <c r="B2731" s="2">
        <v>1728459</v>
      </c>
      <c r="C2731" s="3">
        <v>0.57899999999999996</v>
      </c>
      <c r="D2731" s="4" t="s">
        <v>367</v>
      </c>
      <c r="E2731" s="4" t="s">
        <v>106</v>
      </c>
    </row>
    <row r="2732" spans="1:5" hidden="1" x14ac:dyDescent="0.15">
      <c r="A2732" s="1" t="s">
        <v>74</v>
      </c>
      <c r="B2732" s="2">
        <v>792180</v>
      </c>
      <c r="C2732" s="3">
        <v>0.26600000000000001</v>
      </c>
      <c r="D2732" s="4" t="s">
        <v>367</v>
      </c>
      <c r="E2732" s="4" t="s">
        <v>106</v>
      </c>
    </row>
    <row r="2733" spans="1:5" hidden="1" x14ac:dyDescent="0.15">
      <c r="A2733" s="1" t="s">
        <v>75</v>
      </c>
      <c r="B2733" s="2">
        <v>610614</v>
      </c>
      <c r="C2733" s="3">
        <v>0.20499999999999999</v>
      </c>
      <c r="D2733" s="4" t="s">
        <v>367</v>
      </c>
      <c r="E2733" s="4" t="s">
        <v>106</v>
      </c>
    </row>
    <row r="2734" spans="1:5" hidden="1" x14ac:dyDescent="0.15">
      <c r="A2734" s="1" t="s">
        <v>76</v>
      </c>
      <c r="B2734" s="2">
        <v>322609</v>
      </c>
      <c r="C2734" s="3">
        <v>0.10800000000000001</v>
      </c>
      <c r="D2734" s="4" t="s">
        <v>367</v>
      </c>
      <c r="E2734" s="4" t="s">
        <v>106</v>
      </c>
    </row>
    <row r="2735" spans="1:5" hidden="1" x14ac:dyDescent="0.15">
      <c r="A2735" s="1" t="s">
        <v>77</v>
      </c>
      <c r="B2735" s="2">
        <v>287425</v>
      </c>
      <c r="C2735" s="3">
        <v>9.6000000000000002E-2</v>
      </c>
      <c r="D2735" s="4" t="s">
        <v>367</v>
      </c>
      <c r="E2735" s="4" t="s">
        <v>106</v>
      </c>
    </row>
    <row r="2736" spans="1:5" ht="26" hidden="1" x14ac:dyDescent="0.15">
      <c r="A2736" s="1" t="s">
        <v>78</v>
      </c>
      <c r="B2736" s="2">
        <v>382181</v>
      </c>
      <c r="C2736" s="3">
        <v>0.128</v>
      </c>
      <c r="D2736" s="4" t="s">
        <v>367</v>
      </c>
      <c r="E2736" s="4" t="s">
        <v>106</v>
      </c>
    </row>
    <row r="2737" spans="1:5" hidden="1" x14ac:dyDescent="0.15">
      <c r="A2737" s="1" t="s">
        <v>79</v>
      </c>
      <c r="B2737" s="2">
        <v>499571</v>
      </c>
      <c r="C2737" s="3">
        <v>0.16699999999999998</v>
      </c>
      <c r="D2737" s="4" t="s">
        <v>367</v>
      </c>
      <c r="E2737" s="4" t="s">
        <v>106</v>
      </c>
    </row>
    <row r="2738" spans="1:5" hidden="1" x14ac:dyDescent="0.15">
      <c r="A2738" s="1" t="s">
        <v>80</v>
      </c>
      <c r="B2738" s="2">
        <v>348789</v>
      </c>
      <c r="C2738" s="3">
        <v>0.11699999999999999</v>
      </c>
      <c r="D2738" s="4" t="s">
        <v>367</v>
      </c>
      <c r="E2738" s="4" t="s">
        <v>106</v>
      </c>
    </row>
    <row r="2739" spans="1:5" ht="26" hidden="1" x14ac:dyDescent="0.15">
      <c r="A2739" s="1" t="s">
        <v>81</v>
      </c>
      <c r="B2739" s="2">
        <v>500023</v>
      </c>
      <c r="C2739" s="3">
        <v>0.16800000000000001</v>
      </c>
      <c r="D2739" s="4" t="s">
        <v>367</v>
      </c>
      <c r="E2739" s="4" t="s">
        <v>106</v>
      </c>
    </row>
    <row r="2740" spans="1:5" hidden="1" x14ac:dyDescent="0.15">
      <c r="A2740" s="1" t="s">
        <v>82</v>
      </c>
      <c r="B2740" s="2">
        <v>331491</v>
      </c>
      <c r="C2740" s="3">
        <v>0.111</v>
      </c>
      <c r="D2740" s="4" t="s">
        <v>367</v>
      </c>
      <c r="E2740" s="4" t="s">
        <v>106</v>
      </c>
    </row>
    <row r="2741" spans="1:5" hidden="1" x14ac:dyDescent="0.15">
      <c r="A2741" s="4"/>
      <c r="B2741" s="4"/>
      <c r="C2741" s="4"/>
      <c r="D2741" s="4" t="s">
        <v>367</v>
      </c>
      <c r="E2741" s="4" t="s">
        <v>106</v>
      </c>
    </row>
    <row r="2742" spans="1:5" hidden="1" x14ac:dyDescent="0.15">
      <c r="A2742" s="16"/>
      <c r="B2742" s="16"/>
      <c r="C2742" s="16"/>
      <c r="D2742" s="4" t="s">
        <v>367</v>
      </c>
      <c r="E2742" s="4" t="s">
        <v>106</v>
      </c>
    </row>
    <row r="2743" spans="1:5" hidden="1" x14ac:dyDescent="0.15">
      <c r="A2743" s="1" t="s">
        <v>107</v>
      </c>
      <c r="B2743" s="2">
        <v>181851</v>
      </c>
      <c r="C2743" s="3">
        <v>6.0999999999999999E-2</v>
      </c>
      <c r="D2743" s="4" t="s">
        <v>367</v>
      </c>
      <c r="E2743" s="4" t="s">
        <v>106</v>
      </c>
    </row>
    <row r="2744" spans="1:5" ht="26" hidden="1" x14ac:dyDescent="0.15">
      <c r="A2744" s="1" t="s">
        <v>108</v>
      </c>
      <c r="B2744" s="2">
        <v>464530</v>
      </c>
      <c r="C2744" s="3">
        <v>0.156</v>
      </c>
      <c r="D2744" s="4" t="s">
        <v>367</v>
      </c>
      <c r="E2744" s="4" t="s">
        <v>106</v>
      </c>
    </row>
    <row r="2745" spans="1:5" hidden="1" x14ac:dyDescent="0.15">
      <c r="A2745" s="4"/>
      <c r="B2745" s="4"/>
      <c r="C2745" s="4"/>
      <c r="D2745" s="4" t="s">
        <v>367</v>
      </c>
      <c r="E2745" s="4" t="s">
        <v>106</v>
      </c>
    </row>
    <row r="2746" spans="1:5" hidden="1" x14ac:dyDescent="0.15">
      <c r="A2746" s="16"/>
      <c r="B2746" s="16"/>
      <c r="C2746" s="16"/>
      <c r="D2746" s="4" t="s">
        <v>367</v>
      </c>
      <c r="E2746" s="4" t="s">
        <v>106</v>
      </c>
    </row>
    <row r="2747" spans="1:5" hidden="1" x14ac:dyDescent="0.15">
      <c r="A2747" s="1" t="s">
        <v>109</v>
      </c>
      <c r="B2747" s="2">
        <v>410595</v>
      </c>
      <c r="C2747" s="3">
        <v>0.13800000000000001</v>
      </c>
      <c r="D2747" s="4" t="s">
        <v>367</v>
      </c>
      <c r="E2747" s="4" t="s">
        <v>106</v>
      </c>
    </row>
    <row r="2748" spans="1:5" hidden="1" x14ac:dyDescent="0.15">
      <c r="A2748" s="1" t="s">
        <v>110</v>
      </c>
      <c r="B2748" s="2">
        <v>841875</v>
      </c>
      <c r="C2748" s="3">
        <v>0.28199999999999997</v>
      </c>
      <c r="D2748" s="4" t="s">
        <v>367</v>
      </c>
      <c r="E2748" s="4" t="s">
        <v>106</v>
      </c>
    </row>
    <row r="2749" spans="1:5" hidden="1" x14ac:dyDescent="0.15">
      <c r="A2749" s="4"/>
      <c r="B2749" s="4"/>
      <c r="C2749" s="4"/>
      <c r="D2749" s="4" t="s">
        <v>367</v>
      </c>
      <c r="E2749" s="4" t="s">
        <v>106</v>
      </c>
    </row>
    <row r="2750" spans="1:5" hidden="1" x14ac:dyDescent="0.15">
      <c r="A2750" s="16"/>
      <c r="B2750" s="16"/>
      <c r="C2750" s="16"/>
      <c r="D2750" s="4" t="s">
        <v>367</v>
      </c>
      <c r="E2750" s="4" t="s">
        <v>106</v>
      </c>
    </row>
    <row r="2751" spans="1:5" ht="26" hidden="1" x14ac:dyDescent="0.15">
      <c r="A2751" s="1" t="s">
        <v>111</v>
      </c>
      <c r="B2751" s="2">
        <v>476013</v>
      </c>
      <c r="C2751" s="3">
        <v>0.16</v>
      </c>
      <c r="D2751" s="4" t="s">
        <v>367</v>
      </c>
      <c r="E2751" s="4" t="s">
        <v>106</v>
      </c>
    </row>
    <row r="2752" spans="1:5" hidden="1" x14ac:dyDescent="0.15">
      <c r="A2752" s="1" t="s">
        <v>112</v>
      </c>
      <c r="B2752" s="2">
        <v>567951</v>
      </c>
      <c r="C2752" s="3">
        <v>0.19</v>
      </c>
      <c r="D2752" s="4" t="s">
        <v>367</v>
      </c>
      <c r="E2752" s="4" t="s">
        <v>106</v>
      </c>
    </row>
    <row r="2753" spans="1:5" ht="26" hidden="1" x14ac:dyDescent="0.15">
      <c r="A2753" s="1" t="s">
        <v>113</v>
      </c>
      <c r="B2753" s="2">
        <v>573639</v>
      </c>
      <c r="C2753" s="3">
        <v>0.192</v>
      </c>
      <c r="D2753" s="4" t="s">
        <v>367</v>
      </c>
      <c r="E2753" s="4" t="s">
        <v>106</v>
      </c>
    </row>
    <row r="2754" spans="1:5" hidden="1" x14ac:dyDescent="0.15">
      <c r="A2754" s="4"/>
      <c r="B2754" s="4"/>
      <c r="C2754" s="4"/>
      <c r="D2754" s="4" t="s">
        <v>367</v>
      </c>
      <c r="E2754" s="4" t="s">
        <v>106</v>
      </c>
    </row>
    <row r="2755" spans="1:5" hidden="1" x14ac:dyDescent="0.15">
      <c r="A2755" s="16"/>
      <c r="B2755" s="16"/>
      <c r="C2755" s="16"/>
      <c r="D2755" s="4" t="s">
        <v>367</v>
      </c>
      <c r="E2755" s="4" t="s">
        <v>106</v>
      </c>
    </row>
    <row r="2756" spans="1:5" hidden="1" x14ac:dyDescent="0.15">
      <c r="A2756" s="1" t="s">
        <v>114</v>
      </c>
      <c r="B2756" s="2">
        <v>53772</v>
      </c>
      <c r="C2756" s="3">
        <v>1.8000000000000002E-2</v>
      </c>
      <c r="D2756" s="4" t="s">
        <v>367</v>
      </c>
      <c r="E2756" s="4" t="s">
        <v>106</v>
      </c>
    </row>
    <row r="2757" spans="1:5" ht="26" hidden="1" x14ac:dyDescent="0.15">
      <c r="A2757" s="1" t="s">
        <v>187</v>
      </c>
      <c r="B2757" s="2">
        <v>122552</v>
      </c>
      <c r="C2757" s="3">
        <v>4.0999999999999995E-2</v>
      </c>
      <c r="D2757" s="4" t="s">
        <v>367</v>
      </c>
      <c r="E2757" s="4" t="s">
        <v>106</v>
      </c>
    </row>
    <row r="2758" spans="1:5" hidden="1" x14ac:dyDescent="0.15">
      <c r="A2758" s="4"/>
      <c r="B2758" s="4"/>
      <c r="C2758" s="4"/>
      <c r="D2758" s="4" t="s">
        <v>367</v>
      </c>
      <c r="E2758" s="4" t="s">
        <v>106</v>
      </c>
    </row>
    <row r="2759" spans="1:5" hidden="1" x14ac:dyDescent="0.15">
      <c r="A2759" s="16"/>
      <c r="B2759" s="16"/>
      <c r="C2759" s="16"/>
      <c r="D2759" s="4" t="s">
        <v>367</v>
      </c>
      <c r="E2759" s="4" t="s">
        <v>106</v>
      </c>
    </row>
    <row r="2760" spans="1:5" ht="39" hidden="1" x14ac:dyDescent="0.15">
      <c r="A2760" s="1" t="s">
        <v>115</v>
      </c>
      <c r="B2760" s="2">
        <v>177951</v>
      </c>
      <c r="C2760" s="3">
        <v>0.06</v>
      </c>
      <c r="D2760" s="4" t="s">
        <v>367</v>
      </c>
      <c r="E2760" s="4" t="s">
        <v>106</v>
      </c>
    </row>
    <row r="2761" spans="1:5" ht="26" hidden="1" x14ac:dyDescent="0.15">
      <c r="A2761" s="1" t="s">
        <v>116</v>
      </c>
      <c r="B2761" s="2">
        <v>368801</v>
      </c>
      <c r="C2761" s="3">
        <v>0.124</v>
      </c>
      <c r="D2761" s="4" t="s">
        <v>367</v>
      </c>
      <c r="E2761" s="4" t="s">
        <v>106</v>
      </c>
    </row>
    <row r="2762" spans="1:5" ht="26" hidden="1" x14ac:dyDescent="0.15">
      <c r="A2762" s="1" t="s">
        <v>122</v>
      </c>
      <c r="B2762" s="2">
        <v>709936</v>
      </c>
      <c r="C2762" s="3">
        <v>0.23800000000000002</v>
      </c>
      <c r="D2762" s="4" t="s">
        <v>367</v>
      </c>
      <c r="E2762" s="4" t="s">
        <v>106</v>
      </c>
    </row>
    <row r="2763" spans="1:5" ht="26" hidden="1" x14ac:dyDescent="0.15">
      <c r="A2763" s="1" t="s">
        <v>368</v>
      </c>
      <c r="B2763" s="2">
        <v>371201</v>
      </c>
      <c r="C2763" s="3">
        <v>0.124</v>
      </c>
      <c r="D2763" s="4" t="s">
        <v>367</v>
      </c>
      <c r="E2763" s="4" t="s">
        <v>106</v>
      </c>
    </row>
    <row r="2764" spans="1:5" ht="39" hidden="1" x14ac:dyDescent="0.15">
      <c r="A2764" s="1" t="s">
        <v>119</v>
      </c>
      <c r="B2764" s="2">
        <v>70213</v>
      </c>
      <c r="C2764" s="3">
        <v>2.4E-2</v>
      </c>
      <c r="D2764" s="4" t="s">
        <v>367</v>
      </c>
      <c r="E2764" s="4" t="s">
        <v>106</v>
      </c>
    </row>
    <row r="2765" spans="1:5" ht="39" hidden="1" x14ac:dyDescent="0.15">
      <c r="A2765" s="1" t="s">
        <v>127</v>
      </c>
      <c r="B2765" s="2">
        <v>447813</v>
      </c>
      <c r="C2765" s="3">
        <v>0.15</v>
      </c>
      <c r="D2765" s="4" t="s">
        <v>367</v>
      </c>
      <c r="E2765" s="4" t="s">
        <v>106</v>
      </c>
    </row>
    <row r="2766" spans="1:5" ht="26" hidden="1" x14ac:dyDescent="0.15">
      <c r="A2766" s="1" t="s">
        <v>124</v>
      </c>
      <c r="B2766" s="2">
        <v>223311</v>
      </c>
      <c r="C2766" s="3">
        <v>7.4999999999999997E-2</v>
      </c>
      <c r="D2766" s="4" t="s">
        <v>367</v>
      </c>
      <c r="E2766" s="4" t="s">
        <v>106</v>
      </c>
    </row>
    <row r="2767" spans="1:5" ht="39" hidden="1" x14ac:dyDescent="0.15">
      <c r="A2767" s="1" t="s">
        <v>125</v>
      </c>
      <c r="B2767" s="2">
        <v>59294</v>
      </c>
      <c r="C2767" s="3">
        <v>0.02</v>
      </c>
      <c r="D2767" s="4" t="s">
        <v>367</v>
      </c>
      <c r="E2767" s="4" t="s">
        <v>106</v>
      </c>
    </row>
    <row r="2768" spans="1:5" hidden="1" x14ac:dyDescent="0.15">
      <c r="A2768" s="1" t="s">
        <v>0</v>
      </c>
      <c r="B2768" s="2">
        <v>1259308</v>
      </c>
      <c r="C2768" s="3">
        <v>1</v>
      </c>
      <c r="D2768" s="4" t="s">
        <v>369</v>
      </c>
      <c r="E2768" s="4" t="s">
        <v>370</v>
      </c>
    </row>
    <row r="2769" spans="1:5" ht="26" hidden="1" x14ac:dyDescent="0.15">
      <c r="A2769" s="1" t="s">
        <v>3</v>
      </c>
      <c r="B2769" s="2">
        <v>6912</v>
      </c>
      <c r="C2769" s="3">
        <v>5.0000000000000001E-3</v>
      </c>
      <c r="D2769" s="4" t="s">
        <v>369</v>
      </c>
      <c r="E2769" s="4" t="s">
        <v>370</v>
      </c>
    </row>
    <row r="2770" spans="1:5" hidden="1" x14ac:dyDescent="0.15">
      <c r="A2770" s="1" t="s">
        <v>4</v>
      </c>
      <c r="B2770" s="2">
        <v>8082</v>
      </c>
      <c r="C2770" s="3">
        <v>6.0000000000000001E-3</v>
      </c>
      <c r="D2770" s="4" t="s">
        <v>369</v>
      </c>
      <c r="E2770" s="4" t="s">
        <v>370</v>
      </c>
    </row>
    <row r="2771" spans="1:5" ht="26" hidden="1" x14ac:dyDescent="0.15">
      <c r="A2771" s="1" t="s">
        <v>5</v>
      </c>
      <c r="B2771" s="2">
        <v>23932</v>
      </c>
      <c r="C2771" s="3">
        <v>1.9E-2</v>
      </c>
      <c r="D2771" s="4" t="s">
        <v>369</v>
      </c>
      <c r="E2771" s="4" t="s">
        <v>370</v>
      </c>
    </row>
    <row r="2772" spans="1:5" ht="26" hidden="1" x14ac:dyDescent="0.15">
      <c r="A2772" s="1" t="s">
        <v>6</v>
      </c>
      <c r="B2772" s="2">
        <v>69658</v>
      </c>
      <c r="C2772" s="3">
        <v>5.5E-2</v>
      </c>
      <c r="D2772" s="4" t="s">
        <v>369</v>
      </c>
      <c r="E2772" s="4" t="s">
        <v>370</v>
      </c>
    </row>
    <row r="2773" spans="1:5" ht="26" hidden="1" x14ac:dyDescent="0.15">
      <c r="A2773" s="1" t="s">
        <v>7</v>
      </c>
      <c r="B2773" s="2">
        <v>65621</v>
      </c>
      <c r="C2773" s="3">
        <v>5.2000000000000005E-2</v>
      </c>
      <c r="D2773" s="4" t="s">
        <v>369</v>
      </c>
      <c r="E2773" s="4" t="s">
        <v>370</v>
      </c>
    </row>
    <row r="2774" spans="1:5" ht="26" hidden="1" x14ac:dyDescent="0.15">
      <c r="A2774" s="1" t="s">
        <v>8</v>
      </c>
      <c r="B2774" s="2">
        <v>30393</v>
      </c>
      <c r="C2774" s="3">
        <v>2.4E-2</v>
      </c>
      <c r="D2774" s="4" t="s">
        <v>369</v>
      </c>
      <c r="E2774" s="4" t="s">
        <v>370</v>
      </c>
    </row>
    <row r="2775" spans="1:5" ht="26" hidden="1" x14ac:dyDescent="0.15">
      <c r="A2775" s="1" t="s">
        <v>9</v>
      </c>
      <c r="B2775" s="2">
        <v>44954</v>
      </c>
      <c r="C2775" s="3">
        <v>3.6000000000000004E-2</v>
      </c>
      <c r="D2775" s="4" t="s">
        <v>369</v>
      </c>
      <c r="E2775" s="4" t="s">
        <v>370</v>
      </c>
    </row>
    <row r="2776" spans="1:5" ht="26" hidden="1" x14ac:dyDescent="0.15">
      <c r="A2776" s="1" t="s">
        <v>10</v>
      </c>
      <c r="B2776" s="2">
        <v>30973</v>
      </c>
      <c r="C2776" s="3">
        <v>2.5000000000000001E-2</v>
      </c>
      <c r="D2776" s="4" t="s">
        <v>369</v>
      </c>
      <c r="E2776" s="4" t="s">
        <v>370</v>
      </c>
    </row>
    <row r="2777" spans="1:5" ht="26" hidden="1" x14ac:dyDescent="0.15">
      <c r="A2777" s="1" t="s">
        <v>11</v>
      </c>
      <c r="B2777" s="2">
        <v>63671</v>
      </c>
      <c r="C2777" s="3">
        <v>5.0999999999999997E-2</v>
      </c>
      <c r="D2777" s="4" t="s">
        <v>369</v>
      </c>
      <c r="E2777" s="4" t="s">
        <v>370</v>
      </c>
    </row>
    <row r="2778" spans="1:5" ht="26" hidden="1" x14ac:dyDescent="0.15">
      <c r="A2778" s="1" t="s">
        <v>12</v>
      </c>
      <c r="B2778" s="2">
        <v>16864</v>
      </c>
      <c r="C2778" s="3">
        <v>1.3000000000000001E-2</v>
      </c>
      <c r="D2778" s="4" t="s">
        <v>369</v>
      </c>
      <c r="E2778" s="4" t="s">
        <v>370</v>
      </c>
    </row>
    <row r="2779" spans="1:5" ht="26" hidden="1" x14ac:dyDescent="0.15">
      <c r="A2779" s="1" t="s">
        <v>13</v>
      </c>
      <c r="B2779" s="2">
        <v>9007</v>
      </c>
      <c r="C2779" s="3">
        <v>6.9999999999999993E-3</v>
      </c>
      <c r="D2779" s="4" t="s">
        <v>369</v>
      </c>
      <c r="E2779" s="4" t="s">
        <v>370</v>
      </c>
    </row>
    <row r="2780" spans="1:5" hidden="1" x14ac:dyDescent="0.15">
      <c r="A2780" s="1" t="s">
        <v>14</v>
      </c>
      <c r="B2780" s="2">
        <v>119614</v>
      </c>
      <c r="C2780" s="3">
        <v>9.5000000000000001E-2</v>
      </c>
      <c r="D2780" s="4" t="s">
        <v>369</v>
      </c>
      <c r="E2780" s="4" t="s">
        <v>370</v>
      </c>
    </row>
    <row r="2781" spans="1:5" ht="26" hidden="1" x14ac:dyDescent="0.15">
      <c r="A2781" s="1" t="s">
        <v>15</v>
      </c>
      <c r="B2781" s="2">
        <v>42209</v>
      </c>
      <c r="C2781" s="3">
        <v>3.4000000000000002E-2</v>
      </c>
      <c r="D2781" s="4" t="s">
        <v>369</v>
      </c>
      <c r="E2781" s="4" t="s">
        <v>370</v>
      </c>
    </row>
    <row r="2782" spans="1:5" ht="26" hidden="1" x14ac:dyDescent="0.15">
      <c r="A2782" s="1" t="s">
        <v>16</v>
      </c>
      <c r="B2782" s="2">
        <v>45316</v>
      </c>
      <c r="C2782" s="3">
        <v>3.6000000000000004E-2</v>
      </c>
      <c r="D2782" s="4" t="s">
        <v>369</v>
      </c>
      <c r="E2782" s="4" t="s">
        <v>370</v>
      </c>
    </row>
    <row r="2783" spans="1:5" ht="26" hidden="1" x14ac:dyDescent="0.15">
      <c r="A2783" s="1" t="s">
        <v>17</v>
      </c>
      <c r="B2783" s="2">
        <v>13151</v>
      </c>
      <c r="C2783" s="3">
        <v>0.01</v>
      </c>
      <c r="D2783" s="4" t="s">
        <v>369</v>
      </c>
      <c r="E2783" s="4" t="s">
        <v>370</v>
      </c>
    </row>
    <row r="2784" spans="1:5" hidden="1" x14ac:dyDescent="0.15">
      <c r="A2784" s="1" t="s">
        <v>18</v>
      </c>
      <c r="B2784" s="2">
        <v>19934</v>
      </c>
      <c r="C2784" s="3">
        <v>1.6E-2</v>
      </c>
      <c r="D2784" s="4" t="s">
        <v>369</v>
      </c>
      <c r="E2784" s="4" t="s">
        <v>370</v>
      </c>
    </row>
    <row r="2785" spans="1:5" hidden="1" x14ac:dyDescent="0.15">
      <c r="A2785" s="1" t="s">
        <v>19</v>
      </c>
      <c r="B2785" s="2">
        <v>246034</v>
      </c>
      <c r="C2785" s="3">
        <v>0.19500000000000001</v>
      </c>
      <c r="D2785" s="4" t="s">
        <v>369</v>
      </c>
      <c r="E2785" s="4" t="s">
        <v>370</v>
      </c>
    </row>
    <row r="2786" spans="1:5" hidden="1" x14ac:dyDescent="0.15">
      <c r="A2786" s="1" t="s">
        <v>20</v>
      </c>
      <c r="B2786" s="2">
        <v>35549</v>
      </c>
      <c r="C2786" s="3">
        <v>2.7999999999999997E-2</v>
      </c>
      <c r="D2786" s="4" t="s">
        <v>369</v>
      </c>
      <c r="E2786" s="4" t="s">
        <v>370</v>
      </c>
    </row>
    <row r="2787" spans="1:5" ht="26" hidden="1" x14ac:dyDescent="0.15">
      <c r="A2787" s="1" t="s">
        <v>21</v>
      </c>
      <c r="B2787" s="2">
        <v>23075</v>
      </c>
      <c r="C2787" s="3">
        <v>1.8000000000000002E-2</v>
      </c>
      <c r="D2787" s="4" t="s">
        <v>369</v>
      </c>
      <c r="E2787" s="4" t="s">
        <v>370</v>
      </c>
    </row>
    <row r="2788" spans="1:5" ht="26" hidden="1" x14ac:dyDescent="0.15">
      <c r="A2788" s="1" t="s">
        <v>22</v>
      </c>
      <c r="B2788" s="2">
        <v>11719</v>
      </c>
      <c r="C2788" s="3">
        <v>9.0000000000000011E-3</v>
      </c>
      <c r="D2788" s="4" t="s">
        <v>369</v>
      </c>
      <c r="E2788" s="4" t="s">
        <v>370</v>
      </c>
    </row>
    <row r="2789" spans="1:5" ht="26" hidden="1" x14ac:dyDescent="0.15">
      <c r="A2789" s="1" t="s">
        <v>23</v>
      </c>
      <c r="B2789" s="2">
        <v>45326</v>
      </c>
      <c r="C2789" s="3">
        <v>3.6000000000000004E-2</v>
      </c>
      <c r="D2789" s="4" t="s">
        <v>369</v>
      </c>
      <c r="E2789" s="4" t="s">
        <v>370</v>
      </c>
    </row>
    <row r="2790" spans="1:5" ht="26" hidden="1" x14ac:dyDescent="0.15">
      <c r="A2790" s="1" t="s">
        <v>24</v>
      </c>
      <c r="B2790" s="2">
        <v>26569</v>
      </c>
      <c r="C2790" s="3">
        <v>2.1000000000000001E-2</v>
      </c>
      <c r="D2790" s="4" t="s">
        <v>369</v>
      </c>
      <c r="E2790" s="4" t="s">
        <v>370</v>
      </c>
    </row>
    <row r="2791" spans="1:5" ht="26" hidden="1" x14ac:dyDescent="0.15">
      <c r="A2791" s="1" t="s">
        <v>25</v>
      </c>
      <c r="B2791" s="2">
        <v>19254</v>
      </c>
      <c r="C2791" s="3">
        <v>1.4999999999999999E-2</v>
      </c>
      <c r="D2791" s="4" t="s">
        <v>369</v>
      </c>
      <c r="E2791" s="4" t="s">
        <v>370</v>
      </c>
    </row>
    <row r="2792" spans="1:5" hidden="1" x14ac:dyDescent="0.15">
      <c r="A2792" s="1" t="s">
        <v>26</v>
      </c>
      <c r="B2792" s="2">
        <v>9520</v>
      </c>
      <c r="C2792" s="3">
        <v>8.0000000000000002E-3</v>
      </c>
      <c r="D2792" s="4" t="s">
        <v>369</v>
      </c>
      <c r="E2792" s="4" t="s">
        <v>370</v>
      </c>
    </row>
    <row r="2793" spans="1:5" hidden="1" x14ac:dyDescent="0.15">
      <c r="A2793" s="1" t="s">
        <v>27</v>
      </c>
      <c r="B2793" s="2">
        <v>37036</v>
      </c>
      <c r="C2793" s="3">
        <v>2.8999999999999998E-2</v>
      </c>
      <c r="D2793" s="4" t="s">
        <v>369</v>
      </c>
      <c r="E2793" s="4" t="s">
        <v>370</v>
      </c>
    </row>
    <row r="2794" spans="1:5" hidden="1" x14ac:dyDescent="0.15">
      <c r="A2794" s="1" t="s">
        <v>28</v>
      </c>
      <c r="B2794" s="2">
        <v>107275</v>
      </c>
      <c r="C2794" s="3">
        <v>8.5000000000000006E-2</v>
      </c>
      <c r="D2794" s="4" t="s">
        <v>369</v>
      </c>
      <c r="E2794" s="4" t="s">
        <v>370</v>
      </c>
    </row>
    <row r="2795" spans="1:5" hidden="1" x14ac:dyDescent="0.15">
      <c r="A2795" s="1" t="s">
        <v>29</v>
      </c>
      <c r="B2795" s="2">
        <v>455172</v>
      </c>
      <c r="C2795" s="3">
        <v>0.36099999999999999</v>
      </c>
      <c r="D2795" s="4" t="s">
        <v>369</v>
      </c>
      <c r="E2795" s="4" t="s">
        <v>370</v>
      </c>
    </row>
    <row r="2796" spans="1:5" hidden="1" x14ac:dyDescent="0.15">
      <c r="A2796" s="1" t="s">
        <v>30</v>
      </c>
      <c r="B2796" s="2">
        <v>102193</v>
      </c>
      <c r="C2796" s="3">
        <v>8.1000000000000003E-2</v>
      </c>
      <c r="D2796" s="4" t="s">
        <v>369</v>
      </c>
      <c r="E2796" s="4" t="s">
        <v>370</v>
      </c>
    </row>
    <row r="2797" spans="1:5" ht="39" hidden="1" x14ac:dyDescent="0.15">
      <c r="A2797" s="1" t="s">
        <v>31</v>
      </c>
      <c r="B2797" s="2">
        <v>5837</v>
      </c>
      <c r="C2797" s="3">
        <v>5.0000000000000001E-3</v>
      </c>
      <c r="D2797" s="4" t="s">
        <v>369</v>
      </c>
      <c r="E2797" s="4" t="s">
        <v>370</v>
      </c>
    </row>
    <row r="2798" spans="1:5" hidden="1" x14ac:dyDescent="0.15">
      <c r="A2798" s="1" t="s">
        <v>32</v>
      </c>
      <c r="B2798" s="2">
        <v>26028</v>
      </c>
      <c r="C2798" s="3">
        <v>2.1000000000000001E-2</v>
      </c>
      <c r="D2798" s="4" t="s">
        <v>369</v>
      </c>
      <c r="E2798" s="4" t="s">
        <v>370</v>
      </c>
    </row>
    <row r="2799" spans="1:5" hidden="1" x14ac:dyDescent="0.15">
      <c r="A2799" s="1" t="s">
        <v>33</v>
      </c>
      <c r="B2799" s="2">
        <v>314112</v>
      </c>
      <c r="C2799" s="3">
        <v>0.249</v>
      </c>
      <c r="D2799" s="4" t="s">
        <v>369</v>
      </c>
      <c r="E2799" s="4" t="s">
        <v>370</v>
      </c>
    </row>
    <row r="2800" spans="1:5" hidden="1" x14ac:dyDescent="0.15">
      <c r="A2800" s="1" t="s">
        <v>34</v>
      </c>
      <c r="B2800" s="2">
        <v>91422</v>
      </c>
      <c r="C2800" s="3">
        <v>7.2999999999999995E-2</v>
      </c>
      <c r="D2800" s="4" t="s">
        <v>369</v>
      </c>
      <c r="E2800" s="4" t="s">
        <v>370</v>
      </c>
    </row>
    <row r="2801" spans="1:5" hidden="1" x14ac:dyDescent="0.15">
      <c r="A2801" s="1" t="s">
        <v>35</v>
      </c>
      <c r="B2801" s="2">
        <v>61628</v>
      </c>
      <c r="C2801" s="3">
        <v>4.9000000000000002E-2</v>
      </c>
      <c r="D2801" s="4" t="s">
        <v>369</v>
      </c>
      <c r="E2801" s="4" t="s">
        <v>370</v>
      </c>
    </row>
    <row r="2802" spans="1:5" ht="26" hidden="1" x14ac:dyDescent="0.15">
      <c r="A2802" s="1" t="s">
        <v>36</v>
      </c>
      <c r="B2802" s="2">
        <v>16298</v>
      </c>
      <c r="C2802" s="3">
        <v>1.3000000000000001E-2</v>
      </c>
      <c r="D2802" s="4" t="s">
        <v>369</v>
      </c>
      <c r="E2802" s="4" t="s">
        <v>370</v>
      </c>
    </row>
    <row r="2803" spans="1:5" hidden="1" x14ac:dyDescent="0.15">
      <c r="A2803" s="1" t="s">
        <v>37</v>
      </c>
      <c r="B2803" s="2">
        <v>11342</v>
      </c>
      <c r="C2803" s="3">
        <v>9.0000000000000011E-3</v>
      </c>
      <c r="D2803" s="4" t="s">
        <v>369</v>
      </c>
      <c r="E2803" s="4" t="s">
        <v>370</v>
      </c>
    </row>
    <row r="2804" spans="1:5" ht="39" hidden="1" x14ac:dyDescent="0.15">
      <c r="A2804" s="1" t="s">
        <v>38</v>
      </c>
      <c r="B2804" s="2">
        <v>15108</v>
      </c>
      <c r="C2804" s="3">
        <v>1.2E-2</v>
      </c>
      <c r="D2804" s="4" t="s">
        <v>369</v>
      </c>
      <c r="E2804" s="4" t="s">
        <v>370</v>
      </c>
    </row>
    <row r="2805" spans="1:5" hidden="1" x14ac:dyDescent="0.15">
      <c r="A2805" s="1" t="s">
        <v>39</v>
      </c>
      <c r="B2805" s="2">
        <v>69709</v>
      </c>
      <c r="C2805" s="3">
        <v>5.5E-2</v>
      </c>
      <c r="D2805" s="4" t="s">
        <v>369</v>
      </c>
      <c r="E2805" s="4" t="s">
        <v>370</v>
      </c>
    </row>
    <row r="2806" spans="1:5" hidden="1" x14ac:dyDescent="0.15">
      <c r="A2806" s="1" t="s">
        <v>40</v>
      </c>
      <c r="B2806" s="2">
        <v>7021</v>
      </c>
      <c r="C2806" s="3">
        <v>6.0000000000000001E-3</v>
      </c>
      <c r="D2806" s="4" t="s">
        <v>369</v>
      </c>
      <c r="E2806" s="4" t="s">
        <v>370</v>
      </c>
    </row>
    <row r="2807" spans="1:5" hidden="1" x14ac:dyDescent="0.15">
      <c r="A2807" s="1" t="s">
        <v>41</v>
      </c>
      <c r="B2807" s="2">
        <v>17161</v>
      </c>
      <c r="C2807" s="3">
        <v>1.3999999999999999E-2</v>
      </c>
      <c r="D2807" s="4" t="s">
        <v>369</v>
      </c>
      <c r="E2807" s="4" t="s">
        <v>370</v>
      </c>
    </row>
    <row r="2808" spans="1:5" hidden="1" x14ac:dyDescent="0.15">
      <c r="A2808" s="1" t="s">
        <v>42</v>
      </c>
      <c r="B2808" s="2">
        <v>36551</v>
      </c>
      <c r="C2808" s="3">
        <v>2.8999999999999998E-2</v>
      </c>
      <c r="D2808" s="4" t="s">
        <v>369</v>
      </c>
      <c r="E2808" s="4" t="s">
        <v>370</v>
      </c>
    </row>
    <row r="2809" spans="1:5" hidden="1" x14ac:dyDescent="0.15">
      <c r="A2809" s="1" t="s">
        <v>43</v>
      </c>
      <c r="B2809" s="2">
        <v>95222</v>
      </c>
      <c r="C2809" s="3">
        <v>7.5999999999999998E-2</v>
      </c>
      <c r="D2809" s="4" t="s">
        <v>369</v>
      </c>
      <c r="E2809" s="4" t="s">
        <v>370</v>
      </c>
    </row>
    <row r="2810" spans="1:5" ht="26" hidden="1" x14ac:dyDescent="0.15">
      <c r="A2810" s="1" t="s">
        <v>44</v>
      </c>
      <c r="B2810" s="2">
        <v>92836</v>
      </c>
      <c r="C2810" s="3">
        <v>7.400000000000001E-2</v>
      </c>
      <c r="D2810" s="4" t="s">
        <v>369</v>
      </c>
      <c r="E2810" s="4" t="s">
        <v>370</v>
      </c>
    </row>
    <row r="2811" spans="1:5" hidden="1" x14ac:dyDescent="0.15">
      <c r="A2811" s="1" t="s">
        <v>45</v>
      </c>
      <c r="B2811" s="2">
        <v>157140</v>
      </c>
      <c r="C2811" s="3">
        <v>0.125</v>
      </c>
      <c r="D2811" s="4" t="s">
        <v>369</v>
      </c>
      <c r="E2811" s="4" t="s">
        <v>370</v>
      </c>
    </row>
    <row r="2812" spans="1:5" ht="26" hidden="1" x14ac:dyDescent="0.15">
      <c r="A2812" s="1" t="s">
        <v>46</v>
      </c>
      <c r="B2812" s="2">
        <v>327221</v>
      </c>
      <c r="C2812" s="3">
        <v>0.26</v>
      </c>
      <c r="D2812" s="4" t="s">
        <v>369</v>
      </c>
      <c r="E2812" s="4" t="s">
        <v>370</v>
      </c>
    </row>
    <row r="2813" spans="1:5" hidden="1" x14ac:dyDescent="0.15">
      <c r="A2813" s="1" t="s">
        <v>47</v>
      </c>
      <c r="B2813" s="2">
        <v>343175</v>
      </c>
      <c r="C2813" s="3">
        <v>0.27300000000000002</v>
      </c>
      <c r="D2813" s="4" t="s">
        <v>369</v>
      </c>
      <c r="E2813" s="4" t="s">
        <v>370</v>
      </c>
    </row>
    <row r="2814" spans="1:5" hidden="1" x14ac:dyDescent="0.15">
      <c r="A2814" s="1" t="s">
        <v>48</v>
      </c>
      <c r="B2814" s="2">
        <v>194346</v>
      </c>
      <c r="C2814" s="3">
        <v>0.154</v>
      </c>
      <c r="D2814" s="4" t="s">
        <v>369</v>
      </c>
      <c r="E2814" s="4" t="s">
        <v>370</v>
      </c>
    </row>
    <row r="2815" spans="1:5" hidden="1" x14ac:dyDescent="0.15">
      <c r="A2815" s="1" t="s">
        <v>49</v>
      </c>
      <c r="B2815" s="2">
        <v>188034</v>
      </c>
      <c r="C2815" s="3">
        <v>0.14899999999999999</v>
      </c>
      <c r="D2815" s="4" t="s">
        <v>369</v>
      </c>
      <c r="E2815" s="4" t="s">
        <v>370</v>
      </c>
    </row>
    <row r="2816" spans="1:5" ht="26" hidden="1" x14ac:dyDescent="0.15">
      <c r="A2816" s="1" t="s">
        <v>50</v>
      </c>
      <c r="B2816" s="2">
        <v>186344</v>
      </c>
      <c r="C2816" s="3">
        <v>0.14800000000000002</v>
      </c>
      <c r="D2816" s="4" t="s">
        <v>369</v>
      </c>
      <c r="E2816" s="4" t="s">
        <v>370</v>
      </c>
    </row>
    <row r="2817" spans="1:5" hidden="1" x14ac:dyDescent="0.15">
      <c r="A2817" s="1" t="s">
        <v>51</v>
      </c>
      <c r="B2817" s="2">
        <v>383889</v>
      </c>
      <c r="C2817" s="3">
        <v>0.30499999999999999</v>
      </c>
      <c r="D2817" s="4" t="s">
        <v>369</v>
      </c>
      <c r="E2817" s="4" t="s">
        <v>370</v>
      </c>
    </row>
    <row r="2818" spans="1:5" hidden="1" x14ac:dyDescent="0.15">
      <c r="A2818" s="1" t="s">
        <v>52</v>
      </c>
      <c r="B2818" s="2">
        <v>147845</v>
      </c>
      <c r="C2818" s="3">
        <v>0.11699999999999999</v>
      </c>
      <c r="D2818" s="4" t="s">
        <v>369</v>
      </c>
      <c r="E2818" s="4" t="s">
        <v>370</v>
      </c>
    </row>
    <row r="2819" spans="1:5" ht="26" hidden="1" x14ac:dyDescent="0.15">
      <c r="A2819" s="1" t="s">
        <v>53</v>
      </c>
      <c r="B2819" s="2">
        <v>89829</v>
      </c>
      <c r="C2819" s="3">
        <v>7.0999999999999994E-2</v>
      </c>
      <c r="D2819" s="4" t="s">
        <v>369</v>
      </c>
      <c r="E2819" s="4" t="s">
        <v>370</v>
      </c>
    </row>
    <row r="2820" spans="1:5" hidden="1" x14ac:dyDescent="0.15">
      <c r="A2820" s="1" t="s">
        <v>54</v>
      </c>
      <c r="B2820" s="2">
        <v>427908</v>
      </c>
      <c r="C2820" s="3">
        <v>0.34</v>
      </c>
      <c r="D2820" s="4" t="s">
        <v>369</v>
      </c>
      <c r="E2820" s="4" t="s">
        <v>370</v>
      </c>
    </row>
    <row r="2821" spans="1:5" ht="26" hidden="1" x14ac:dyDescent="0.15">
      <c r="A2821" s="1" t="s">
        <v>55</v>
      </c>
      <c r="B2821" s="2">
        <v>289372</v>
      </c>
      <c r="C2821" s="3">
        <v>0.23</v>
      </c>
      <c r="D2821" s="4" t="s">
        <v>369</v>
      </c>
      <c r="E2821" s="4" t="s">
        <v>370</v>
      </c>
    </row>
    <row r="2822" spans="1:5" hidden="1" x14ac:dyDescent="0.15">
      <c r="A2822" s="1" t="s">
        <v>56</v>
      </c>
      <c r="B2822" s="2">
        <v>260871</v>
      </c>
      <c r="C2822" s="3">
        <v>0.20699999999999999</v>
      </c>
      <c r="D2822" s="4" t="s">
        <v>369</v>
      </c>
      <c r="E2822" s="4" t="s">
        <v>370</v>
      </c>
    </row>
    <row r="2823" spans="1:5" hidden="1" x14ac:dyDescent="0.15">
      <c r="A2823" s="1" t="s">
        <v>57</v>
      </c>
      <c r="B2823" s="2">
        <v>147715</v>
      </c>
      <c r="C2823" s="3">
        <v>0.11699999999999999</v>
      </c>
      <c r="D2823" s="4" t="s">
        <v>369</v>
      </c>
      <c r="E2823" s="4" t="s">
        <v>370</v>
      </c>
    </row>
    <row r="2824" spans="1:5" hidden="1" x14ac:dyDescent="0.15">
      <c r="A2824" s="1" t="s">
        <v>58</v>
      </c>
      <c r="B2824" s="2">
        <v>169897</v>
      </c>
      <c r="C2824" s="3">
        <v>0.13500000000000001</v>
      </c>
      <c r="D2824" s="4" t="s">
        <v>369</v>
      </c>
      <c r="E2824" s="4" t="s">
        <v>370</v>
      </c>
    </row>
    <row r="2825" spans="1:5" hidden="1" x14ac:dyDescent="0.15">
      <c r="A2825" s="1" t="s">
        <v>59</v>
      </c>
      <c r="B2825" s="2">
        <v>716058</v>
      </c>
      <c r="C2825" s="3">
        <v>0.56899999999999995</v>
      </c>
      <c r="D2825" s="4" t="s">
        <v>369</v>
      </c>
      <c r="E2825" s="4" t="s">
        <v>370</v>
      </c>
    </row>
    <row r="2826" spans="1:5" hidden="1" x14ac:dyDescent="0.15">
      <c r="A2826" s="1" t="s">
        <v>60</v>
      </c>
      <c r="B2826" s="2">
        <v>194361</v>
      </c>
      <c r="C2826" s="3">
        <v>0.154</v>
      </c>
      <c r="D2826" s="4" t="s">
        <v>369</v>
      </c>
      <c r="E2826" s="4" t="s">
        <v>370</v>
      </c>
    </row>
    <row r="2827" spans="1:5" ht="26" hidden="1" x14ac:dyDescent="0.15">
      <c r="A2827" s="1" t="s">
        <v>61</v>
      </c>
      <c r="B2827" s="2">
        <v>226199</v>
      </c>
      <c r="C2827" s="3">
        <v>0.18</v>
      </c>
      <c r="D2827" s="4" t="s">
        <v>369</v>
      </c>
      <c r="E2827" s="4" t="s">
        <v>370</v>
      </c>
    </row>
    <row r="2828" spans="1:5" hidden="1" x14ac:dyDescent="0.15">
      <c r="A2828" s="1" t="s">
        <v>62</v>
      </c>
      <c r="B2828" s="2">
        <v>80510</v>
      </c>
      <c r="C2828" s="3">
        <v>6.4000000000000001E-2</v>
      </c>
      <c r="D2828" s="4" t="s">
        <v>369</v>
      </c>
      <c r="E2828" s="4" t="s">
        <v>370</v>
      </c>
    </row>
    <row r="2829" spans="1:5" ht="26" hidden="1" x14ac:dyDescent="0.15">
      <c r="A2829" s="1" t="s">
        <v>63</v>
      </c>
      <c r="B2829" s="2">
        <v>229593</v>
      </c>
      <c r="C2829" s="3">
        <v>0.182</v>
      </c>
      <c r="D2829" s="4" t="s">
        <v>369</v>
      </c>
      <c r="E2829" s="4" t="s">
        <v>370</v>
      </c>
    </row>
    <row r="2830" spans="1:5" ht="26" hidden="1" x14ac:dyDescent="0.15">
      <c r="A2830" s="1" t="s">
        <v>64</v>
      </c>
      <c r="B2830" s="2">
        <v>156975</v>
      </c>
      <c r="C2830" s="3">
        <v>0.125</v>
      </c>
      <c r="D2830" s="4" t="s">
        <v>369</v>
      </c>
      <c r="E2830" s="4" t="s">
        <v>370</v>
      </c>
    </row>
    <row r="2831" spans="1:5" hidden="1" x14ac:dyDescent="0.15">
      <c r="A2831" s="1" t="s">
        <v>65</v>
      </c>
      <c r="B2831" s="2">
        <v>161237</v>
      </c>
      <c r="C2831" s="3">
        <v>0.128</v>
      </c>
      <c r="D2831" s="4" t="s">
        <v>369</v>
      </c>
      <c r="E2831" s="4" t="s">
        <v>370</v>
      </c>
    </row>
    <row r="2832" spans="1:5" hidden="1" x14ac:dyDescent="0.15">
      <c r="A2832" s="1" t="s">
        <v>66</v>
      </c>
      <c r="B2832" s="2">
        <v>81912</v>
      </c>
      <c r="C2832" s="3">
        <v>6.5000000000000002E-2</v>
      </c>
      <c r="D2832" s="4" t="s">
        <v>369</v>
      </c>
      <c r="E2832" s="4" t="s">
        <v>370</v>
      </c>
    </row>
    <row r="2833" spans="1:5" hidden="1" x14ac:dyDescent="0.15">
      <c r="A2833" s="1" t="s">
        <v>67</v>
      </c>
      <c r="B2833" s="2">
        <v>241665</v>
      </c>
      <c r="C2833" s="3">
        <v>0.192</v>
      </c>
      <c r="D2833" s="4" t="s">
        <v>369</v>
      </c>
      <c r="E2833" s="4" t="s">
        <v>370</v>
      </c>
    </row>
    <row r="2834" spans="1:5" hidden="1" x14ac:dyDescent="0.15">
      <c r="A2834" s="1" t="s">
        <v>68</v>
      </c>
      <c r="B2834" s="2">
        <v>473554</v>
      </c>
      <c r="C2834" s="3">
        <v>0.376</v>
      </c>
      <c r="D2834" s="4" t="s">
        <v>369</v>
      </c>
      <c r="E2834" s="4" t="s">
        <v>370</v>
      </c>
    </row>
    <row r="2835" spans="1:5" hidden="1" x14ac:dyDescent="0.15">
      <c r="A2835" s="1" t="s">
        <v>69</v>
      </c>
      <c r="B2835" s="2">
        <v>834211</v>
      </c>
      <c r="C2835" s="3">
        <v>0.66200000000000003</v>
      </c>
      <c r="D2835" s="4" t="s">
        <v>369</v>
      </c>
      <c r="E2835" s="4" t="s">
        <v>370</v>
      </c>
    </row>
    <row r="2836" spans="1:5" hidden="1" x14ac:dyDescent="0.15">
      <c r="A2836" s="1" t="s">
        <v>70</v>
      </c>
      <c r="B2836" s="2">
        <v>465982</v>
      </c>
      <c r="C2836" s="3">
        <v>0.37</v>
      </c>
      <c r="D2836" s="4" t="s">
        <v>369</v>
      </c>
      <c r="E2836" s="4" t="s">
        <v>370</v>
      </c>
    </row>
    <row r="2837" spans="1:5" ht="26" hidden="1" x14ac:dyDescent="0.15">
      <c r="A2837" s="1" t="s">
        <v>71</v>
      </c>
      <c r="B2837" s="2">
        <v>56713</v>
      </c>
      <c r="C2837" s="3">
        <v>4.4999999999999998E-2</v>
      </c>
      <c r="D2837" s="4" t="s">
        <v>369</v>
      </c>
      <c r="E2837" s="4" t="s">
        <v>370</v>
      </c>
    </row>
    <row r="2838" spans="1:5" hidden="1" x14ac:dyDescent="0.15">
      <c r="A2838" s="1" t="s">
        <v>72</v>
      </c>
      <c r="B2838" s="2">
        <v>118935</v>
      </c>
      <c r="C2838" s="3">
        <v>9.4E-2</v>
      </c>
      <c r="D2838" s="4" t="s">
        <v>369</v>
      </c>
      <c r="E2838" s="4" t="s">
        <v>370</v>
      </c>
    </row>
    <row r="2839" spans="1:5" hidden="1" x14ac:dyDescent="0.15">
      <c r="A2839" s="1" t="s">
        <v>73</v>
      </c>
      <c r="B2839" s="2">
        <v>756802</v>
      </c>
      <c r="C2839" s="3">
        <v>0.60099999999999998</v>
      </c>
      <c r="D2839" s="4" t="s">
        <v>369</v>
      </c>
      <c r="E2839" s="4" t="s">
        <v>370</v>
      </c>
    </row>
    <row r="2840" spans="1:5" hidden="1" x14ac:dyDescent="0.15">
      <c r="A2840" s="1" t="s">
        <v>74</v>
      </c>
      <c r="B2840" s="2">
        <v>335127</v>
      </c>
      <c r="C2840" s="3">
        <v>0.26600000000000001</v>
      </c>
      <c r="D2840" s="4" t="s">
        <v>369</v>
      </c>
      <c r="E2840" s="4" t="s">
        <v>370</v>
      </c>
    </row>
    <row r="2841" spans="1:5" hidden="1" x14ac:dyDescent="0.15">
      <c r="A2841" s="1" t="s">
        <v>75</v>
      </c>
      <c r="B2841" s="2">
        <v>228719</v>
      </c>
      <c r="C2841" s="3">
        <v>0.182</v>
      </c>
      <c r="D2841" s="4" t="s">
        <v>369</v>
      </c>
      <c r="E2841" s="4" t="s">
        <v>370</v>
      </c>
    </row>
    <row r="2842" spans="1:5" hidden="1" x14ac:dyDescent="0.15">
      <c r="A2842" s="1" t="s">
        <v>76</v>
      </c>
      <c r="B2842" s="2">
        <v>113615</v>
      </c>
      <c r="C2842" s="3">
        <v>0.09</v>
      </c>
      <c r="D2842" s="4" t="s">
        <v>369</v>
      </c>
      <c r="E2842" s="4" t="s">
        <v>370</v>
      </c>
    </row>
    <row r="2843" spans="1:5" hidden="1" x14ac:dyDescent="0.15">
      <c r="A2843" s="1" t="s">
        <v>77</v>
      </c>
      <c r="B2843" s="2">
        <v>80840</v>
      </c>
      <c r="C2843" s="3">
        <v>6.4000000000000001E-2</v>
      </c>
      <c r="D2843" s="4" t="s">
        <v>369</v>
      </c>
      <c r="E2843" s="4" t="s">
        <v>370</v>
      </c>
    </row>
    <row r="2844" spans="1:5" ht="26" hidden="1" x14ac:dyDescent="0.15">
      <c r="A2844" s="1" t="s">
        <v>78</v>
      </c>
      <c r="B2844" s="2">
        <v>127065</v>
      </c>
      <c r="C2844" s="3">
        <v>0.10099999999999999</v>
      </c>
      <c r="D2844" s="4" t="s">
        <v>369</v>
      </c>
      <c r="E2844" s="4" t="s">
        <v>370</v>
      </c>
    </row>
    <row r="2845" spans="1:5" hidden="1" x14ac:dyDescent="0.15">
      <c r="A2845" s="1" t="s">
        <v>79</v>
      </c>
      <c r="B2845" s="2">
        <v>194234</v>
      </c>
      <c r="C2845" s="3">
        <v>0.154</v>
      </c>
      <c r="D2845" s="4" t="s">
        <v>369</v>
      </c>
      <c r="E2845" s="4" t="s">
        <v>370</v>
      </c>
    </row>
    <row r="2846" spans="1:5" hidden="1" x14ac:dyDescent="0.15">
      <c r="A2846" s="1" t="s">
        <v>80</v>
      </c>
      <c r="B2846" s="2">
        <v>120815</v>
      </c>
      <c r="C2846" s="3">
        <v>9.6000000000000002E-2</v>
      </c>
      <c r="D2846" s="4" t="s">
        <v>369</v>
      </c>
      <c r="E2846" s="4" t="s">
        <v>370</v>
      </c>
    </row>
    <row r="2847" spans="1:5" ht="26" hidden="1" x14ac:dyDescent="0.15">
      <c r="A2847" s="1" t="s">
        <v>81</v>
      </c>
      <c r="B2847" s="2">
        <v>234137</v>
      </c>
      <c r="C2847" s="3">
        <v>0.18600000000000003</v>
      </c>
      <c r="D2847" s="4" t="s">
        <v>369</v>
      </c>
      <c r="E2847" s="4" t="s">
        <v>370</v>
      </c>
    </row>
    <row r="2848" spans="1:5" hidden="1" x14ac:dyDescent="0.15">
      <c r="A2848" s="1" t="s">
        <v>82</v>
      </c>
      <c r="B2848" s="2">
        <v>153047</v>
      </c>
      <c r="C2848" s="3">
        <v>0.122</v>
      </c>
      <c r="D2848" s="4" t="s">
        <v>369</v>
      </c>
      <c r="E2848" s="4" t="s">
        <v>370</v>
      </c>
    </row>
    <row r="2849" spans="1:5" hidden="1" x14ac:dyDescent="0.15">
      <c r="A2849" s="4"/>
      <c r="B2849" s="4"/>
      <c r="C2849" s="4"/>
      <c r="D2849" s="4" t="s">
        <v>369</v>
      </c>
      <c r="E2849" s="4" t="s">
        <v>370</v>
      </c>
    </row>
    <row r="2850" spans="1:5" hidden="1" x14ac:dyDescent="0.15">
      <c r="A2850" s="5"/>
      <c r="B2850" s="5"/>
      <c r="C2850" s="5"/>
      <c r="D2850" s="4" t="s">
        <v>369</v>
      </c>
      <c r="E2850" s="4" t="s">
        <v>370</v>
      </c>
    </row>
    <row r="2851" spans="1:5" hidden="1" x14ac:dyDescent="0.15">
      <c r="A2851" s="1" t="s">
        <v>371</v>
      </c>
      <c r="B2851" s="2">
        <v>715867</v>
      </c>
      <c r="C2851" s="3">
        <v>0.56799999999999995</v>
      </c>
      <c r="D2851" s="4" t="s">
        <v>369</v>
      </c>
      <c r="E2851" s="4" t="s">
        <v>370</v>
      </c>
    </row>
    <row r="2852" spans="1:5" ht="26" hidden="1" x14ac:dyDescent="0.15">
      <c r="A2852" s="1" t="s">
        <v>192</v>
      </c>
      <c r="B2852" s="2">
        <v>198920</v>
      </c>
      <c r="C2852" s="3">
        <v>0.158</v>
      </c>
      <c r="D2852" s="4" t="s">
        <v>369</v>
      </c>
      <c r="E2852" s="4" t="s">
        <v>370</v>
      </c>
    </row>
    <row r="2853" spans="1:5" hidden="1" x14ac:dyDescent="0.15">
      <c r="A2853" s="4"/>
      <c r="B2853" s="4"/>
      <c r="C2853" s="4"/>
      <c r="D2853" s="4" t="s">
        <v>369</v>
      </c>
      <c r="E2853" s="4" t="s">
        <v>370</v>
      </c>
    </row>
    <row r="2854" spans="1:5" hidden="1" x14ac:dyDescent="0.15">
      <c r="A2854" s="5"/>
      <c r="B2854" s="5"/>
      <c r="C2854" s="5"/>
      <c r="D2854" s="4" t="s">
        <v>369</v>
      </c>
      <c r="E2854" s="4" t="s">
        <v>370</v>
      </c>
    </row>
    <row r="2855" spans="1:5" ht="26" hidden="1" x14ac:dyDescent="0.15">
      <c r="A2855" s="1" t="s">
        <v>372</v>
      </c>
      <c r="B2855" s="2">
        <v>18017</v>
      </c>
      <c r="C2855" s="3">
        <v>1.3999999999999999E-2</v>
      </c>
      <c r="D2855" s="4" t="s">
        <v>369</v>
      </c>
      <c r="E2855" s="4" t="s">
        <v>370</v>
      </c>
    </row>
    <row r="2856" spans="1:5" hidden="1" x14ac:dyDescent="0.15">
      <c r="A2856" s="4"/>
      <c r="B2856" s="4"/>
      <c r="C2856" s="4"/>
      <c r="D2856" s="4" t="s">
        <v>369</v>
      </c>
      <c r="E2856" s="4" t="s">
        <v>370</v>
      </c>
    </row>
    <row r="2857" spans="1:5" hidden="1" x14ac:dyDescent="0.15">
      <c r="A2857" s="5"/>
      <c r="B2857" s="5"/>
      <c r="C2857" s="5"/>
      <c r="D2857" s="4" t="s">
        <v>369</v>
      </c>
      <c r="E2857" s="4" t="s">
        <v>370</v>
      </c>
    </row>
    <row r="2858" spans="1:5" hidden="1" x14ac:dyDescent="0.15">
      <c r="A2858" s="1" t="s">
        <v>373</v>
      </c>
      <c r="B2858" s="2">
        <v>421929</v>
      </c>
      <c r="C2858" s="3">
        <v>0.33500000000000002</v>
      </c>
      <c r="D2858" s="4" t="s">
        <v>369</v>
      </c>
      <c r="E2858" s="4" t="s">
        <v>370</v>
      </c>
    </row>
    <row r="2859" spans="1:5" hidden="1" x14ac:dyDescent="0.15">
      <c r="A2859" s="4"/>
      <c r="B2859" s="4"/>
      <c r="C2859" s="4"/>
      <c r="D2859" s="4" t="s">
        <v>369</v>
      </c>
      <c r="E2859" s="4" t="s">
        <v>370</v>
      </c>
    </row>
    <row r="2860" spans="1:5" hidden="1" x14ac:dyDescent="0.15">
      <c r="A2860" s="5"/>
      <c r="B2860" s="5"/>
      <c r="C2860" s="5"/>
      <c r="D2860" s="4" t="s">
        <v>369</v>
      </c>
      <c r="E2860" s="4" t="s">
        <v>370</v>
      </c>
    </row>
    <row r="2861" spans="1:5" ht="26" hidden="1" x14ac:dyDescent="0.15">
      <c r="A2861" s="1" t="s">
        <v>374</v>
      </c>
      <c r="B2861" s="2">
        <v>799992</v>
      </c>
      <c r="C2861" s="3">
        <v>0.63500000000000001</v>
      </c>
      <c r="D2861" s="4" t="s">
        <v>369</v>
      </c>
      <c r="E2861" s="4" t="s">
        <v>370</v>
      </c>
    </row>
    <row r="2862" spans="1:5" hidden="1" x14ac:dyDescent="0.15">
      <c r="A2862" s="4"/>
      <c r="B2862" s="4"/>
      <c r="C2862" s="4"/>
      <c r="D2862" s="4" t="s">
        <v>369</v>
      </c>
      <c r="E2862" s="4" t="s">
        <v>370</v>
      </c>
    </row>
    <row r="2863" spans="1:5" hidden="1" x14ac:dyDescent="0.15">
      <c r="A2863" s="5"/>
      <c r="B2863" s="5"/>
      <c r="C2863" s="5"/>
      <c r="D2863" s="4" t="s">
        <v>369</v>
      </c>
      <c r="E2863" s="4" t="s">
        <v>370</v>
      </c>
    </row>
    <row r="2864" spans="1:5" hidden="1" x14ac:dyDescent="0.15">
      <c r="A2864" s="1" t="s">
        <v>375</v>
      </c>
      <c r="B2864" s="2">
        <v>377119</v>
      </c>
      <c r="C2864" s="3">
        <v>0.29899999999999999</v>
      </c>
      <c r="D2864" s="4" t="s">
        <v>369</v>
      </c>
      <c r="E2864" s="4" t="s">
        <v>370</v>
      </c>
    </row>
    <row r="2865" spans="1:5" hidden="1" x14ac:dyDescent="0.15">
      <c r="A2865" s="4"/>
      <c r="B2865" s="4"/>
      <c r="C2865" s="4"/>
      <c r="D2865" s="4" t="s">
        <v>369</v>
      </c>
      <c r="E2865" s="4" t="s">
        <v>370</v>
      </c>
    </row>
    <row r="2866" spans="1:5" hidden="1" x14ac:dyDescent="0.15">
      <c r="A2866" s="5"/>
      <c r="B2866" s="5"/>
      <c r="C2866" s="5"/>
      <c r="D2866" s="4" t="s">
        <v>369</v>
      </c>
      <c r="E2866" s="4" t="s">
        <v>370</v>
      </c>
    </row>
    <row r="2867" spans="1:5" ht="26" hidden="1" x14ac:dyDescent="0.15">
      <c r="A2867" s="1" t="s">
        <v>376</v>
      </c>
      <c r="B2867" s="2">
        <v>54229</v>
      </c>
      <c r="C2867" s="3">
        <v>4.2999999999999997E-2</v>
      </c>
      <c r="D2867" s="4" t="s">
        <v>369</v>
      </c>
      <c r="E2867" s="4" t="s">
        <v>370</v>
      </c>
    </row>
    <row r="2868" spans="1:5" ht="26" hidden="1" x14ac:dyDescent="0.15">
      <c r="A2868" s="1" t="s">
        <v>377</v>
      </c>
      <c r="B2868" s="2">
        <v>197045</v>
      </c>
      <c r="C2868" s="3">
        <v>0.156</v>
      </c>
      <c r="D2868" s="4" t="s">
        <v>369</v>
      </c>
      <c r="E2868" s="4" t="s">
        <v>370</v>
      </c>
    </row>
    <row r="2869" spans="1:5" ht="26" hidden="1" x14ac:dyDescent="0.15">
      <c r="A2869" s="1" t="s">
        <v>378</v>
      </c>
      <c r="B2869" s="2">
        <v>96733</v>
      </c>
      <c r="C2869" s="3">
        <v>7.6999999999999999E-2</v>
      </c>
      <c r="D2869" s="4" t="s">
        <v>369</v>
      </c>
      <c r="E2869" s="4" t="s">
        <v>370</v>
      </c>
    </row>
    <row r="2870" spans="1:5" hidden="1" x14ac:dyDescent="0.15">
      <c r="A2870" s="1" t="s">
        <v>0</v>
      </c>
      <c r="B2870" s="2">
        <v>1384518</v>
      </c>
      <c r="C2870" s="3">
        <v>1</v>
      </c>
      <c r="D2870" s="4" t="s">
        <v>379</v>
      </c>
      <c r="E2870" s="4" t="s">
        <v>149</v>
      </c>
    </row>
    <row r="2871" spans="1:5" ht="26" hidden="1" x14ac:dyDescent="0.15">
      <c r="A2871" s="1" t="s">
        <v>3</v>
      </c>
      <c r="B2871" s="2">
        <v>21513</v>
      </c>
      <c r="C2871" s="3">
        <v>1.6E-2</v>
      </c>
      <c r="D2871" s="4" t="s">
        <v>379</v>
      </c>
      <c r="E2871" s="4" t="s">
        <v>149</v>
      </c>
    </row>
    <row r="2872" spans="1:5" hidden="1" x14ac:dyDescent="0.15">
      <c r="A2872" s="1" t="s">
        <v>4</v>
      </c>
      <c r="B2872" s="2">
        <v>13747</v>
      </c>
      <c r="C2872" s="3">
        <v>0.01</v>
      </c>
      <c r="D2872" s="4" t="s">
        <v>379</v>
      </c>
      <c r="E2872" s="4" t="s">
        <v>149</v>
      </c>
    </row>
    <row r="2873" spans="1:5" ht="26" hidden="1" x14ac:dyDescent="0.15">
      <c r="A2873" s="1" t="s">
        <v>5</v>
      </c>
      <c r="B2873" s="2">
        <v>71652</v>
      </c>
      <c r="C2873" s="3">
        <v>5.2000000000000005E-2</v>
      </c>
      <c r="D2873" s="4" t="s">
        <v>379</v>
      </c>
      <c r="E2873" s="4" t="s">
        <v>149</v>
      </c>
    </row>
    <row r="2874" spans="1:5" ht="26" hidden="1" x14ac:dyDescent="0.15">
      <c r="A2874" s="1" t="s">
        <v>6</v>
      </c>
      <c r="B2874" s="2">
        <v>191571</v>
      </c>
      <c r="C2874" s="3">
        <v>0.13800000000000001</v>
      </c>
      <c r="D2874" s="4" t="s">
        <v>379</v>
      </c>
      <c r="E2874" s="4" t="s">
        <v>149</v>
      </c>
    </row>
    <row r="2875" spans="1:5" ht="26" hidden="1" x14ac:dyDescent="0.15">
      <c r="A2875" s="1" t="s">
        <v>7</v>
      </c>
      <c r="B2875" s="2">
        <v>537147</v>
      </c>
      <c r="C2875" s="3">
        <v>0.38799999999999996</v>
      </c>
      <c r="D2875" s="4" t="s">
        <v>379</v>
      </c>
      <c r="E2875" s="4" t="s">
        <v>149</v>
      </c>
    </row>
    <row r="2876" spans="1:5" ht="26" hidden="1" x14ac:dyDescent="0.15">
      <c r="A2876" s="1" t="s">
        <v>8</v>
      </c>
      <c r="B2876" s="2">
        <v>4728</v>
      </c>
      <c r="C2876" s="3">
        <v>3.0000000000000001E-3</v>
      </c>
      <c r="D2876" s="4" t="s">
        <v>379</v>
      </c>
      <c r="E2876" s="4" t="s">
        <v>149</v>
      </c>
    </row>
    <row r="2877" spans="1:5" ht="26" hidden="1" x14ac:dyDescent="0.15">
      <c r="A2877" s="1" t="s">
        <v>9</v>
      </c>
      <c r="B2877" s="2">
        <v>22410</v>
      </c>
      <c r="C2877" s="3">
        <v>1.6E-2</v>
      </c>
      <c r="D2877" s="4" t="s">
        <v>379</v>
      </c>
      <c r="E2877" s="4" t="s">
        <v>149</v>
      </c>
    </row>
    <row r="2878" spans="1:5" ht="26" hidden="1" x14ac:dyDescent="0.15">
      <c r="A2878" s="1" t="s">
        <v>10</v>
      </c>
      <c r="B2878" s="2">
        <v>28991</v>
      </c>
      <c r="C2878" s="3">
        <v>2.1000000000000001E-2</v>
      </c>
      <c r="D2878" s="4" t="s">
        <v>379</v>
      </c>
      <c r="E2878" s="4" t="s">
        <v>149</v>
      </c>
    </row>
    <row r="2879" spans="1:5" ht="26" hidden="1" x14ac:dyDescent="0.15">
      <c r="A2879" s="1" t="s">
        <v>11</v>
      </c>
      <c r="B2879" s="2">
        <v>60669</v>
      </c>
      <c r="C2879" s="3">
        <v>4.4000000000000004E-2</v>
      </c>
      <c r="D2879" s="4" t="s">
        <v>379</v>
      </c>
      <c r="E2879" s="4" t="s">
        <v>149</v>
      </c>
    </row>
    <row r="2880" spans="1:5" ht="26" hidden="1" x14ac:dyDescent="0.15">
      <c r="A2880" s="1" t="s">
        <v>12</v>
      </c>
      <c r="B2880" s="2">
        <v>14244</v>
      </c>
      <c r="C2880" s="3">
        <v>0.01</v>
      </c>
      <c r="D2880" s="4" t="s">
        <v>379</v>
      </c>
      <c r="E2880" s="4" t="s">
        <v>149</v>
      </c>
    </row>
    <row r="2881" spans="1:5" ht="26" hidden="1" x14ac:dyDescent="0.15">
      <c r="A2881" s="1" t="s">
        <v>13</v>
      </c>
      <c r="B2881" s="2">
        <v>6126</v>
      </c>
      <c r="C2881" s="3">
        <v>4.0000000000000001E-3</v>
      </c>
      <c r="D2881" s="4" t="s">
        <v>379</v>
      </c>
      <c r="E2881" s="4" t="s">
        <v>149</v>
      </c>
    </row>
    <row r="2882" spans="1:5" hidden="1" x14ac:dyDescent="0.15">
      <c r="A2882" s="1" t="s">
        <v>14</v>
      </c>
      <c r="B2882" s="2">
        <v>59818</v>
      </c>
      <c r="C2882" s="3">
        <v>4.2999999999999997E-2</v>
      </c>
      <c r="D2882" s="4" t="s">
        <v>379</v>
      </c>
      <c r="E2882" s="4" t="s">
        <v>149</v>
      </c>
    </row>
    <row r="2883" spans="1:5" ht="26" hidden="1" x14ac:dyDescent="0.15">
      <c r="A2883" s="1" t="s">
        <v>15</v>
      </c>
      <c r="B2883" s="2">
        <v>109862</v>
      </c>
      <c r="C2883" s="3">
        <v>7.9000000000000001E-2</v>
      </c>
      <c r="D2883" s="4" t="s">
        <v>379</v>
      </c>
      <c r="E2883" s="4" t="s">
        <v>149</v>
      </c>
    </row>
    <row r="2884" spans="1:5" ht="26" hidden="1" x14ac:dyDescent="0.15">
      <c r="A2884" s="1" t="s">
        <v>16</v>
      </c>
      <c r="B2884" s="2">
        <v>51365</v>
      </c>
      <c r="C2884" s="3">
        <v>3.7000000000000005E-2</v>
      </c>
      <c r="D2884" s="4" t="s">
        <v>379</v>
      </c>
      <c r="E2884" s="4" t="s">
        <v>149</v>
      </c>
    </row>
    <row r="2885" spans="1:5" ht="26" hidden="1" x14ac:dyDescent="0.15">
      <c r="A2885" s="1" t="s">
        <v>17</v>
      </c>
      <c r="B2885" s="2">
        <v>15971</v>
      </c>
      <c r="C2885" s="3">
        <v>1.2E-2</v>
      </c>
      <c r="D2885" s="4" t="s">
        <v>379</v>
      </c>
      <c r="E2885" s="4" t="s">
        <v>149</v>
      </c>
    </row>
    <row r="2886" spans="1:5" hidden="1" x14ac:dyDescent="0.15">
      <c r="A2886" s="1" t="s">
        <v>18</v>
      </c>
      <c r="B2886" s="2">
        <v>18173</v>
      </c>
      <c r="C2886" s="3">
        <v>1.3000000000000001E-2</v>
      </c>
      <c r="D2886" s="4" t="s">
        <v>379</v>
      </c>
      <c r="E2886" s="4" t="s">
        <v>149</v>
      </c>
    </row>
    <row r="2887" spans="1:5" hidden="1" x14ac:dyDescent="0.15">
      <c r="A2887" s="1" t="s">
        <v>19</v>
      </c>
      <c r="B2887" s="2">
        <v>100301</v>
      </c>
      <c r="C2887" s="3">
        <v>7.2000000000000008E-2</v>
      </c>
      <c r="D2887" s="4" t="s">
        <v>379</v>
      </c>
      <c r="E2887" s="4" t="s">
        <v>149</v>
      </c>
    </row>
    <row r="2888" spans="1:5" hidden="1" x14ac:dyDescent="0.15">
      <c r="A2888" s="1" t="s">
        <v>20</v>
      </c>
      <c r="B2888" s="2">
        <v>14239</v>
      </c>
      <c r="C2888" s="3">
        <v>0.01</v>
      </c>
      <c r="D2888" s="4" t="s">
        <v>379</v>
      </c>
      <c r="E2888" s="4" t="s">
        <v>149</v>
      </c>
    </row>
    <row r="2889" spans="1:5" ht="26" hidden="1" x14ac:dyDescent="0.15">
      <c r="A2889" s="1" t="s">
        <v>21</v>
      </c>
      <c r="B2889" s="2">
        <v>30116</v>
      </c>
      <c r="C2889" s="3">
        <v>2.2000000000000002E-2</v>
      </c>
      <c r="D2889" s="4" t="s">
        <v>379</v>
      </c>
      <c r="E2889" s="4" t="s">
        <v>149</v>
      </c>
    </row>
    <row r="2890" spans="1:5" ht="26" hidden="1" x14ac:dyDescent="0.15">
      <c r="A2890" s="1" t="s">
        <v>22</v>
      </c>
      <c r="B2890" s="2">
        <v>27081</v>
      </c>
      <c r="C2890" s="3">
        <v>0.02</v>
      </c>
      <c r="D2890" s="4" t="s">
        <v>379</v>
      </c>
      <c r="E2890" s="4" t="s">
        <v>149</v>
      </c>
    </row>
    <row r="2891" spans="1:5" ht="26" hidden="1" x14ac:dyDescent="0.15">
      <c r="A2891" s="1" t="s">
        <v>23</v>
      </c>
      <c r="B2891" s="2">
        <v>17840</v>
      </c>
      <c r="C2891" s="3">
        <v>1.3000000000000001E-2</v>
      </c>
      <c r="D2891" s="4" t="s">
        <v>379</v>
      </c>
      <c r="E2891" s="4" t="s">
        <v>149</v>
      </c>
    </row>
    <row r="2892" spans="1:5" ht="26" hidden="1" x14ac:dyDescent="0.15">
      <c r="A2892" s="1" t="s">
        <v>24</v>
      </c>
      <c r="B2892" s="2">
        <v>7057</v>
      </c>
      <c r="C2892" s="3">
        <v>5.0000000000000001E-3</v>
      </c>
      <c r="D2892" s="4" t="s">
        <v>379</v>
      </c>
      <c r="E2892" s="4" t="s">
        <v>149</v>
      </c>
    </row>
    <row r="2893" spans="1:5" ht="26" hidden="1" x14ac:dyDescent="0.15">
      <c r="A2893" s="1" t="s">
        <v>25</v>
      </c>
      <c r="B2893" s="2">
        <v>46167</v>
      </c>
      <c r="C2893" s="3">
        <v>3.3000000000000002E-2</v>
      </c>
      <c r="D2893" s="4" t="s">
        <v>379</v>
      </c>
      <c r="E2893" s="4" t="s">
        <v>149</v>
      </c>
    </row>
    <row r="2894" spans="1:5" hidden="1" x14ac:dyDescent="0.15">
      <c r="A2894" s="1" t="s">
        <v>26</v>
      </c>
      <c r="B2894" s="2">
        <v>9836</v>
      </c>
      <c r="C2894" s="3">
        <v>6.9999999999999993E-3</v>
      </c>
      <c r="D2894" s="4" t="s">
        <v>379</v>
      </c>
      <c r="E2894" s="4" t="s">
        <v>149</v>
      </c>
    </row>
    <row r="2895" spans="1:5" hidden="1" x14ac:dyDescent="0.15">
      <c r="A2895" s="1" t="s">
        <v>27</v>
      </c>
      <c r="B2895" s="2">
        <v>77255</v>
      </c>
      <c r="C2895" s="3">
        <v>5.5999999999999994E-2</v>
      </c>
      <c r="D2895" s="4" t="s">
        <v>379</v>
      </c>
      <c r="E2895" s="4" t="s">
        <v>149</v>
      </c>
    </row>
    <row r="2896" spans="1:5" hidden="1" x14ac:dyDescent="0.15">
      <c r="A2896" s="1" t="s">
        <v>28</v>
      </c>
      <c r="B2896" s="2">
        <v>299032</v>
      </c>
      <c r="C2896" s="3">
        <v>0.21600000000000003</v>
      </c>
      <c r="D2896" s="4" t="s">
        <v>379</v>
      </c>
      <c r="E2896" s="4" t="s">
        <v>149</v>
      </c>
    </row>
    <row r="2897" spans="1:5" hidden="1" x14ac:dyDescent="0.15">
      <c r="A2897" s="1" t="s">
        <v>29</v>
      </c>
      <c r="B2897" s="2">
        <v>308213</v>
      </c>
      <c r="C2897" s="3">
        <v>0.223</v>
      </c>
      <c r="D2897" s="4" t="s">
        <v>379</v>
      </c>
      <c r="E2897" s="4" t="s">
        <v>149</v>
      </c>
    </row>
    <row r="2898" spans="1:5" hidden="1" x14ac:dyDescent="0.15">
      <c r="A2898" s="1" t="s">
        <v>30</v>
      </c>
      <c r="B2898" s="2">
        <v>17104</v>
      </c>
      <c r="C2898" s="3">
        <v>1.2E-2</v>
      </c>
      <c r="D2898" s="4" t="s">
        <v>379</v>
      </c>
      <c r="E2898" s="4" t="s">
        <v>149</v>
      </c>
    </row>
    <row r="2899" spans="1:5" ht="39" hidden="1" x14ac:dyDescent="0.15">
      <c r="A2899" s="1" t="s">
        <v>31</v>
      </c>
      <c r="B2899" s="2">
        <v>9727</v>
      </c>
      <c r="C2899" s="3">
        <v>6.9999999999999993E-3</v>
      </c>
      <c r="D2899" s="4" t="s">
        <v>379</v>
      </c>
      <c r="E2899" s="4" t="s">
        <v>149</v>
      </c>
    </row>
    <row r="2900" spans="1:5" hidden="1" x14ac:dyDescent="0.15">
      <c r="A2900" s="1" t="s">
        <v>32</v>
      </c>
      <c r="B2900" s="2">
        <v>47376</v>
      </c>
      <c r="C2900" s="3">
        <v>3.4000000000000002E-2</v>
      </c>
      <c r="D2900" s="4" t="s">
        <v>379</v>
      </c>
      <c r="E2900" s="4" t="s">
        <v>149</v>
      </c>
    </row>
    <row r="2901" spans="1:5" hidden="1" x14ac:dyDescent="0.15">
      <c r="A2901" s="1" t="s">
        <v>33</v>
      </c>
      <c r="B2901" s="2">
        <v>353086</v>
      </c>
      <c r="C2901" s="3">
        <v>0.255</v>
      </c>
      <c r="D2901" s="4" t="s">
        <v>379</v>
      </c>
      <c r="E2901" s="4" t="s">
        <v>149</v>
      </c>
    </row>
    <row r="2902" spans="1:5" hidden="1" x14ac:dyDescent="0.15">
      <c r="A2902" s="1" t="s">
        <v>34</v>
      </c>
      <c r="B2902" s="2">
        <v>80683</v>
      </c>
      <c r="C2902" s="3">
        <v>5.7999999999999996E-2</v>
      </c>
      <c r="D2902" s="4" t="s">
        <v>379</v>
      </c>
      <c r="E2902" s="4" t="s">
        <v>149</v>
      </c>
    </row>
    <row r="2903" spans="1:5" hidden="1" x14ac:dyDescent="0.15">
      <c r="A2903" s="1" t="s">
        <v>35</v>
      </c>
      <c r="B2903" s="2">
        <v>38807</v>
      </c>
      <c r="C2903" s="3">
        <v>2.7999999999999997E-2</v>
      </c>
      <c r="D2903" s="4" t="s">
        <v>379</v>
      </c>
      <c r="E2903" s="4" t="s">
        <v>149</v>
      </c>
    </row>
    <row r="2904" spans="1:5" ht="26" hidden="1" x14ac:dyDescent="0.15">
      <c r="A2904" s="1" t="s">
        <v>36</v>
      </c>
      <c r="B2904" s="2">
        <v>52389</v>
      </c>
      <c r="C2904" s="3">
        <v>3.7999999999999999E-2</v>
      </c>
      <c r="D2904" s="4" t="s">
        <v>379</v>
      </c>
      <c r="E2904" s="4" t="s">
        <v>149</v>
      </c>
    </row>
    <row r="2905" spans="1:5" hidden="1" x14ac:dyDescent="0.15">
      <c r="A2905" s="1" t="s">
        <v>37</v>
      </c>
      <c r="B2905" s="2">
        <v>50406</v>
      </c>
      <c r="C2905" s="3">
        <v>3.6000000000000004E-2</v>
      </c>
      <c r="D2905" s="4" t="s">
        <v>379</v>
      </c>
      <c r="E2905" s="4" t="s">
        <v>149</v>
      </c>
    </row>
    <row r="2906" spans="1:5" ht="39" hidden="1" x14ac:dyDescent="0.15">
      <c r="A2906" s="1" t="s">
        <v>38</v>
      </c>
      <c r="B2906" s="2">
        <v>33732</v>
      </c>
      <c r="C2906" s="3">
        <v>2.4E-2</v>
      </c>
      <c r="D2906" s="4" t="s">
        <v>379</v>
      </c>
      <c r="E2906" s="4" t="s">
        <v>149</v>
      </c>
    </row>
    <row r="2907" spans="1:5" hidden="1" x14ac:dyDescent="0.15">
      <c r="A2907" s="1" t="s">
        <v>39</v>
      </c>
      <c r="B2907" s="2">
        <v>63569</v>
      </c>
      <c r="C2907" s="3">
        <v>4.5999999999999999E-2</v>
      </c>
      <c r="D2907" s="4" t="s">
        <v>379</v>
      </c>
      <c r="E2907" s="4" t="s">
        <v>149</v>
      </c>
    </row>
    <row r="2908" spans="1:5" hidden="1" x14ac:dyDescent="0.15">
      <c r="A2908" s="1" t="s">
        <v>40</v>
      </c>
      <c r="B2908" s="2">
        <v>22664</v>
      </c>
      <c r="C2908" s="3">
        <v>1.6E-2</v>
      </c>
      <c r="D2908" s="4" t="s">
        <v>379</v>
      </c>
      <c r="E2908" s="4" t="s">
        <v>149</v>
      </c>
    </row>
    <row r="2909" spans="1:5" hidden="1" x14ac:dyDescent="0.15">
      <c r="A2909" s="1" t="s">
        <v>41</v>
      </c>
      <c r="B2909" s="2">
        <v>29357</v>
      </c>
      <c r="C2909" s="3">
        <v>2.1000000000000001E-2</v>
      </c>
      <c r="D2909" s="4" t="s">
        <v>379</v>
      </c>
      <c r="E2909" s="4" t="s">
        <v>149</v>
      </c>
    </row>
    <row r="2910" spans="1:5" hidden="1" x14ac:dyDescent="0.15">
      <c r="A2910" s="1" t="s">
        <v>42</v>
      </c>
      <c r="B2910" s="2">
        <v>53854</v>
      </c>
      <c r="C2910" s="3">
        <v>3.9E-2</v>
      </c>
      <c r="D2910" s="4" t="s">
        <v>379</v>
      </c>
      <c r="E2910" s="4" t="s">
        <v>149</v>
      </c>
    </row>
    <row r="2911" spans="1:5" hidden="1" x14ac:dyDescent="0.15">
      <c r="A2911" s="1" t="s">
        <v>43</v>
      </c>
      <c r="B2911" s="2">
        <v>132468</v>
      </c>
      <c r="C2911" s="3">
        <v>9.6000000000000002E-2</v>
      </c>
      <c r="D2911" s="4" t="s">
        <v>379</v>
      </c>
      <c r="E2911" s="4" t="s">
        <v>149</v>
      </c>
    </row>
    <row r="2912" spans="1:5" ht="26" hidden="1" x14ac:dyDescent="0.15">
      <c r="A2912" s="1" t="s">
        <v>44</v>
      </c>
      <c r="B2912" s="2">
        <v>161771</v>
      </c>
      <c r="C2912" s="3">
        <v>0.11699999999999999</v>
      </c>
      <c r="D2912" s="4" t="s">
        <v>379</v>
      </c>
      <c r="E2912" s="4" t="s">
        <v>149</v>
      </c>
    </row>
    <row r="2913" spans="1:5" hidden="1" x14ac:dyDescent="0.15">
      <c r="A2913" s="1" t="s">
        <v>45</v>
      </c>
      <c r="B2913" s="2">
        <v>432299</v>
      </c>
      <c r="C2913" s="3">
        <v>0.312</v>
      </c>
      <c r="D2913" s="4" t="s">
        <v>379</v>
      </c>
      <c r="E2913" s="4" t="s">
        <v>149</v>
      </c>
    </row>
    <row r="2914" spans="1:5" ht="26" hidden="1" x14ac:dyDescent="0.15">
      <c r="A2914" s="1" t="s">
        <v>46</v>
      </c>
      <c r="B2914" s="2">
        <v>676893</v>
      </c>
      <c r="C2914" s="3">
        <v>0.48899999999999999</v>
      </c>
      <c r="D2914" s="4" t="s">
        <v>379</v>
      </c>
      <c r="E2914" s="4" t="s">
        <v>149</v>
      </c>
    </row>
    <row r="2915" spans="1:5" hidden="1" x14ac:dyDescent="0.15">
      <c r="A2915" s="1" t="s">
        <v>47</v>
      </c>
      <c r="B2915" s="2">
        <v>923946</v>
      </c>
      <c r="C2915" s="3">
        <v>0.66700000000000004</v>
      </c>
      <c r="D2915" s="4" t="s">
        <v>379</v>
      </c>
      <c r="E2915" s="4" t="s">
        <v>149</v>
      </c>
    </row>
    <row r="2916" spans="1:5" hidden="1" x14ac:dyDescent="0.15">
      <c r="A2916" s="1" t="s">
        <v>48</v>
      </c>
      <c r="B2916" s="2">
        <v>117027</v>
      </c>
      <c r="C2916" s="3">
        <v>8.5000000000000006E-2</v>
      </c>
      <c r="D2916" s="4" t="s">
        <v>379</v>
      </c>
      <c r="E2916" s="4" t="s">
        <v>149</v>
      </c>
    </row>
    <row r="2917" spans="1:5" hidden="1" x14ac:dyDescent="0.15">
      <c r="A2917" s="1" t="s">
        <v>49</v>
      </c>
      <c r="B2917" s="2">
        <v>156892</v>
      </c>
      <c r="C2917" s="3">
        <v>0.113</v>
      </c>
      <c r="D2917" s="4" t="s">
        <v>379</v>
      </c>
      <c r="E2917" s="4" t="s">
        <v>149</v>
      </c>
    </row>
    <row r="2918" spans="1:5" ht="26" hidden="1" x14ac:dyDescent="0.15">
      <c r="A2918" s="1" t="s">
        <v>50</v>
      </c>
      <c r="B2918" s="2">
        <v>258385</v>
      </c>
      <c r="C2918" s="3">
        <v>0.187</v>
      </c>
      <c r="D2918" s="4" t="s">
        <v>379</v>
      </c>
      <c r="E2918" s="4" t="s">
        <v>149</v>
      </c>
    </row>
    <row r="2919" spans="1:5" hidden="1" x14ac:dyDescent="0.15">
      <c r="A2919" s="1" t="s">
        <v>51</v>
      </c>
      <c r="B2919" s="2">
        <v>398731</v>
      </c>
      <c r="C2919" s="3">
        <v>0.28800000000000003</v>
      </c>
      <c r="D2919" s="4" t="s">
        <v>379</v>
      </c>
      <c r="E2919" s="4" t="s">
        <v>149</v>
      </c>
    </row>
    <row r="2920" spans="1:5" hidden="1" x14ac:dyDescent="0.15">
      <c r="A2920" s="1" t="s">
        <v>52</v>
      </c>
      <c r="B2920" s="2">
        <v>161423</v>
      </c>
      <c r="C2920" s="3">
        <v>0.11699999999999999</v>
      </c>
      <c r="D2920" s="4" t="s">
        <v>379</v>
      </c>
      <c r="E2920" s="4" t="s">
        <v>149</v>
      </c>
    </row>
    <row r="2921" spans="1:5" ht="26" hidden="1" x14ac:dyDescent="0.15">
      <c r="A2921" s="1" t="s">
        <v>53</v>
      </c>
      <c r="B2921" s="2">
        <v>114073</v>
      </c>
      <c r="C2921" s="3">
        <v>8.199999999999999E-2</v>
      </c>
      <c r="D2921" s="4" t="s">
        <v>379</v>
      </c>
      <c r="E2921" s="4" t="s">
        <v>149</v>
      </c>
    </row>
    <row r="2922" spans="1:5" hidden="1" x14ac:dyDescent="0.15">
      <c r="A2922" s="1" t="s">
        <v>54</v>
      </c>
      <c r="B2922" s="2">
        <v>494353</v>
      </c>
      <c r="C2922" s="3">
        <v>0.35700000000000004</v>
      </c>
      <c r="D2922" s="4" t="s">
        <v>379</v>
      </c>
      <c r="E2922" s="4" t="s">
        <v>149</v>
      </c>
    </row>
    <row r="2923" spans="1:5" ht="26" hidden="1" x14ac:dyDescent="0.15">
      <c r="A2923" s="1" t="s">
        <v>55</v>
      </c>
      <c r="B2923" s="2">
        <v>485087</v>
      </c>
      <c r="C2923" s="3">
        <v>0.35</v>
      </c>
      <c r="D2923" s="4" t="s">
        <v>379</v>
      </c>
      <c r="E2923" s="4" t="s">
        <v>149</v>
      </c>
    </row>
    <row r="2924" spans="1:5" hidden="1" x14ac:dyDescent="0.15">
      <c r="A2924" s="1" t="s">
        <v>56</v>
      </c>
      <c r="B2924" s="2">
        <v>376688</v>
      </c>
      <c r="C2924" s="3">
        <v>0.27200000000000002</v>
      </c>
      <c r="D2924" s="4" t="s">
        <v>379</v>
      </c>
      <c r="E2924" s="4" t="s">
        <v>149</v>
      </c>
    </row>
    <row r="2925" spans="1:5" hidden="1" x14ac:dyDescent="0.15">
      <c r="A2925" s="1" t="s">
        <v>57</v>
      </c>
      <c r="B2925" s="2">
        <v>204514</v>
      </c>
      <c r="C2925" s="3">
        <v>0.14800000000000002</v>
      </c>
      <c r="D2925" s="4" t="s">
        <v>379</v>
      </c>
      <c r="E2925" s="4" t="s">
        <v>149</v>
      </c>
    </row>
    <row r="2926" spans="1:5" hidden="1" x14ac:dyDescent="0.15">
      <c r="A2926" s="1" t="s">
        <v>58</v>
      </c>
      <c r="B2926" s="2">
        <v>167612</v>
      </c>
      <c r="C2926" s="3">
        <v>0.121</v>
      </c>
      <c r="D2926" s="4" t="s">
        <v>379</v>
      </c>
      <c r="E2926" s="4" t="s">
        <v>149</v>
      </c>
    </row>
    <row r="2927" spans="1:5" hidden="1" x14ac:dyDescent="0.15">
      <c r="A2927" s="1" t="s">
        <v>59</v>
      </c>
      <c r="B2927" s="2">
        <v>541799</v>
      </c>
      <c r="C2927" s="3">
        <v>0.39100000000000001</v>
      </c>
      <c r="D2927" s="4" t="s">
        <v>379</v>
      </c>
      <c r="E2927" s="4" t="s">
        <v>149</v>
      </c>
    </row>
    <row r="2928" spans="1:5" hidden="1" x14ac:dyDescent="0.15">
      <c r="A2928" s="1" t="s">
        <v>60</v>
      </c>
      <c r="B2928" s="2">
        <v>184970</v>
      </c>
      <c r="C2928" s="3">
        <v>0.13400000000000001</v>
      </c>
      <c r="D2928" s="4" t="s">
        <v>379</v>
      </c>
      <c r="E2928" s="4" t="s">
        <v>149</v>
      </c>
    </row>
    <row r="2929" spans="1:5" ht="26" hidden="1" x14ac:dyDescent="0.15">
      <c r="A2929" s="1" t="s">
        <v>61</v>
      </c>
      <c r="B2929" s="2">
        <v>204095</v>
      </c>
      <c r="C2929" s="3">
        <v>0.14699999999999999</v>
      </c>
      <c r="D2929" s="4" t="s">
        <v>379</v>
      </c>
      <c r="E2929" s="4" t="s">
        <v>149</v>
      </c>
    </row>
    <row r="2930" spans="1:5" hidden="1" x14ac:dyDescent="0.15">
      <c r="A2930" s="1" t="s">
        <v>62</v>
      </c>
      <c r="B2930" s="2">
        <v>118566</v>
      </c>
      <c r="C2930" s="3">
        <v>8.5999999999999993E-2</v>
      </c>
      <c r="D2930" s="4" t="s">
        <v>379</v>
      </c>
      <c r="E2930" s="4" t="s">
        <v>149</v>
      </c>
    </row>
    <row r="2931" spans="1:5" ht="26" hidden="1" x14ac:dyDescent="0.15">
      <c r="A2931" s="1" t="s">
        <v>63</v>
      </c>
      <c r="B2931" s="2">
        <v>236435</v>
      </c>
      <c r="C2931" s="3">
        <v>0.17100000000000001</v>
      </c>
      <c r="D2931" s="4" t="s">
        <v>379</v>
      </c>
      <c r="E2931" s="4" t="s">
        <v>149</v>
      </c>
    </row>
    <row r="2932" spans="1:5" ht="26" hidden="1" x14ac:dyDescent="0.15">
      <c r="A2932" s="1" t="s">
        <v>64</v>
      </c>
      <c r="B2932" s="2">
        <v>102707</v>
      </c>
      <c r="C2932" s="3">
        <v>7.400000000000001E-2</v>
      </c>
      <c r="D2932" s="4" t="s">
        <v>379</v>
      </c>
      <c r="E2932" s="4" t="s">
        <v>149</v>
      </c>
    </row>
    <row r="2933" spans="1:5" hidden="1" x14ac:dyDescent="0.15">
      <c r="A2933" s="1" t="s">
        <v>65</v>
      </c>
      <c r="B2933" s="2">
        <v>243499</v>
      </c>
      <c r="C2933" s="3">
        <v>0.17600000000000002</v>
      </c>
      <c r="D2933" s="4" t="s">
        <v>379</v>
      </c>
      <c r="E2933" s="4" t="s">
        <v>149</v>
      </c>
    </row>
    <row r="2934" spans="1:5" hidden="1" x14ac:dyDescent="0.15">
      <c r="A2934" s="1" t="s">
        <v>66</v>
      </c>
      <c r="B2934" s="2">
        <v>110104</v>
      </c>
      <c r="C2934" s="3">
        <v>0.08</v>
      </c>
      <c r="D2934" s="4" t="s">
        <v>379</v>
      </c>
      <c r="E2934" s="4" t="s">
        <v>149</v>
      </c>
    </row>
    <row r="2935" spans="1:5" hidden="1" x14ac:dyDescent="0.15">
      <c r="A2935" s="1" t="s">
        <v>67</v>
      </c>
      <c r="B2935" s="2">
        <v>369033</v>
      </c>
      <c r="C2935" s="3">
        <v>0.26700000000000002</v>
      </c>
      <c r="D2935" s="4" t="s">
        <v>379</v>
      </c>
      <c r="E2935" s="4" t="s">
        <v>149</v>
      </c>
    </row>
    <row r="2936" spans="1:5" hidden="1" x14ac:dyDescent="0.15">
      <c r="A2936" s="1" t="s">
        <v>68</v>
      </c>
      <c r="B2936" s="2">
        <v>728142</v>
      </c>
      <c r="C2936" s="3">
        <v>0.52600000000000002</v>
      </c>
      <c r="D2936" s="4" t="s">
        <v>379</v>
      </c>
      <c r="E2936" s="4" t="s">
        <v>149</v>
      </c>
    </row>
    <row r="2937" spans="1:5" hidden="1" x14ac:dyDescent="0.15">
      <c r="A2937" s="1" t="s">
        <v>69</v>
      </c>
      <c r="B2937" s="2">
        <v>825300</v>
      </c>
      <c r="C2937" s="3">
        <v>0.59599999999999997</v>
      </c>
      <c r="D2937" s="4" t="s">
        <v>379</v>
      </c>
      <c r="E2937" s="4" t="s">
        <v>149</v>
      </c>
    </row>
    <row r="2938" spans="1:5" hidden="1" x14ac:dyDescent="0.15">
      <c r="A2938" s="1" t="s">
        <v>70</v>
      </c>
      <c r="B2938" s="2">
        <v>207971</v>
      </c>
      <c r="C2938" s="3">
        <v>0.15</v>
      </c>
      <c r="D2938" s="4" t="s">
        <v>379</v>
      </c>
      <c r="E2938" s="4" t="s">
        <v>149</v>
      </c>
    </row>
    <row r="2939" spans="1:5" ht="26" hidden="1" x14ac:dyDescent="0.15">
      <c r="A2939" s="1" t="s">
        <v>71</v>
      </c>
      <c r="B2939" s="2">
        <v>120299</v>
      </c>
      <c r="C2939" s="3">
        <v>8.6999999999999994E-2</v>
      </c>
      <c r="D2939" s="4" t="s">
        <v>379</v>
      </c>
      <c r="E2939" s="4" t="s">
        <v>149</v>
      </c>
    </row>
    <row r="2940" spans="1:5" hidden="1" x14ac:dyDescent="0.15">
      <c r="A2940" s="1" t="s">
        <v>72</v>
      </c>
      <c r="B2940" s="2">
        <v>191958</v>
      </c>
      <c r="C2940" s="3">
        <v>0.13900000000000001</v>
      </c>
      <c r="D2940" s="4" t="s">
        <v>379</v>
      </c>
      <c r="E2940" s="4" t="s">
        <v>149</v>
      </c>
    </row>
    <row r="2941" spans="1:5" hidden="1" x14ac:dyDescent="0.15">
      <c r="A2941" s="1" t="s">
        <v>73</v>
      </c>
      <c r="B2941" s="2">
        <v>831071</v>
      </c>
      <c r="C2941" s="3">
        <v>0.6</v>
      </c>
      <c r="D2941" s="4" t="s">
        <v>379</v>
      </c>
      <c r="E2941" s="4" t="s">
        <v>149</v>
      </c>
    </row>
    <row r="2942" spans="1:5" hidden="1" x14ac:dyDescent="0.15">
      <c r="A2942" s="1" t="s">
        <v>74</v>
      </c>
      <c r="B2942" s="2">
        <v>346444</v>
      </c>
      <c r="C2942" s="3">
        <v>0.25</v>
      </c>
      <c r="D2942" s="4" t="s">
        <v>379</v>
      </c>
      <c r="E2942" s="4" t="s">
        <v>149</v>
      </c>
    </row>
    <row r="2943" spans="1:5" hidden="1" x14ac:dyDescent="0.15">
      <c r="A2943" s="1" t="s">
        <v>75</v>
      </c>
      <c r="B2943" s="2">
        <v>245458</v>
      </c>
      <c r="C2943" s="3">
        <v>0.17699999999999999</v>
      </c>
      <c r="D2943" s="4" t="s">
        <v>379</v>
      </c>
      <c r="E2943" s="4" t="s">
        <v>149</v>
      </c>
    </row>
    <row r="2944" spans="1:5" hidden="1" x14ac:dyDescent="0.15">
      <c r="A2944" s="1" t="s">
        <v>76</v>
      </c>
      <c r="B2944" s="2">
        <v>336324</v>
      </c>
      <c r="C2944" s="3">
        <v>0.24299999999999999</v>
      </c>
      <c r="D2944" s="4" t="s">
        <v>379</v>
      </c>
      <c r="E2944" s="4" t="s">
        <v>149</v>
      </c>
    </row>
    <row r="2945" spans="1:5" hidden="1" x14ac:dyDescent="0.15">
      <c r="A2945" s="1" t="s">
        <v>77</v>
      </c>
      <c r="B2945" s="2">
        <v>335878</v>
      </c>
      <c r="C2945" s="3">
        <v>0.24299999999999999</v>
      </c>
      <c r="D2945" s="4" t="s">
        <v>379</v>
      </c>
      <c r="E2945" s="4" t="s">
        <v>149</v>
      </c>
    </row>
    <row r="2946" spans="1:5" ht="26" hidden="1" x14ac:dyDescent="0.15">
      <c r="A2946" s="1" t="s">
        <v>78</v>
      </c>
      <c r="B2946" s="2">
        <v>157249</v>
      </c>
      <c r="C2946" s="3">
        <v>0.114</v>
      </c>
      <c r="D2946" s="4" t="s">
        <v>379</v>
      </c>
      <c r="E2946" s="4" t="s">
        <v>149</v>
      </c>
    </row>
    <row r="2947" spans="1:5" hidden="1" x14ac:dyDescent="0.15">
      <c r="A2947" s="1" t="s">
        <v>79</v>
      </c>
      <c r="B2947" s="2">
        <v>254349</v>
      </c>
      <c r="C2947" s="3">
        <v>0.184</v>
      </c>
      <c r="D2947" s="4" t="s">
        <v>379</v>
      </c>
      <c r="E2947" s="4" t="s">
        <v>149</v>
      </c>
    </row>
    <row r="2948" spans="1:5" hidden="1" x14ac:dyDescent="0.15">
      <c r="A2948" s="1" t="s">
        <v>80</v>
      </c>
      <c r="B2948" s="2">
        <v>229667</v>
      </c>
      <c r="C2948" s="3">
        <v>0.16600000000000001</v>
      </c>
      <c r="D2948" s="4" t="s">
        <v>379</v>
      </c>
      <c r="E2948" s="4" t="s">
        <v>149</v>
      </c>
    </row>
    <row r="2949" spans="1:5" ht="26" hidden="1" x14ac:dyDescent="0.15">
      <c r="A2949" s="1" t="s">
        <v>81</v>
      </c>
      <c r="B2949" s="2">
        <v>214562</v>
      </c>
      <c r="C2949" s="3">
        <v>0.155</v>
      </c>
      <c r="D2949" s="4" t="s">
        <v>379</v>
      </c>
      <c r="E2949" s="4" t="s">
        <v>149</v>
      </c>
    </row>
    <row r="2950" spans="1:5" hidden="1" x14ac:dyDescent="0.15">
      <c r="A2950" s="1" t="s">
        <v>82</v>
      </c>
      <c r="B2950" s="2">
        <v>163891</v>
      </c>
      <c r="C2950" s="3">
        <v>0.11800000000000001</v>
      </c>
      <c r="D2950" s="4" t="s">
        <v>379</v>
      </c>
      <c r="E2950" s="4" t="s">
        <v>149</v>
      </c>
    </row>
    <row r="2951" spans="1:5" hidden="1" x14ac:dyDescent="0.15">
      <c r="A2951" s="4"/>
      <c r="B2951" s="4"/>
      <c r="C2951" s="4"/>
      <c r="D2951" s="4" t="s">
        <v>379</v>
      </c>
      <c r="E2951" s="4" t="s">
        <v>149</v>
      </c>
    </row>
    <row r="2952" spans="1:5" hidden="1" x14ac:dyDescent="0.15">
      <c r="A2952" s="5"/>
      <c r="B2952" s="5"/>
      <c r="C2952" s="5"/>
      <c r="D2952" s="4" t="s">
        <v>379</v>
      </c>
      <c r="E2952" s="4" t="s">
        <v>149</v>
      </c>
    </row>
    <row r="2953" spans="1:5" hidden="1" x14ac:dyDescent="0.15">
      <c r="A2953" s="1" t="s">
        <v>274</v>
      </c>
      <c r="B2953" s="2">
        <v>234454</v>
      </c>
      <c r="C2953" s="3">
        <v>0.16899999999999998</v>
      </c>
      <c r="D2953" s="4" t="s">
        <v>379</v>
      </c>
      <c r="E2953" s="4" t="s">
        <v>149</v>
      </c>
    </row>
    <row r="2954" spans="1:5" hidden="1" x14ac:dyDescent="0.15">
      <c r="A2954" s="4"/>
      <c r="B2954" s="4"/>
      <c r="C2954" s="4"/>
      <c r="D2954" s="4" t="s">
        <v>379</v>
      </c>
      <c r="E2954" s="4" t="s">
        <v>149</v>
      </c>
    </row>
    <row r="2955" spans="1:5" hidden="1" x14ac:dyDescent="0.15">
      <c r="A2955" s="5"/>
      <c r="B2955" s="5"/>
      <c r="C2955" s="5"/>
      <c r="D2955" s="4" t="s">
        <v>379</v>
      </c>
      <c r="E2955" s="4" t="s">
        <v>149</v>
      </c>
    </row>
    <row r="2956" spans="1:5" ht="26" hidden="1" x14ac:dyDescent="0.15">
      <c r="A2956" s="1" t="s">
        <v>150</v>
      </c>
      <c r="B2956" s="2">
        <v>784842</v>
      </c>
      <c r="C2956" s="3">
        <v>0.56700000000000006</v>
      </c>
      <c r="D2956" s="4" t="s">
        <v>379</v>
      </c>
      <c r="E2956" s="4" t="s">
        <v>149</v>
      </c>
    </row>
    <row r="2957" spans="1:5" hidden="1" x14ac:dyDescent="0.15">
      <c r="A2957" s="4"/>
      <c r="B2957" s="4"/>
      <c r="C2957" s="4"/>
      <c r="D2957" s="4" t="s">
        <v>379</v>
      </c>
      <c r="E2957" s="4" t="s">
        <v>149</v>
      </c>
    </row>
    <row r="2958" spans="1:5" hidden="1" x14ac:dyDescent="0.15">
      <c r="A2958" s="5"/>
      <c r="B2958" s="5"/>
      <c r="C2958" s="5"/>
      <c r="D2958" s="4" t="s">
        <v>379</v>
      </c>
      <c r="E2958" s="4" t="s">
        <v>149</v>
      </c>
    </row>
    <row r="2959" spans="1:5" hidden="1" x14ac:dyDescent="0.15">
      <c r="A2959" s="1" t="s">
        <v>276</v>
      </c>
      <c r="B2959" s="2">
        <v>456397</v>
      </c>
      <c r="C2959" s="3">
        <v>0.33</v>
      </c>
      <c r="D2959" s="4" t="s">
        <v>379</v>
      </c>
      <c r="E2959" s="4" t="s">
        <v>149</v>
      </c>
    </row>
    <row r="2960" spans="1:5" hidden="1" x14ac:dyDescent="0.15">
      <c r="A2960" s="4"/>
      <c r="B2960" s="4"/>
      <c r="C2960" s="4"/>
      <c r="D2960" s="4" t="s">
        <v>379</v>
      </c>
      <c r="E2960" s="4" t="s">
        <v>149</v>
      </c>
    </row>
    <row r="2961" spans="1:5" hidden="1" x14ac:dyDescent="0.15">
      <c r="A2961" s="5"/>
      <c r="B2961" s="5"/>
      <c r="C2961" s="5"/>
      <c r="D2961" s="4" t="s">
        <v>379</v>
      </c>
      <c r="E2961" s="4" t="s">
        <v>149</v>
      </c>
    </row>
    <row r="2962" spans="1:5" ht="26" hidden="1" x14ac:dyDescent="0.15">
      <c r="A2962" s="1" t="s">
        <v>380</v>
      </c>
      <c r="B2962" s="2">
        <v>407071</v>
      </c>
      <c r="C2962" s="3">
        <v>0.29399999999999998</v>
      </c>
      <c r="D2962" s="4" t="s">
        <v>379</v>
      </c>
      <c r="E2962" s="4" t="s">
        <v>149</v>
      </c>
    </row>
    <row r="2963" spans="1:5" ht="26" hidden="1" x14ac:dyDescent="0.15">
      <c r="A2963" s="1" t="s">
        <v>381</v>
      </c>
      <c r="B2963" s="2">
        <v>285890</v>
      </c>
      <c r="C2963" s="3">
        <v>0.20600000000000002</v>
      </c>
      <c r="D2963" s="4" t="s">
        <v>379</v>
      </c>
      <c r="E2963" s="4" t="s">
        <v>149</v>
      </c>
    </row>
    <row r="2964" spans="1:5" ht="26" hidden="1" x14ac:dyDescent="0.15">
      <c r="A2964" s="1" t="s">
        <v>154</v>
      </c>
      <c r="B2964" s="2">
        <v>787116</v>
      </c>
      <c r="C2964" s="3">
        <v>0.56899999999999995</v>
      </c>
      <c r="D2964" s="4" t="s">
        <v>379</v>
      </c>
      <c r="E2964" s="4" t="s">
        <v>149</v>
      </c>
    </row>
    <row r="2965" spans="1:5" ht="39" hidden="1" x14ac:dyDescent="0.15">
      <c r="A2965" s="1" t="s">
        <v>382</v>
      </c>
      <c r="B2965" s="2">
        <v>332193</v>
      </c>
      <c r="C2965" s="3">
        <v>0.24</v>
      </c>
      <c r="D2965" s="4" t="s">
        <v>379</v>
      </c>
      <c r="E2965" s="4" t="s">
        <v>149</v>
      </c>
    </row>
    <row r="2966" spans="1:5" ht="26" hidden="1" x14ac:dyDescent="0.15">
      <c r="A2966" s="1" t="s">
        <v>152</v>
      </c>
      <c r="B2966" s="2">
        <v>625367</v>
      </c>
      <c r="C2966" s="3">
        <v>0.45200000000000001</v>
      </c>
      <c r="D2966" s="4" t="s">
        <v>379</v>
      </c>
      <c r="E2966" s="4" t="s">
        <v>149</v>
      </c>
    </row>
    <row r="2967" spans="1:5" ht="26" hidden="1" x14ac:dyDescent="0.15">
      <c r="A2967" s="1" t="s">
        <v>383</v>
      </c>
      <c r="B2967" s="2">
        <v>34402</v>
      </c>
      <c r="C2967" s="3">
        <v>2.5000000000000001E-2</v>
      </c>
      <c r="D2967" s="4" t="s">
        <v>379</v>
      </c>
      <c r="E2967" s="4" t="s">
        <v>149</v>
      </c>
    </row>
    <row r="2968" spans="1:5" x14ac:dyDescent="0.15">
      <c r="A2968" s="1" t="s">
        <v>0</v>
      </c>
      <c r="B2968" s="2">
        <v>1465038</v>
      </c>
      <c r="C2968" s="3">
        <v>1</v>
      </c>
      <c r="D2968" s="4" t="s">
        <v>384</v>
      </c>
      <c r="E2968" s="4" t="s">
        <v>135</v>
      </c>
    </row>
    <row r="2969" spans="1:5" ht="26" x14ac:dyDescent="0.15">
      <c r="A2969" s="1" t="s">
        <v>3</v>
      </c>
      <c r="B2969" s="2">
        <v>6249</v>
      </c>
      <c r="C2969" s="3">
        <v>4.0000000000000001E-3</v>
      </c>
      <c r="D2969" s="4" t="s">
        <v>384</v>
      </c>
      <c r="E2969" s="4" t="s">
        <v>135</v>
      </c>
    </row>
    <row r="2970" spans="1:5" x14ac:dyDescent="0.15">
      <c r="A2970" s="1" t="s">
        <v>4</v>
      </c>
      <c r="B2970" s="2">
        <v>16755</v>
      </c>
      <c r="C2970" s="3">
        <v>1.1000000000000001E-2</v>
      </c>
      <c r="D2970" s="4" t="s">
        <v>384</v>
      </c>
      <c r="E2970" s="4" t="s">
        <v>135</v>
      </c>
    </row>
    <row r="2971" spans="1:5" ht="26" x14ac:dyDescent="0.15">
      <c r="A2971" s="1" t="s">
        <v>5</v>
      </c>
      <c r="B2971" s="2">
        <v>51623</v>
      </c>
      <c r="C2971" s="3">
        <v>3.5000000000000003E-2</v>
      </c>
      <c r="D2971" s="4" t="s">
        <v>384</v>
      </c>
      <c r="E2971" s="4" t="s">
        <v>135</v>
      </c>
    </row>
    <row r="2972" spans="1:5" ht="26" x14ac:dyDescent="0.15">
      <c r="A2972" s="1" t="s">
        <v>6</v>
      </c>
      <c r="B2972" s="2">
        <v>176107</v>
      </c>
      <c r="C2972" s="3">
        <v>0.12</v>
      </c>
      <c r="D2972" s="4" t="s">
        <v>384</v>
      </c>
      <c r="E2972" s="4" t="s">
        <v>135</v>
      </c>
    </row>
    <row r="2973" spans="1:5" ht="26" x14ac:dyDescent="0.15">
      <c r="A2973" s="1" t="s">
        <v>7</v>
      </c>
      <c r="B2973" s="2">
        <v>283686</v>
      </c>
      <c r="C2973" s="3">
        <v>0.19399999999999998</v>
      </c>
      <c r="D2973" s="4" t="s">
        <v>384</v>
      </c>
      <c r="E2973" s="4" t="s">
        <v>135</v>
      </c>
    </row>
    <row r="2974" spans="1:5" ht="26" x14ac:dyDescent="0.15">
      <c r="A2974" s="1" t="s">
        <v>8</v>
      </c>
      <c r="B2974" s="2">
        <v>19085</v>
      </c>
      <c r="C2974" s="3">
        <v>1.3000000000000001E-2</v>
      </c>
      <c r="D2974" s="4" t="s">
        <v>384</v>
      </c>
      <c r="E2974" s="4" t="s">
        <v>135</v>
      </c>
    </row>
    <row r="2975" spans="1:5" ht="26" x14ac:dyDescent="0.15">
      <c r="A2975" s="1" t="s">
        <v>9</v>
      </c>
      <c r="B2975" s="2">
        <v>49167</v>
      </c>
      <c r="C2975" s="3">
        <v>3.4000000000000002E-2</v>
      </c>
      <c r="D2975" s="4" t="s">
        <v>384</v>
      </c>
      <c r="E2975" s="4" t="s">
        <v>135</v>
      </c>
    </row>
    <row r="2976" spans="1:5" ht="26" x14ac:dyDescent="0.15">
      <c r="A2976" s="1" t="s">
        <v>10</v>
      </c>
      <c r="B2976" s="2">
        <v>39067</v>
      </c>
      <c r="C2976" s="3">
        <v>2.7000000000000003E-2</v>
      </c>
      <c r="D2976" s="4" t="s">
        <v>384</v>
      </c>
      <c r="E2976" s="4" t="s">
        <v>135</v>
      </c>
    </row>
    <row r="2977" spans="1:5" ht="26" x14ac:dyDescent="0.15">
      <c r="A2977" s="1" t="s">
        <v>11</v>
      </c>
      <c r="B2977" s="2">
        <v>75710</v>
      </c>
      <c r="C2977" s="3">
        <v>5.2000000000000005E-2</v>
      </c>
      <c r="D2977" s="4" t="s">
        <v>384</v>
      </c>
      <c r="E2977" s="4" t="s">
        <v>135</v>
      </c>
    </row>
    <row r="2978" spans="1:5" ht="26" x14ac:dyDescent="0.15">
      <c r="A2978" s="1" t="s">
        <v>12</v>
      </c>
      <c r="B2978" s="2">
        <v>17146</v>
      </c>
      <c r="C2978" s="3">
        <v>1.2E-2</v>
      </c>
      <c r="D2978" s="4" t="s">
        <v>384</v>
      </c>
      <c r="E2978" s="4" t="s">
        <v>135</v>
      </c>
    </row>
    <row r="2979" spans="1:5" ht="26" x14ac:dyDescent="0.15">
      <c r="A2979" s="1" t="s">
        <v>13</v>
      </c>
      <c r="B2979" s="2">
        <v>7211</v>
      </c>
      <c r="C2979" s="3">
        <v>5.0000000000000001E-3</v>
      </c>
      <c r="D2979" s="4" t="s">
        <v>384</v>
      </c>
      <c r="E2979" s="4" t="s">
        <v>135</v>
      </c>
    </row>
    <row r="2980" spans="1:5" x14ac:dyDescent="0.15">
      <c r="A2980" s="1" t="s">
        <v>14</v>
      </c>
      <c r="B2980" s="2">
        <v>110692</v>
      </c>
      <c r="C2980" s="3">
        <v>7.5999999999999998E-2</v>
      </c>
      <c r="D2980" s="4" t="s">
        <v>384</v>
      </c>
      <c r="E2980" s="4" t="s">
        <v>135</v>
      </c>
    </row>
    <row r="2981" spans="1:5" ht="26" x14ac:dyDescent="0.15">
      <c r="A2981" s="1" t="s">
        <v>15</v>
      </c>
      <c r="B2981" s="2">
        <v>82049</v>
      </c>
      <c r="C2981" s="3">
        <v>5.5999999999999994E-2</v>
      </c>
      <c r="D2981" s="4" t="s">
        <v>384</v>
      </c>
      <c r="E2981" s="4" t="s">
        <v>135</v>
      </c>
    </row>
    <row r="2982" spans="1:5" ht="26" x14ac:dyDescent="0.15">
      <c r="A2982" s="1" t="s">
        <v>16</v>
      </c>
      <c r="B2982" s="2">
        <v>38473</v>
      </c>
      <c r="C2982" s="3">
        <v>2.6000000000000002E-2</v>
      </c>
      <c r="D2982" s="4" t="s">
        <v>384</v>
      </c>
      <c r="E2982" s="4" t="s">
        <v>135</v>
      </c>
    </row>
    <row r="2983" spans="1:5" ht="26" x14ac:dyDescent="0.15">
      <c r="A2983" s="1" t="s">
        <v>17</v>
      </c>
      <c r="B2983" s="2">
        <v>10102</v>
      </c>
      <c r="C2983" s="3">
        <v>6.9999999999999993E-3</v>
      </c>
      <c r="D2983" s="4" t="s">
        <v>384</v>
      </c>
      <c r="E2983" s="4" t="s">
        <v>135</v>
      </c>
    </row>
    <row r="2984" spans="1:5" x14ac:dyDescent="0.15">
      <c r="A2984" s="1" t="s">
        <v>18</v>
      </c>
      <c r="B2984" s="2">
        <v>23201</v>
      </c>
      <c r="C2984" s="3">
        <v>1.6E-2</v>
      </c>
      <c r="D2984" s="4" t="s">
        <v>384</v>
      </c>
      <c r="E2984" s="4" t="s">
        <v>135</v>
      </c>
    </row>
    <row r="2985" spans="1:5" x14ac:dyDescent="0.15">
      <c r="A2985" s="1" t="s">
        <v>19</v>
      </c>
      <c r="B2985" s="2">
        <v>152790</v>
      </c>
      <c r="C2985" s="3">
        <v>0.10400000000000001</v>
      </c>
      <c r="D2985" s="4" t="s">
        <v>384</v>
      </c>
      <c r="E2985" s="4" t="s">
        <v>135</v>
      </c>
    </row>
    <row r="2986" spans="1:5" x14ac:dyDescent="0.15">
      <c r="A2986" s="1" t="s">
        <v>20</v>
      </c>
      <c r="B2986" s="2">
        <v>28907</v>
      </c>
      <c r="C2986" s="3">
        <v>0.02</v>
      </c>
      <c r="D2986" s="4" t="s">
        <v>384</v>
      </c>
      <c r="E2986" s="4" t="s">
        <v>135</v>
      </c>
    </row>
    <row r="2987" spans="1:5" ht="26" x14ac:dyDescent="0.15">
      <c r="A2987" s="1" t="s">
        <v>21</v>
      </c>
      <c r="B2987" s="2">
        <v>29807</v>
      </c>
      <c r="C2987" s="3">
        <v>0.02</v>
      </c>
      <c r="D2987" s="4" t="s">
        <v>384</v>
      </c>
      <c r="E2987" s="4" t="s">
        <v>135</v>
      </c>
    </row>
    <row r="2988" spans="1:5" ht="26" x14ac:dyDescent="0.15">
      <c r="A2988" s="1" t="s">
        <v>22</v>
      </c>
      <c r="B2988" s="2">
        <v>6911</v>
      </c>
      <c r="C2988" s="3">
        <v>5.0000000000000001E-3</v>
      </c>
      <c r="D2988" s="4" t="s">
        <v>384</v>
      </c>
      <c r="E2988" s="4" t="s">
        <v>135</v>
      </c>
    </row>
    <row r="2989" spans="1:5" ht="26" x14ac:dyDescent="0.15">
      <c r="A2989" s="1" t="s">
        <v>23</v>
      </c>
      <c r="B2989" s="2">
        <v>31925</v>
      </c>
      <c r="C2989" s="3">
        <v>2.2000000000000002E-2</v>
      </c>
      <c r="D2989" s="4" t="s">
        <v>384</v>
      </c>
      <c r="E2989" s="4" t="s">
        <v>135</v>
      </c>
    </row>
    <row r="2990" spans="1:5" ht="26" x14ac:dyDescent="0.15">
      <c r="A2990" s="1" t="s">
        <v>24</v>
      </c>
      <c r="B2990" s="2">
        <v>16390</v>
      </c>
      <c r="C2990" s="3">
        <v>1.1000000000000001E-2</v>
      </c>
      <c r="D2990" s="4" t="s">
        <v>384</v>
      </c>
      <c r="E2990" s="4" t="s">
        <v>135</v>
      </c>
    </row>
    <row r="2991" spans="1:5" ht="26" x14ac:dyDescent="0.15">
      <c r="A2991" s="1" t="s">
        <v>25</v>
      </c>
      <c r="B2991" s="2">
        <v>34369</v>
      </c>
      <c r="C2991" s="3">
        <v>2.3E-2</v>
      </c>
      <c r="D2991" s="4" t="s">
        <v>384</v>
      </c>
      <c r="E2991" s="4" t="s">
        <v>135</v>
      </c>
    </row>
    <row r="2992" spans="1:5" x14ac:dyDescent="0.15">
      <c r="A2992" s="1" t="s">
        <v>26</v>
      </c>
      <c r="B2992" s="2">
        <v>5537</v>
      </c>
      <c r="C2992" s="3">
        <v>4.0000000000000001E-3</v>
      </c>
      <c r="D2992" s="4" t="s">
        <v>384</v>
      </c>
      <c r="E2992" s="4" t="s">
        <v>135</v>
      </c>
    </row>
    <row r="2993" spans="1:5" x14ac:dyDescent="0.15">
      <c r="A2993" s="1" t="s">
        <v>27</v>
      </c>
      <c r="B2993" s="2">
        <v>162275</v>
      </c>
      <c r="C2993" s="3">
        <v>0.111</v>
      </c>
      <c r="D2993" s="4" t="s">
        <v>384</v>
      </c>
      <c r="E2993" s="4" t="s">
        <v>135</v>
      </c>
    </row>
    <row r="2994" spans="1:5" x14ac:dyDescent="0.15">
      <c r="A2994" s="1" t="s">
        <v>28</v>
      </c>
      <c r="B2994" s="2">
        <v>175112</v>
      </c>
      <c r="C2994" s="3">
        <v>0.12</v>
      </c>
      <c r="D2994" s="4" t="s">
        <v>384</v>
      </c>
      <c r="E2994" s="4" t="s">
        <v>135</v>
      </c>
    </row>
    <row r="2995" spans="1:5" x14ac:dyDescent="0.15">
      <c r="A2995" s="1" t="s">
        <v>29</v>
      </c>
      <c r="B2995" s="2">
        <v>471798</v>
      </c>
      <c r="C2995" s="3">
        <v>0.32200000000000001</v>
      </c>
      <c r="D2995" s="4" t="s">
        <v>384</v>
      </c>
      <c r="E2995" s="4" t="s">
        <v>135</v>
      </c>
    </row>
    <row r="2996" spans="1:5" x14ac:dyDescent="0.15">
      <c r="A2996" s="1" t="s">
        <v>30</v>
      </c>
      <c r="B2996" s="2">
        <v>56445</v>
      </c>
      <c r="C2996" s="3">
        <v>3.9E-2</v>
      </c>
      <c r="D2996" s="4" t="s">
        <v>384</v>
      </c>
      <c r="E2996" s="4" t="s">
        <v>135</v>
      </c>
    </row>
    <row r="2997" spans="1:5" ht="39" x14ac:dyDescent="0.15">
      <c r="A2997" s="1" t="s">
        <v>31</v>
      </c>
      <c r="B2997" s="2">
        <v>11776</v>
      </c>
      <c r="C2997" s="3">
        <v>8.0000000000000002E-3</v>
      </c>
      <c r="D2997" s="4" t="s">
        <v>384</v>
      </c>
      <c r="E2997" s="4" t="s">
        <v>135</v>
      </c>
    </row>
    <row r="2998" spans="1:5" x14ac:dyDescent="0.15">
      <c r="A2998" s="1" t="s">
        <v>32</v>
      </c>
      <c r="B2998" s="2">
        <v>30525</v>
      </c>
      <c r="C2998" s="3">
        <v>2.1000000000000001E-2</v>
      </c>
      <c r="D2998" s="4" t="s">
        <v>384</v>
      </c>
      <c r="E2998" s="4" t="s">
        <v>135</v>
      </c>
    </row>
    <row r="2999" spans="1:5" x14ac:dyDescent="0.15">
      <c r="A2999" s="1" t="s">
        <v>33</v>
      </c>
      <c r="B2999" s="2">
        <v>397927</v>
      </c>
      <c r="C2999" s="3">
        <v>0.27200000000000002</v>
      </c>
      <c r="D2999" s="4" t="s">
        <v>384</v>
      </c>
      <c r="E2999" s="4" t="s">
        <v>135</v>
      </c>
    </row>
    <row r="3000" spans="1:5" x14ac:dyDescent="0.15">
      <c r="A3000" s="1" t="s">
        <v>34</v>
      </c>
      <c r="B3000" s="2">
        <v>117126</v>
      </c>
      <c r="C3000" s="3">
        <v>0.08</v>
      </c>
      <c r="D3000" s="4" t="s">
        <v>384</v>
      </c>
      <c r="E3000" s="4" t="s">
        <v>135</v>
      </c>
    </row>
    <row r="3001" spans="1:5" x14ac:dyDescent="0.15">
      <c r="A3001" s="1" t="s">
        <v>35</v>
      </c>
      <c r="B3001" s="2">
        <v>76824</v>
      </c>
      <c r="C3001" s="3">
        <v>5.2000000000000005E-2</v>
      </c>
      <c r="D3001" s="4" t="s">
        <v>384</v>
      </c>
      <c r="E3001" s="4" t="s">
        <v>135</v>
      </c>
    </row>
    <row r="3002" spans="1:5" ht="26" x14ac:dyDescent="0.15">
      <c r="A3002" s="1" t="s">
        <v>36</v>
      </c>
      <c r="B3002" s="2">
        <v>15514</v>
      </c>
      <c r="C3002" s="3">
        <v>1.1000000000000001E-2</v>
      </c>
      <c r="D3002" s="4" t="s">
        <v>384</v>
      </c>
      <c r="E3002" s="4" t="s">
        <v>135</v>
      </c>
    </row>
    <row r="3003" spans="1:5" x14ac:dyDescent="0.15">
      <c r="A3003" s="1" t="s">
        <v>37</v>
      </c>
      <c r="B3003" s="2">
        <v>10701</v>
      </c>
      <c r="C3003" s="3">
        <v>6.9999999999999993E-3</v>
      </c>
      <c r="D3003" s="4" t="s">
        <v>384</v>
      </c>
      <c r="E3003" s="4" t="s">
        <v>135</v>
      </c>
    </row>
    <row r="3004" spans="1:5" ht="39" x14ac:dyDescent="0.15">
      <c r="A3004" s="1" t="s">
        <v>38</v>
      </c>
      <c r="B3004" s="2">
        <v>6165</v>
      </c>
      <c r="C3004" s="3">
        <v>4.0000000000000001E-3</v>
      </c>
      <c r="D3004" s="4" t="s">
        <v>384</v>
      </c>
      <c r="E3004" s="4" t="s">
        <v>135</v>
      </c>
    </row>
    <row r="3005" spans="1:5" x14ac:dyDescent="0.15">
      <c r="A3005" s="1" t="s">
        <v>39</v>
      </c>
      <c r="B3005" s="2">
        <v>105380</v>
      </c>
      <c r="C3005" s="3">
        <v>7.2000000000000008E-2</v>
      </c>
      <c r="D3005" s="4" t="s">
        <v>384</v>
      </c>
      <c r="E3005" s="4" t="s">
        <v>135</v>
      </c>
    </row>
    <row r="3006" spans="1:5" x14ac:dyDescent="0.15">
      <c r="A3006" s="1" t="s">
        <v>40</v>
      </c>
      <c r="B3006" s="2">
        <v>32422</v>
      </c>
      <c r="C3006" s="3">
        <v>2.2000000000000002E-2</v>
      </c>
      <c r="D3006" s="4" t="s">
        <v>384</v>
      </c>
      <c r="E3006" s="4" t="s">
        <v>135</v>
      </c>
    </row>
    <row r="3007" spans="1:5" x14ac:dyDescent="0.15">
      <c r="A3007" s="1" t="s">
        <v>41</v>
      </c>
      <c r="B3007" s="2">
        <v>51851</v>
      </c>
      <c r="C3007" s="3">
        <v>3.5000000000000003E-2</v>
      </c>
      <c r="D3007" s="4" t="s">
        <v>384</v>
      </c>
      <c r="E3007" s="4" t="s">
        <v>135</v>
      </c>
    </row>
    <row r="3008" spans="1:5" x14ac:dyDescent="0.15">
      <c r="A3008" s="1" t="s">
        <v>42</v>
      </c>
      <c r="B3008" s="2">
        <v>54844</v>
      </c>
      <c r="C3008" s="3">
        <v>3.7000000000000005E-2</v>
      </c>
      <c r="D3008" s="4" t="s">
        <v>384</v>
      </c>
      <c r="E3008" s="4" t="s">
        <v>135</v>
      </c>
    </row>
    <row r="3009" spans="1:5" x14ac:dyDescent="0.15">
      <c r="A3009" s="1" t="s">
        <v>43</v>
      </c>
      <c r="B3009" s="2">
        <v>124549</v>
      </c>
      <c r="C3009" s="3">
        <v>8.5000000000000006E-2</v>
      </c>
      <c r="D3009" s="4" t="s">
        <v>384</v>
      </c>
      <c r="E3009" s="4" t="s">
        <v>135</v>
      </c>
    </row>
    <row r="3010" spans="1:5" ht="26" x14ac:dyDescent="0.15">
      <c r="A3010" s="1" t="s">
        <v>44</v>
      </c>
      <c r="B3010" s="2">
        <v>167695</v>
      </c>
      <c r="C3010" s="3">
        <v>0.114</v>
      </c>
      <c r="D3010" s="4" t="s">
        <v>384</v>
      </c>
      <c r="E3010" s="4" t="s">
        <v>135</v>
      </c>
    </row>
    <row r="3011" spans="1:5" x14ac:dyDescent="0.15">
      <c r="A3011" s="1" t="s">
        <v>45</v>
      </c>
      <c r="B3011" s="2">
        <v>281117</v>
      </c>
      <c r="C3011" s="3">
        <v>0.192</v>
      </c>
      <c r="D3011" s="4" t="s">
        <v>384</v>
      </c>
      <c r="E3011" s="4" t="s">
        <v>135</v>
      </c>
    </row>
    <row r="3012" spans="1:5" ht="26" x14ac:dyDescent="0.15">
      <c r="A3012" s="1" t="s">
        <v>46</v>
      </c>
      <c r="B3012" s="2">
        <v>516829</v>
      </c>
      <c r="C3012" s="3">
        <v>0.35299999999999998</v>
      </c>
      <c r="D3012" s="4" t="s">
        <v>384</v>
      </c>
      <c r="E3012" s="4" t="s">
        <v>135</v>
      </c>
    </row>
    <row r="3013" spans="1:5" x14ac:dyDescent="0.15">
      <c r="A3013" s="1" t="s">
        <v>47</v>
      </c>
      <c r="B3013" s="2">
        <v>664957</v>
      </c>
      <c r="C3013" s="3">
        <v>0.45399999999999996</v>
      </c>
      <c r="D3013" s="4" t="s">
        <v>384</v>
      </c>
      <c r="E3013" s="4" t="s">
        <v>135</v>
      </c>
    </row>
    <row r="3014" spans="1:5" x14ac:dyDescent="0.15">
      <c r="A3014" s="1" t="s">
        <v>48</v>
      </c>
      <c r="B3014" s="2">
        <v>114462</v>
      </c>
      <c r="C3014" s="3">
        <v>7.8E-2</v>
      </c>
      <c r="D3014" s="4" t="s">
        <v>384</v>
      </c>
      <c r="E3014" s="4" t="s">
        <v>135</v>
      </c>
    </row>
    <row r="3015" spans="1:5" x14ac:dyDescent="0.15">
      <c r="A3015" s="1" t="s">
        <v>49</v>
      </c>
      <c r="B3015" s="2">
        <v>175749</v>
      </c>
      <c r="C3015" s="3">
        <v>0.12</v>
      </c>
      <c r="D3015" s="4" t="s">
        <v>384</v>
      </c>
      <c r="E3015" s="4" t="s">
        <v>135</v>
      </c>
    </row>
    <row r="3016" spans="1:5" ht="26" x14ac:dyDescent="0.15">
      <c r="A3016" s="1" t="s">
        <v>50</v>
      </c>
      <c r="B3016" s="2">
        <v>258348</v>
      </c>
      <c r="C3016" s="3">
        <v>0.17600000000000002</v>
      </c>
      <c r="D3016" s="4" t="s">
        <v>384</v>
      </c>
      <c r="E3016" s="4" t="s">
        <v>135</v>
      </c>
    </row>
    <row r="3017" spans="1:5" x14ac:dyDescent="0.15">
      <c r="A3017" s="1" t="s">
        <v>51</v>
      </c>
      <c r="B3017" s="2">
        <v>378876</v>
      </c>
      <c r="C3017" s="3">
        <v>0.25900000000000001</v>
      </c>
      <c r="D3017" s="4" t="s">
        <v>384</v>
      </c>
      <c r="E3017" s="4" t="s">
        <v>135</v>
      </c>
    </row>
    <row r="3018" spans="1:5" x14ac:dyDescent="0.15">
      <c r="A3018" s="1" t="s">
        <v>52</v>
      </c>
      <c r="B3018" s="2">
        <v>184643</v>
      </c>
      <c r="C3018" s="3">
        <v>0.126</v>
      </c>
      <c r="D3018" s="4" t="s">
        <v>384</v>
      </c>
      <c r="E3018" s="4" t="s">
        <v>135</v>
      </c>
    </row>
    <row r="3019" spans="1:5" ht="26" x14ac:dyDescent="0.15">
      <c r="A3019" s="1" t="s">
        <v>53</v>
      </c>
      <c r="B3019" s="2">
        <v>145480</v>
      </c>
      <c r="C3019" s="3">
        <v>9.9000000000000005E-2</v>
      </c>
      <c r="D3019" s="4" t="s">
        <v>384</v>
      </c>
      <c r="E3019" s="4" t="s">
        <v>135</v>
      </c>
    </row>
    <row r="3020" spans="1:5" x14ac:dyDescent="0.15">
      <c r="A3020" s="1" t="s">
        <v>54</v>
      </c>
      <c r="B3020" s="2">
        <v>479403</v>
      </c>
      <c r="C3020" s="3">
        <v>0.32700000000000001</v>
      </c>
      <c r="D3020" s="4" t="s">
        <v>384</v>
      </c>
      <c r="E3020" s="4" t="s">
        <v>135</v>
      </c>
    </row>
    <row r="3021" spans="1:5" ht="26" x14ac:dyDescent="0.15">
      <c r="A3021" s="1" t="s">
        <v>55</v>
      </c>
      <c r="B3021" s="2">
        <v>382608</v>
      </c>
      <c r="C3021" s="3">
        <v>0.26100000000000001</v>
      </c>
      <c r="D3021" s="4" t="s">
        <v>384</v>
      </c>
      <c r="E3021" s="4" t="s">
        <v>135</v>
      </c>
    </row>
    <row r="3022" spans="1:5" x14ac:dyDescent="0.15">
      <c r="A3022" s="1" t="s">
        <v>56</v>
      </c>
      <c r="B3022" s="2">
        <v>305384</v>
      </c>
      <c r="C3022" s="3">
        <v>0.20800000000000002</v>
      </c>
      <c r="D3022" s="4" t="s">
        <v>384</v>
      </c>
      <c r="E3022" s="4" t="s">
        <v>135</v>
      </c>
    </row>
    <row r="3023" spans="1:5" x14ac:dyDescent="0.15">
      <c r="A3023" s="1" t="s">
        <v>57</v>
      </c>
      <c r="B3023" s="2">
        <v>207714</v>
      </c>
      <c r="C3023" s="3">
        <v>0.14199999999999999</v>
      </c>
      <c r="D3023" s="4" t="s">
        <v>384</v>
      </c>
      <c r="E3023" s="4" t="s">
        <v>135</v>
      </c>
    </row>
    <row r="3024" spans="1:5" x14ac:dyDescent="0.15">
      <c r="A3024" s="1" t="s">
        <v>58</v>
      </c>
      <c r="B3024" s="2">
        <v>188248</v>
      </c>
      <c r="C3024" s="3">
        <v>0.128</v>
      </c>
      <c r="D3024" s="4" t="s">
        <v>384</v>
      </c>
      <c r="E3024" s="4" t="s">
        <v>135</v>
      </c>
    </row>
    <row r="3025" spans="1:5" x14ac:dyDescent="0.15">
      <c r="A3025" s="1" t="s">
        <v>59</v>
      </c>
      <c r="B3025" s="2">
        <v>637504</v>
      </c>
      <c r="C3025" s="3">
        <v>0.435</v>
      </c>
      <c r="D3025" s="4" t="s">
        <v>384</v>
      </c>
      <c r="E3025" s="4" t="s">
        <v>135</v>
      </c>
    </row>
    <row r="3026" spans="1:5" x14ac:dyDescent="0.15">
      <c r="A3026" s="1" t="s">
        <v>60</v>
      </c>
      <c r="B3026" s="2">
        <v>198047</v>
      </c>
      <c r="C3026" s="3">
        <v>0.13500000000000001</v>
      </c>
      <c r="D3026" s="4" t="s">
        <v>384</v>
      </c>
      <c r="E3026" s="4" t="s">
        <v>135</v>
      </c>
    </row>
    <row r="3027" spans="1:5" ht="26" x14ac:dyDescent="0.15">
      <c r="A3027" s="1" t="s">
        <v>61</v>
      </c>
      <c r="B3027" s="2">
        <v>256265</v>
      </c>
      <c r="C3027" s="3">
        <v>0.17499999999999999</v>
      </c>
      <c r="D3027" s="4" t="s">
        <v>384</v>
      </c>
      <c r="E3027" s="4" t="s">
        <v>135</v>
      </c>
    </row>
    <row r="3028" spans="1:5" x14ac:dyDescent="0.15">
      <c r="A3028" s="1" t="s">
        <v>62</v>
      </c>
      <c r="B3028" s="2">
        <v>97184</v>
      </c>
      <c r="C3028" s="3">
        <v>6.6000000000000003E-2</v>
      </c>
      <c r="D3028" s="4" t="s">
        <v>384</v>
      </c>
      <c r="E3028" s="4" t="s">
        <v>135</v>
      </c>
    </row>
    <row r="3029" spans="1:5" ht="26" x14ac:dyDescent="0.15">
      <c r="A3029" s="1" t="s">
        <v>63</v>
      </c>
      <c r="B3029" s="2">
        <v>276448</v>
      </c>
      <c r="C3029" s="3">
        <v>0.18899999999999997</v>
      </c>
      <c r="D3029" s="4" t="s">
        <v>384</v>
      </c>
      <c r="E3029" s="4" t="s">
        <v>135</v>
      </c>
    </row>
    <row r="3030" spans="1:5" ht="26" x14ac:dyDescent="0.15">
      <c r="A3030" s="1" t="s">
        <v>64</v>
      </c>
      <c r="B3030" s="2">
        <v>153715</v>
      </c>
      <c r="C3030" s="3">
        <v>0.105</v>
      </c>
      <c r="D3030" s="4" t="s">
        <v>384</v>
      </c>
      <c r="E3030" s="4" t="s">
        <v>135</v>
      </c>
    </row>
    <row r="3031" spans="1:5" x14ac:dyDescent="0.15">
      <c r="A3031" s="1" t="s">
        <v>65</v>
      </c>
      <c r="B3031" s="2">
        <v>271731</v>
      </c>
      <c r="C3031" s="3">
        <v>0.185</v>
      </c>
      <c r="D3031" s="4" t="s">
        <v>384</v>
      </c>
      <c r="E3031" s="4" t="s">
        <v>135</v>
      </c>
    </row>
    <row r="3032" spans="1:5" x14ac:dyDescent="0.15">
      <c r="A3032" s="1" t="s">
        <v>66</v>
      </c>
      <c r="B3032" s="2">
        <v>113235</v>
      </c>
      <c r="C3032" s="3">
        <v>7.6999999999999999E-2</v>
      </c>
      <c r="D3032" s="4" t="s">
        <v>384</v>
      </c>
      <c r="E3032" s="4" t="s">
        <v>135</v>
      </c>
    </row>
    <row r="3033" spans="1:5" x14ac:dyDescent="0.15">
      <c r="A3033" s="1" t="s">
        <v>67</v>
      </c>
      <c r="B3033" s="2">
        <v>442905</v>
      </c>
      <c r="C3033" s="3">
        <v>0.30199999999999999</v>
      </c>
      <c r="D3033" s="4" t="s">
        <v>384</v>
      </c>
      <c r="E3033" s="4" t="s">
        <v>135</v>
      </c>
    </row>
    <row r="3034" spans="1:5" x14ac:dyDescent="0.15">
      <c r="A3034" s="1" t="s">
        <v>68</v>
      </c>
      <c r="B3034" s="2">
        <v>511523</v>
      </c>
      <c r="C3034" s="3">
        <v>0.34899999999999998</v>
      </c>
      <c r="D3034" s="4" t="s">
        <v>384</v>
      </c>
      <c r="E3034" s="4" t="s">
        <v>135</v>
      </c>
    </row>
    <row r="3035" spans="1:5" x14ac:dyDescent="0.15">
      <c r="A3035" s="1" t="s">
        <v>69</v>
      </c>
      <c r="B3035" s="2">
        <v>967446</v>
      </c>
      <c r="C3035" s="3">
        <v>0.66</v>
      </c>
      <c r="D3035" s="4" t="s">
        <v>384</v>
      </c>
      <c r="E3035" s="4" t="s">
        <v>135</v>
      </c>
    </row>
    <row r="3036" spans="1:5" x14ac:dyDescent="0.15">
      <c r="A3036" s="1" t="s">
        <v>70</v>
      </c>
      <c r="B3036" s="2">
        <v>333036</v>
      </c>
      <c r="C3036" s="3">
        <v>0.22699999999999998</v>
      </c>
      <c r="D3036" s="4" t="s">
        <v>384</v>
      </c>
      <c r="E3036" s="4" t="s">
        <v>135</v>
      </c>
    </row>
    <row r="3037" spans="1:5" ht="26" x14ac:dyDescent="0.15">
      <c r="A3037" s="1" t="s">
        <v>71</v>
      </c>
      <c r="B3037" s="2">
        <v>109371</v>
      </c>
      <c r="C3037" s="3">
        <v>7.4999999999999997E-2</v>
      </c>
      <c r="D3037" s="4" t="s">
        <v>384</v>
      </c>
      <c r="E3037" s="4" t="s">
        <v>135</v>
      </c>
    </row>
    <row r="3038" spans="1:5" x14ac:dyDescent="0.15">
      <c r="A3038" s="1" t="s">
        <v>72</v>
      </c>
      <c r="B3038" s="2">
        <v>189391</v>
      </c>
      <c r="C3038" s="3">
        <v>0.129</v>
      </c>
      <c r="D3038" s="4" t="s">
        <v>384</v>
      </c>
      <c r="E3038" s="4" t="s">
        <v>135</v>
      </c>
    </row>
    <row r="3039" spans="1:5" x14ac:dyDescent="0.15">
      <c r="A3039" s="1" t="s">
        <v>73</v>
      </c>
      <c r="B3039" s="2">
        <v>881405</v>
      </c>
      <c r="C3039" s="3">
        <v>0.60199999999999998</v>
      </c>
      <c r="D3039" s="4" t="s">
        <v>384</v>
      </c>
      <c r="E3039" s="4" t="s">
        <v>135</v>
      </c>
    </row>
    <row r="3040" spans="1:5" x14ac:dyDescent="0.15">
      <c r="A3040" s="1" t="s">
        <v>74</v>
      </c>
      <c r="B3040" s="2">
        <v>403569</v>
      </c>
      <c r="C3040" s="3">
        <v>0.27500000000000002</v>
      </c>
      <c r="D3040" s="4" t="s">
        <v>384</v>
      </c>
      <c r="E3040" s="4" t="s">
        <v>135</v>
      </c>
    </row>
    <row r="3041" spans="1:5" x14ac:dyDescent="0.15">
      <c r="A3041" s="1" t="s">
        <v>75</v>
      </c>
      <c r="B3041" s="2">
        <v>317014</v>
      </c>
      <c r="C3041" s="3">
        <v>0.21600000000000003</v>
      </c>
      <c r="D3041" s="4" t="s">
        <v>384</v>
      </c>
      <c r="E3041" s="4" t="s">
        <v>135</v>
      </c>
    </row>
    <row r="3042" spans="1:5" x14ac:dyDescent="0.15">
      <c r="A3042" s="1" t="s">
        <v>76</v>
      </c>
      <c r="B3042" s="2">
        <v>155831</v>
      </c>
      <c r="C3042" s="3">
        <v>0.106</v>
      </c>
      <c r="D3042" s="4" t="s">
        <v>384</v>
      </c>
      <c r="E3042" s="4" t="s">
        <v>135</v>
      </c>
    </row>
    <row r="3043" spans="1:5" x14ac:dyDescent="0.15">
      <c r="A3043" s="1" t="s">
        <v>77</v>
      </c>
      <c r="B3043" s="2">
        <v>110921</v>
      </c>
      <c r="C3043" s="3">
        <v>7.5999999999999998E-2</v>
      </c>
      <c r="D3043" s="4" t="s">
        <v>384</v>
      </c>
      <c r="E3043" s="4" t="s">
        <v>135</v>
      </c>
    </row>
    <row r="3044" spans="1:5" ht="26" x14ac:dyDescent="0.15">
      <c r="A3044" s="1" t="s">
        <v>78</v>
      </c>
      <c r="B3044" s="2">
        <v>156040</v>
      </c>
      <c r="C3044" s="3">
        <v>0.107</v>
      </c>
      <c r="D3044" s="4" t="s">
        <v>384</v>
      </c>
      <c r="E3044" s="4" t="s">
        <v>135</v>
      </c>
    </row>
    <row r="3045" spans="1:5" x14ac:dyDescent="0.15">
      <c r="A3045" s="1" t="s">
        <v>79</v>
      </c>
      <c r="B3045" s="2">
        <v>303847</v>
      </c>
      <c r="C3045" s="3">
        <v>0.20699999999999999</v>
      </c>
      <c r="D3045" s="4" t="s">
        <v>384</v>
      </c>
      <c r="E3045" s="4" t="s">
        <v>135</v>
      </c>
    </row>
    <row r="3046" spans="1:5" x14ac:dyDescent="0.15">
      <c r="A3046" s="1" t="s">
        <v>80</v>
      </c>
      <c r="B3046" s="2">
        <v>239561</v>
      </c>
      <c r="C3046" s="3">
        <v>0.16399999999999998</v>
      </c>
      <c r="D3046" s="4" t="s">
        <v>384</v>
      </c>
      <c r="E3046" s="4" t="s">
        <v>135</v>
      </c>
    </row>
    <row r="3047" spans="1:5" ht="26" x14ac:dyDescent="0.15">
      <c r="A3047" s="1" t="s">
        <v>81</v>
      </c>
      <c r="B3047" s="2">
        <v>307461</v>
      </c>
      <c r="C3047" s="3">
        <v>0.21</v>
      </c>
      <c r="D3047" s="4" t="s">
        <v>384</v>
      </c>
      <c r="E3047" s="4" t="s">
        <v>135</v>
      </c>
    </row>
    <row r="3048" spans="1:5" x14ac:dyDescent="0.15">
      <c r="A3048" s="1" t="s">
        <v>82</v>
      </c>
      <c r="B3048" s="2">
        <v>233163</v>
      </c>
      <c r="C3048" s="3">
        <v>0.159</v>
      </c>
      <c r="D3048" s="4" t="s">
        <v>384</v>
      </c>
      <c r="E3048" s="4" t="s">
        <v>135</v>
      </c>
    </row>
    <row r="3049" spans="1:5" x14ac:dyDescent="0.15">
      <c r="A3049" s="4"/>
      <c r="B3049" s="4"/>
      <c r="C3049" s="4"/>
      <c r="D3049" s="4" t="s">
        <v>384</v>
      </c>
      <c r="E3049" s="4" t="s">
        <v>135</v>
      </c>
    </row>
    <row r="3050" spans="1:5" x14ac:dyDescent="0.15">
      <c r="A3050" s="16"/>
      <c r="B3050" s="16"/>
      <c r="C3050" s="16"/>
      <c r="D3050" s="4" t="s">
        <v>384</v>
      </c>
      <c r="E3050" s="4" t="s">
        <v>135</v>
      </c>
    </row>
    <row r="3051" spans="1:5" ht="26" x14ac:dyDescent="0.15">
      <c r="A3051" s="1" t="s">
        <v>136</v>
      </c>
      <c r="B3051" s="2">
        <v>205609</v>
      </c>
      <c r="C3051" s="3">
        <v>0.14000000000000001</v>
      </c>
      <c r="D3051" s="4" t="s">
        <v>384</v>
      </c>
      <c r="E3051" s="4" t="s">
        <v>135</v>
      </c>
    </row>
    <row r="3052" spans="1:5" x14ac:dyDescent="0.15">
      <c r="A3052" s="4"/>
      <c r="B3052" s="4"/>
      <c r="C3052" s="4"/>
      <c r="D3052" s="4" t="s">
        <v>384</v>
      </c>
      <c r="E3052" s="4" t="s">
        <v>135</v>
      </c>
    </row>
    <row r="3053" spans="1:5" x14ac:dyDescent="0.15">
      <c r="A3053" s="16"/>
      <c r="B3053" s="16"/>
      <c r="C3053" s="16"/>
      <c r="D3053" s="4" t="s">
        <v>384</v>
      </c>
      <c r="E3053" s="4" t="s">
        <v>135</v>
      </c>
    </row>
    <row r="3054" spans="1:5" x14ac:dyDescent="0.15">
      <c r="A3054" s="1" t="s">
        <v>137</v>
      </c>
      <c r="B3054" s="2">
        <v>0</v>
      </c>
      <c r="C3054" s="3">
        <v>0</v>
      </c>
      <c r="D3054" s="4" t="s">
        <v>384</v>
      </c>
      <c r="E3054" s="4" t="s">
        <v>135</v>
      </c>
    </row>
    <row r="3055" spans="1:5" x14ac:dyDescent="0.15">
      <c r="A3055" s="4"/>
      <c r="B3055" s="4"/>
      <c r="C3055" s="4"/>
      <c r="D3055" s="4" t="s">
        <v>384</v>
      </c>
      <c r="E3055" s="4" t="s">
        <v>135</v>
      </c>
    </row>
    <row r="3056" spans="1:5" x14ac:dyDescent="0.15">
      <c r="A3056" s="16"/>
      <c r="B3056" s="16"/>
      <c r="C3056" s="16"/>
      <c r="D3056" s="4" t="s">
        <v>384</v>
      </c>
      <c r="E3056" s="4" t="s">
        <v>135</v>
      </c>
    </row>
    <row r="3057" spans="1:5" ht="26" x14ac:dyDescent="0.15">
      <c r="A3057" s="1" t="s">
        <v>138</v>
      </c>
      <c r="B3057" s="2">
        <v>0</v>
      </c>
      <c r="C3057" s="3">
        <v>0</v>
      </c>
      <c r="D3057" s="4" t="s">
        <v>384</v>
      </c>
      <c r="E3057" s="4" t="s">
        <v>135</v>
      </c>
    </row>
    <row r="3058" spans="1:5" x14ac:dyDescent="0.15">
      <c r="A3058" s="4"/>
      <c r="B3058" s="4"/>
      <c r="C3058" s="4"/>
      <c r="D3058" s="4" t="s">
        <v>384</v>
      </c>
      <c r="E3058" s="4" t="s">
        <v>135</v>
      </c>
    </row>
    <row r="3059" spans="1:5" x14ac:dyDescent="0.15">
      <c r="A3059" s="16"/>
      <c r="B3059" s="16"/>
      <c r="C3059" s="16"/>
      <c r="D3059" s="4" t="s">
        <v>384</v>
      </c>
      <c r="E3059" s="4" t="s">
        <v>135</v>
      </c>
    </row>
    <row r="3060" spans="1:5" ht="26" x14ac:dyDescent="0.15">
      <c r="A3060" s="1" t="s">
        <v>139</v>
      </c>
      <c r="B3060" s="2">
        <v>509683</v>
      </c>
      <c r="C3060" s="3">
        <v>0.34799999999999998</v>
      </c>
      <c r="D3060" s="4" t="s">
        <v>384</v>
      </c>
      <c r="E3060" s="4" t="s">
        <v>135</v>
      </c>
    </row>
    <row r="3061" spans="1:5" x14ac:dyDescent="0.15">
      <c r="A3061" s="4"/>
      <c r="B3061" s="4"/>
      <c r="C3061" s="4"/>
      <c r="D3061" s="4" t="s">
        <v>384</v>
      </c>
      <c r="E3061" s="4" t="s">
        <v>135</v>
      </c>
    </row>
    <row r="3062" spans="1:5" x14ac:dyDescent="0.15">
      <c r="A3062" s="16"/>
      <c r="B3062" s="16"/>
      <c r="C3062" s="16"/>
      <c r="D3062" s="4" t="s">
        <v>384</v>
      </c>
      <c r="E3062" s="4" t="s">
        <v>135</v>
      </c>
    </row>
    <row r="3063" spans="1:5" ht="26" x14ac:dyDescent="0.15">
      <c r="A3063" s="1" t="s">
        <v>140</v>
      </c>
      <c r="B3063" s="2">
        <v>0</v>
      </c>
      <c r="C3063" s="3">
        <v>0</v>
      </c>
      <c r="D3063" s="4" t="s">
        <v>384</v>
      </c>
      <c r="E3063" s="4" t="s">
        <v>135</v>
      </c>
    </row>
    <row r="3064" spans="1:5" x14ac:dyDescent="0.15">
      <c r="A3064" s="4"/>
      <c r="B3064" s="4"/>
      <c r="C3064" s="4"/>
      <c r="D3064" s="4" t="s">
        <v>384</v>
      </c>
      <c r="E3064" s="4" t="s">
        <v>135</v>
      </c>
    </row>
    <row r="3065" spans="1:5" x14ac:dyDescent="0.15">
      <c r="A3065" s="16"/>
      <c r="B3065" s="16"/>
      <c r="C3065" s="16"/>
      <c r="D3065" s="4" t="s">
        <v>384</v>
      </c>
      <c r="E3065" s="4" t="s">
        <v>135</v>
      </c>
    </row>
    <row r="3066" spans="1:5" x14ac:dyDescent="0.15">
      <c r="A3066" s="1" t="s">
        <v>385</v>
      </c>
      <c r="B3066" s="2">
        <v>104351</v>
      </c>
      <c r="C3066" s="3">
        <v>7.0999999999999994E-2</v>
      </c>
      <c r="D3066" s="4" t="s">
        <v>384</v>
      </c>
      <c r="E3066" s="4" t="s">
        <v>135</v>
      </c>
    </row>
    <row r="3067" spans="1:5" x14ac:dyDescent="0.15">
      <c r="A3067" s="1" t="s">
        <v>386</v>
      </c>
      <c r="B3067" s="2">
        <v>171785</v>
      </c>
      <c r="C3067" s="3">
        <v>0.11699999999999999</v>
      </c>
      <c r="D3067" s="4" t="s">
        <v>384</v>
      </c>
      <c r="E3067" s="4" t="s">
        <v>135</v>
      </c>
    </row>
    <row r="3068" spans="1:5" ht="26" x14ac:dyDescent="0.15">
      <c r="A3068" s="1" t="s">
        <v>387</v>
      </c>
      <c r="B3068" s="2">
        <v>190702</v>
      </c>
      <c r="C3068" s="3">
        <v>0.13</v>
      </c>
      <c r="D3068" s="4" t="s">
        <v>384</v>
      </c>
      <c r="E3068" s="4" t="s">
        <v>135</v>
      </c>
    </row>
    <row r="3069" spans="1:5" ht="26" x14ac:dyDescent="0.15">
      <c r="A3069" s="1" t="s">
        <v>388</v>
      </c>
      <c r="B3069" s="2">
        <v>178203</v>
      </c>
      <c r="C3069" s="3">
        <v>0.122</v>
      </c>
      <c r="D3069" s="4" t="s">
        <v>384</v>
      </c>
      <c r="E3069" s="4" t="s">
        <v>135</v>
      </c>
    </row>
    <row r="3070" spans="1:5" hidden="1" x14ac:dyDescent="0.15">
      <c r="A3070" s="1" t="s">
        <v>0</v>
      </c>
      <c r="B3070" s="2">
        <v>10396485</v>
      </c>
      <c r="C3070" s="3">
        <v>1</v>
      </c>
      <c r="D3070" s="4" t="s">
        <v>389</v>
      </c>
      <c r="E3070" s="4" t="s">
        <v>191</v>
      </c>
    </row>
    <row r="3071" spans="1:5" ht="26" hidden="1" x14ac:dyDescent="0.15">
      <c r="A3071" s="1" t="s">
        <v>3</v>
      </c>
      <c r="B3071" s="2">
        <v>83062</v>
      </c>
      <c r="C3071" s="3">
        <v>8.0000000000000002E-3</v>
      </c>
      <c r="D3071" s="4" t="s">
        <v>389</v>
      </c>
      <c r="E3071" s="4" t="s">
        <v>191</v>
      </c>
    </row>
    <row r="3072" spans="1:5" hidden="1" x14ac:dyDescent="0.15">
      <c r="A3072" s="1" t="s">
        <v>4</v>
      </c>
      <c r="B3072" s="2">
        <v>115457</v>
      </c>
      <c r="C3072" s="3">
        <v>1.1000000000000001E-2</v>
      </c>
      <c r="D3072" s="4" t="s">
        <v>389</v>
      </c>
      <c r="E3072" s="4" t="s">
        <v>191</v>
      </c>
    </row>
    <row r="3073" spans="1:5" ht="26" hidden="1" x14ac:dyDescent="0.15">
      <c r="A3073" s="1" t="s">
        <v>5</v>
      </c>
      <c r="B3073" s="2">
        <v>153221</v>
      </c>
      <c r="C3073" s="3">
        <v>1.4999999999999999E-2</v>
      </c>
      <c r="D3073" s="4" t="s">
        <v>389</v>
      </c>
      <c r="E3073" s="4" t="s">
        <v>191</v>
      </c>
    </row>
    <row r="3074" spans="1:5" ht="26" hidden="1" x14ac:dyDescent="0.15">
      <c r="A3074" s="1" t="s">
        <v>6</v>
      </c>
      <c r="B3074" s="2">
        <v>641149</v>
      </c>
      <c r="C3074" s="3">
        <v>6.2E-2</v>
      </c>
      <c r="D3074" s="4" t="s">
        <v>389</v>
      </c>
      <c r="E3074" s="4" t="s">
        <v>191</v>
      </c>
    </row>
    <row r="3075" spans="1:5" ht="26" hidden="1" x14ac:dyDescent="0.15">
      <c r="A3075" s="1" t="s">
        <v>7</v>
      </c>
      <c r="B3075" s="2">
        <v>682833</v>
      </c>
      <c r="C3075" s="3">
        <v>6.6000000000000003E-2</v>
      </c>
      <c r="D3075" s="4" t="s">
        <v>389</v>
      </c>
      <c r="E3075" s="4" t="s">
        <v>191</v>
      </c>
    </row>
    <row r="3076" spans="1:5" ht="26" hidden="1" x14ac:dyDescent="0.15">
      <c r="A3076" s="1" t="s">
        <v>8</v>
      </c>
      <c r="B3076" s="2">
        <v>89239</v>
      </c>
      <c r="C3076" s="3">
        <v>9.0000000000000011E-3</v>
      </c>
      <c r="D3076" s="4" t="s">
        <v>389</v>
      </c>
      <c r="E3076" s="4" t="s">
        <v>191</v>
      </c>
    </row>
    <row r="3077" spans="1:5" ht="26" hidden="1" x14ac:dyDescent="0.15">
      <c r="A3077" s="1" t="s">
        <v>9</v>
      </c>
      <c r="B3077" s="2">
        <v>568856</v>
      </c>
      <c r="C3077" s="3">
        <v>5.5E-2</v>
      </c>
      <c r="D3077" s="4" t="s">
        <v>389</v>
      </c>
      <c r="E3077" s="4" t="s">
        <v>191</v>
      </c>
    </row>
    <row r="3078" spans="1:5" ht="26" hidden="1" x14ac:dyDescent="0.15">
      <c r="A3078" s="1" t="s">
        <v>10</v>
      </c>
      <c r="B3078" s="2">
        <v>251645</v>
      </c>
      <c r="C3078" s="3">
        <v>2.4E-2</v>
      </c>
      <c r="D3078" s="4" t="s">
        <v>389</v>
      </c>
      <c r="E3078" s="4" t="s">
        <v>191</v>
      </c>
    </row>
    <row r="3079" spans="1:5" ht="26" hidden="1" x14ac:dyDescent="0.15">
      <c r="A3079" s="1" t="s">
        <v>11</v>
      </c>
      <c r="B3079" s="2">
        <v>771385</v>
      </c>
      <c r="C3079" s="3">
        <v>7.400000000000001E-2</v>
      </c>
      <c r="D3079" s="4" t="s">
        <v>389</v>
      </c>
      <c r="E3079" s="4" t="s">
        <v>191</v>
      </c>
    </row>
    <row r="3080" spans="1:5" ht="26" hidden="1" x14ac:dyDescent="0.15">
      <c r="A3080" s="1" t="s">
        <v>12</v>
      </c>
      <c r="B3080" s="2">
        <v>160256</v>
      </c>
      <c r="C3080" s="3">
        <v>1.4999999999999999E-2</v>
      </c>
      <c r="D3080" s="4" t="s">
        <v>389</v>
      </c>
      <c r="E3080" s="4" t="s">
        <v>191</v>
      </c>
    </row>
    <row r="3081" spans="1:5" ht="26" hidden="1" x14ac:dyDescent="0.15">
      <c r="A3081" s="1" t="s">
        <v>13</v>
      </c>
      <c r="B3081" s="2">
        <v>69168</v>
      </c>
      <c r="C3081" s="3">
        <v>6.9999999999999993E-3</v>
      </c>
      <c r="D3081" s="4" t="s">
        <v>389</v>
      </c>
      <c r="E3081" s="4" t="s">
        <v>191</v>
      </c>
    </row>
    <row r="3082" spans="1:5" hidden="1" x14ac:dyDescent="0.15">
      <c r="A3082" s="1" t="s">
        <v>14</v>
      </c>
      <c r="B3082" s="2">
        <v>846809</v>
      </c>
      <c r="C3082" s="3">
        <v>8.1000000000000003E-2</v>
      </c>
      <c r="D3082" s="4" t="s">
        <v>389</v>
      </c>
      <c r="E3082" s="4" t="s">
        <v>191</v>
      </c>
    </row>
    <row r="3083" spans="1:5" ht="26" hidden="1" x14ac:dyDescent="0.15">
      <c r="A3083" s="1" t="s">
        <v>15</v>
      </c>
      <c r="B3083" s="2">
        <v>232923</v>
      </c>
      <c r="C3083" s="3">
        <v>2.2000000000000002E-2</v>
      </c>
      <c r="D3083" s="4" t="s">
        <v>389</v>
      </c>
      <c r="E3083" s="4" t="s">
        <v>191</v>
      </c>
    </row>
    <row r="3084" spans="1:5" ht="26" hidden="1" x14ac:dyDescent="0.15">
      <c r="A3084" s="1" t="s">
        <v>16</v>
      </c>
      <c r="B3084" s="2">
        <v>412676</v>
      </c>
      <c r="C3084" s="3">
        <v>0.04</v>
      </c>
      <c r="D3084" s="4" t="s">
        <v>389</v>
      </c>
      <c r="E3084" s="4" t="s">
        <v>191</v>
      </c>
    </row>
    <row r="3085" spans="1:5" ht="26" hidden="1" x14ac:dyDescent="0.15">
      <c r="A3085" s="1" t="s">
        <v>17</v>
      </c>
      <c r="B3085" s="2">
        <v>134133</v>
      </c>
      <c r="C3085" s="3">
        <v>1.3000000000000001E-2</v>
      </c>
      <c r="D3085" s="4" t="s">
        <v>389</v>
      </c>
      <c r="E3085" s="4" t="s">
        <v>191</v>
      </c>
    </row>
    <row r="3086" spans="1:5" hidden="1" x14ac:dyDescent="0.15">
      <c r="A3086" s="1" t="s">
        <v>18</v>
      </c>
      <c r="B3086" s="2">
        <v>108610</v>
      </c>
      <c r="C3086" s="3">
        <v>0.01</v>
      </c>
      <c r="D3086" s="4" t="s">
        <v>389</v>
      </c>
      <c r="E3086" s="4" t="s">
        <v>191</v>
      </c>
    </row>
    <row r="3087" spans="1:5" hidden="1" x14ac:dyDescent="0.15">
      <c r="A3087" s="1" t="s">
        <v>19</v>
      </c>
      <c r="B3087" s="2">
        <v>2105215</v>
      </c>
      <c r="C3087" s="3">
        <v>0.20199999999999999</v>
      </c>
      <c r="D3087" s="4" t="s">
        <v>389</v>
      </c>
      <c r="E3087" s="4" t="s">
        <v>191</v>
      </c>
    </row>
    <row r="3088" spans="1:5" hidden="1" x14ac:dyDescent="0.15">
      <c r="A3088" s="1" t="s">
        <v>20</v>
      </c>
      <c r="B3088" s="2">
        <v>312201</v>
      </c>
      <c r="C3088" s="3">
        <v>0.03</v>
      </c>
      <c r="D3088" s="4" t="s">
        <v>389</v>
      </c>
      <c r="E3088" s="4" t="s">
        <v>191</v>
      </c>
    </row>
    <row r="3089" spans="1:5" ht="26" hidden="1" x14ac:dyDescent="0.15">
      <c r="A3089" s="1" t="s">
        <v>21</v>
      </c>
      <c r="B3089" s="2">
        <v>466250</v>
      </c>
      <c r="C3089" s="3">
        <v>4.4999999999999998E-2</v>
      </c>
      <c r="D3089" s="4" t="s">
        <v>389</v>
      </c>
      <c r="E3089" s="4" t="s">
        <v>191</v>
      </c>
    </row>
    <row r="3090" spans="1:5" ht="26" hidden="1" x14ac:dyDescent="0.15">
      <c r="A3090" s="1" t="s">
        <v>22</v>
      </c>
      <c r="B3090" s="2">
        <v>206254</v>
      </c>
      <c r="C3090" s="3">
        <v>0.02</v>
      </c>
      <c r="D3090" s="4" t="s">
        <v>389</v>
      </c>
      <c r="E3090" s="4" t="s">
        <v>191</v>
      </c>
    </row>
    <row r="3091" spans="1:5" ht="26" hidden="1" x14ac:dyDescent="0.15">
      <c r="A3091" s="1" t="s">
        <v>23</v>
      </c>
      <c r="B3091" s="2">
        <v>159449</v>
      </c>
      <c r="C3091" s="3">
        <v>1.4999999999999999E-2</v>
      </c>
      <c r="D3091" s="4" t="s">
        <v>389</v>
      </c>
      <c r="E3091" s="4" t="s">
        <v>191</v>
      </c>
    </row>
    <row r="3092" spans="1:5" ht="26" hidden="1" x14ac:dyDescent="0.15">
      <c r="A3092" s="1" t="s">
        <v>24</v>
      </c>
      <c r="B3092" s="2">
        <v>61507</v>
      </c>
      <c r="C3092" s="3">
        <v>6.0000000000000001E-3</v>
      </c>
      <c r="D3092" s="4" t="s">
        <v>389</v>
      </c>
      <c r="E3092" s="4" t="s">
        <v>191</v>
      </c>
    </row>
    <row r="3093" spans="1:5" ht="26" hidden="1" x14ac:dyDescent="0.15">
      <c r="A3093" s="1" t="s">
        <v>25</v>
      </c>
      <c r="B3093" s="2">
        <v>94134</v>
      </c>
      <c r="C3093" s="3">
        <v>9.0000000000000011E-3</v>
      </c>
      <c r="D3093" s="4" t="s">
        <v>389</v>
      </c>
      <c r="E3093" s="4" t="s">
        <v>191</v>
      </c>
    </row>
    <row r="3094" spans="1:5" hidden="1" x14ac:dyDescent="0.15">
      <c r="A3094" s="1" t="s">
        <v>26</v>
      </c>
      <c r="B3094" s="2">
        <v>71410</v>
      </c>
      <c r="C3094" s="3">
        <v>6.9999999999999993E-3</v>
      </c>
      <c r="D3094" s="4" t="s">
        <v>389</v>
      </c>
      <c r="E3094" s="4" t="s">
        <v>191</v>
      </c>
    </row>
    <row r="3095" spans="1:5" hidden="1" x14ac:dyDescent="0.15">
      <c r="A3095" s="1" t="s">
        <v>27</v>
      </c>
      <c r="B3095" s="2">
        <v>379437</v>
      </c>
      <c r="C3095" s="3">
        <v>3.6000000000000004E-2</v>
      </c>
      <c r="D3095" s="4" t="s">
        <v>389</v>
      </c>
      <c r="E3095" s="4" t="s">
        <v>191</v>
      </c>
    </row>
    <row r="3096" spans="1:5" hidden="1" x14ac:dyDescent="0.15">
      <c r="A3096" s="1" t="s">
        <v>28</v>
      </c>
      <c r="B3096" s="2">
        <v>1209532</v>
      </c>
      <c r="C3096" s="3">
        <v>0.11599999999999999</v>
      </c>
      <c r="D3096" s="4" t="s">
        <v>389</v>
      </c>
      <c r="E3096" s="4" t="s">
        <v>191</v>
      </c>
    </row>
    <row r="3097" spans="1:5" hidden="1" x14ac:dyDescent="0.15">
      <c r="A3097" s="1" t="s">
        <v>29</v>
      </c>
      <c r="B3097" s="2">
        <v>2401014</v>
      </c>
      <c r="C3097" s="3">
        <v>0.23100000000000001</v>
      </c>
      <c r="D3097" s="4" t="s">
        <v>389</v>
      </c>
      <c r="E3097" s="4" t="s">
        <v>191</v>
      </c>
    </row>
    <row r="3098" spans="1:5" hidden="1" x14ac:dyDescent="0.15">
      <c r="A3098" s="1" t="s">
        <v>30</v>
      </c>
      <c r="B3098" s="2">
        <v>700586</v>
      </c>
      <c r="C3098" s="3">
        <v>6.7000000000000004E-2</v>
      </c>
      <c r="D3098" s="4" t="s">
        <v>389</v>
      </c>
      <c r="E3098" s="4" t="s">
        <v>191</v>
      </c>
    </row>
    <row r="3099" spans="1:5" ht="39" hidden="1" x14ac:dyDescent="0.15">
      <c r="A3099" s="1" t="s">
        <v>31</v>
      </c>
      <c r="B3099" s="2">
        <v>138794</v>
      </c>
      <c r="C3099" s="3">
        <v>1.3000000000000001E-2</v>
      </c>
      <c r="D3099" s="4" t="s">
        <v>389</v>
      </c>
      <c r="E3099" s="4" t="s">
        <v>191</v>
      </c>
    </row>
    <row r="3100" spans="1:5" hidden="1" x14ac:dyDescent="0.15">
      <c r="A3100" s="1" t="s">
        <v>32</v>
      </c>
      <c r="B3100" s="2">
        <v>127148</v>
      </c>
      <c r="C3100" s="3">
        <v>1.2E-2</v>
      </c>
      <c r="D3100" s="4" t="s">
        <v>389</v>
      </c>
      <c r="E3100" s="4" t="s">
        <v>191</v>
      </c>
    </row>
    <row r="3101" spans="1:5" hidden="1" x14ac:dyDescent="0.15">
      <c r="A3101" s="1" t="s">
        <v>33</v>
      </c>
      <c r="B3101" s="2">
        <v>2555921</v>
      </c>
      <c r="C3101" s="3">
        <v>0.24600000000000002</v>
      </c>
      <c r="D3101" s="4" t="s">
        <v>389</v>
      </c>
      <c r="E3101" s="4" t="s">
        <v>191</v>
      </c>
    </row>
    <row r="3102" spans="1:5" hidden="1" x14ac:dyDescent="0.15">
      <c r="A3102" s="1" t="s">
        <v>34</v>
      </c>
      <c r="B3102" s="2">
        <v>518556</v>
      </c>
      <c r="C3102" s="3">
        <v>0.05</v>
      </c>
      <c r="D3102" s="4" t="s">
        <v>389</v>
      </c>
      <c r="E3102" s="4" t="s">
        <v>191</v>
      </c>
    </row>
    <row r="3103" spans="1:5" hidden="1" x14ac:dyDescent="0.15">
      <c r="A3103" s="1" t="s">
        <v>35</v>
      </c>
      <c r="B3103" s="2">
        <v>722266</v>
      </c>
      <c r="C3103" s="3">
        <v>6.9000000000000006E-2</v>
      </c>
      <c r="D3103" s="4" t="s">
        <v>389</v>
      </c>
      <c r="E3103" s="4" t="s">
        <v>191</v>
      </c>
    </row>
    <row r="3104" spans="1:5" ht="26" hidden="1" x14ac:dyDescent="0.15">
      <c r="A3104" s="1" t="s">
        <v>36</v>
      </c>
      <c r="B3104" s="2">
        <v>84772</v>
      </c>
      <c r="C3104" s="3">
        <v>8.0000000000000002E-3</v>
      </c>
      <c r="D3104" s="4" t="s">
        <v>389</v>
      </c>
      <c r="E3104" s="4" t="s">
        <v>191</v>
      </c>
    </row>
    <row r="3105" spans="1:5" hidden="1" x14ac:dyDescent="0.15">
      <c r="A3105" s="1" t="s">
        <v>37</v>
      </c>
      <c r="B3105" s="2">
        <v>55408</v>
      </c>
      <c r="C3105" s="3">
        <v>5.0000000000000001E-3</v>
      </c>
      <c r="D3105" s="4" t="s">
        <v>389</v>
      </c>
      <c r="E3105" s="4" t="s">
        <v>191</v>
      </c>
    </row>
    <row r="3106" spans="1:5" ht="39" hidden="1" x14ac:dyDescent="0.15">
      <c r="A3106" s="1" t="s">
        <v>38</v>
      </c>
      <c r="B3106" s="2">
        <v>93532</v>
      </c>
      <c r="C3106" s="3">
        <v>9.0000000000000011E-3</v>
      </c>
      <c r="D3106" s="4" t="s">
        <v>389</v>
      </c>
      <c r="E3106" s="4" t="s">
        <v>191</v>
      </c>
    </row>
    <row r="3107" spans="1:5" hidden="1" x14ac:dyDescent="0.15">
      <c r="A3107" s="1" t="s">
        <v>39</v>
      </c>
      <c r="B3107" s="2">
        <v>372007</v>
      </c>
      <c r="C3107" s="3">
        <v>3.6000000000000004E-2</v>
      </c>
      <c r="D3107" s="4" t="s">
        <v>389</v>
      </c>
      <c r="E3107" s="4" t="s">
        <v>191</v>
      </c>
    </row>
    <row r="3108" spans="1:5" hidden="1" x14ac:dyDescent="0.15">
      <c r="A3108" s="1" t="s">
        <v>40</v>
      </c>
      <c r="B3108" s="2">
        <v>197444</v>
      </c>
      <c r="C3108" s="3">
        <v>1.9E-2</v>
      </c>
      <c r="D3108" s="4" t="s">
        <v>389</v>
      </c>
      <c r="E3108" s="4" t="s">
        <v>191</v>
      </c>
    </row>
    <row r="3109" spans="1:5" hidden="1" x14ac:dyDescent="0.15">
      <c r="A3109" s="1" t="s">
        <v>41</v>
      </c>
      <c r="B3109" s="2">
        <v>549842</v>
      </c>
      <c r="C3109" s="3">
        <v>5.2999999999999999E-2</v>
      </c>
      <c r="D3109" s="4" t="s">
        <v>389</v>
      </c>
      <c r="E3109" s="4" t="s">
        <v>191</v>
      </c>
    </row>
    <row r="3110" spans="1:5" hidden="1" x14ac:dyDescent="0.15">
      <c r="A3110" s="1" t="s">
        <v>42</v>
      </c>
      <c r="B3110" s="2">
        <v>365624</v>
      </c>
      <c r="C3110" s="3">
        <v>3.5000000000000003E-2</v>
      </c>
      <c r="D3110" s="4" t="s">
        <v>389</v>
      </c>
      <c r="E3110" s="4" t="s">
        <v>191</v>
      </c>
    </row>
    <row r="3111" spans="1:5" hidden="1" x14ac:dyDescent="0.15">
      <c r="A3111" s="1" t="s">
        <v>43</v>
      </c>
      <c r="B3111" s="2">
        <v>628720</v>
      </c>
      <c r="C3111" s="3">
        <v>0.06</v>
      </c>
      <c r="D3111" s="4" t="s">
        <v>389</v>
      </c>
      <c r="E3111" s="4" t="s">
        <v>191</v>
      </c>
    </row>
    <row r="3112" spans="1:5" ht="26" hidden="1" x14ac:dyDescent="0.15">
      <c r="A3112" s="1" t="s">
        <v>44</v>
      </c>
      <c r="B3112" s="2">
        <v>813050</v>
      </c>
      <c r="C3112" s="3">
        <v>7.8E-2</v>
      </c>
      <c r="D3112" s="4" t="s">
        <v>389</v>
      </c>
      <c r="E3112" s="4" t="s">
        <v>191</v>
      </c>
    </row>
    <row r="3113" spans="1:5" hidden="1" x14ac:dyDescent="0.15">
      <c r="A3113" s="1" t="s">
        <v>45</v>
      </c>
      <c r="B3113" s="2">
        <v>1279152</v>
      </c>
      <c r="C3113" s="3">
        <v>0.12300000000000001</v>
      </c>
      <c r="D3113" s="4" t="s">
        <v>389</v>
      </c>
      <c r="E3113" s="4" t="s">
        <v>191</v>
      </c>
    </row>
    <row r="3114" spans="1:5" ht="26" hidden="1" x14ac:dyDescent="0.15">
      <c r="A3114" s="1" t="s">
        <v>46</v>
      </c>
      <c r="B3114" s="2">
        <v>2202907</v>
      </c>
      <c r="C3114" s="3">
        <v>0.21199999999999999</v>
      </c>
      <c r="D3114" s="4" t="s">
        <v>389</v>
      </c>
      <c r="E3114" s="4" t="s">
        <v>191</v>
      </c>
    </row>
    <row r="3115" spans="1:5" hidden="1" x14ac:dyDescent="0.15">
      <c r="A3115" s="1" t="s">
        <v>47</v>
      </c>
      <c r="B3115" s="2">
        <v>2443550</v>
      </c>
      <c r="C3115" s="3">
        <v>0.23499999999999999</v>
      </c>
      <c r="D3115" s="4" t="s">
        <v>389</v>
      </c>
      <c r="E3115" s="4" t="s">
        <v>191</v>
      </c>
    </row>
    <row r="3116" spans="1:5" hidden="1" x14ac:dyDescent="0.15">
      <c r="A3116" s="1" t="s">
        <v>48</v>
      </c>
      <c r="B3116" s="2">
        <v>826046</v>
      </c>
      <c r="C3116" s="3">
        <v>7.9000000000000001E-2</v>
      </c>
      <c r="D3116" s="4" t="s">
        <v>389</v>
      </c>
      <c r="E3116" s="4" t="s">
        <v>191</v>
      </c>
    </row>
    <row r="3117" spans="1:5" hidden="1" x14ac:dyDescent="0.15">
      <c r="A3117" s="1" t="s">
        <v>49</v>
      </c>
      <c r="B3117" s="2">
        <v>1817505</v>
      </c>
      <c r="C3117" s="3">
        <v>0.17499999999999999</v>
      </c>
      <c r="D3117" s="4" t="s">
        <v>389</v>
      </c>
      <c r="E3117" s="4" t="s">
        <v>191</v>
      </c>
    </row>
    <row r="3118" spans="1:5" ht="26" hidden="1" x14ac:dyDescent="0.15">
      <c r="A3118" s="1" t="s">
        <v>50</v>
      </c>
      <c r="B3118" s="2">
        <v>1405002</v>
      </c>
      <c r="C3118" s="3">
        <v>0.13500000000000001</v>
      </c>
      <c r="D3118" s="4" t="s">
        <v>389</v>
      </c>
      <c r="E3118" s="4" t="s">
        <v>191</v>
      </c>
    </row>
    <row r="3119" spans="1:5" hidden="1" x14ac:dyDescent="0.15">
      <c r="A3119" s="1" t="s">
        <v>51</v>
      </c>
      <c r="B3119" s="2">
        <v>3050756</v>
      </c>
      <c r="C3119" s="3">
        <v>0.29299999999999998</v>
      </c>
      <c r="D3119" s="4" t="s">
        <v>389</v>
      </c>
      <c r="E3119" s="4" t="s">
        <v>191</v>
      </c>
    </row>
    <row r="3120" spans="1:5" hidden="1" x14ac:dyDescent="0.15">
      <c r="A3120" s="1" t="s">
        <v>52</v>
      </c>
      <c r="B3120" s="2">
        <v>1075557</v>
      </c>
      <c r="C3120" s="3">
        <v>0.10300000000000001</v>
      </c>
      <c r="D3120" s="4" t="s">
        <v>389</v>
      </c>
      <c r="E3120" s="4" t="s">
        <v>191</v>
      </c>
    </row>
    <row r="3121" spans="1:5" ht="26" hidden="1" x14ac:dyDescent="0.15">
      <c r="A3121" s="1" t="s">
        <v>53</v>
      </c>
      <c r="B3121" s="2">
        <v>671017</v>
      </c>
      <c r="C3121" s="3">
        <v>6.5000000000000002E-2</v>
      </c>
      <c r="D3121" s="4" t="s">
        <v>389</v>
      </c>
      <c r="E3121" s="4" t="s">
        <v>191</v>
      </c>
    </row>
    <row r="3122" spans="1:5" hidden="1" x14ac:dyDescent="0.15">
      <c r="A3122" s="1" t="s">
        <v>54</v>
      </c>
      <c r="B3122" s="2">
        <v>3404115</v>
      </c>
      <c r="C3122" s="3">
        <v>0.32700000000000001</v>
      </c>
      <c r="D3122" s="4" t="s">
        <v>389</v>
      </c>
      <c r="E3122" s="4" t="s">
        <v>191</v>
      </c>
    </row>
    <row r="3123" spans="1:5" ht="26" hidden="1" x14ac:dyDescent="0.15">
      <c r="A3123" s="1" t="s">
        <v>55</v>
      </c>
      <c r="B3123" s="2">
        <v>1599377</v>
      </c>
      <c r="C3123" s="3">
        <v>0.154</v>
      </c>
      <c r="D3123" s="4" t="s">
        <v>389</v>
      </c>
      <c r="E3123" s="4" t="s">
        <v>191</v>
      </c>
    </row>
    <row r="3124" spans="1:5" hidden="1" x14ac:dyDescent="0.15">
      <c r="A3124" s="1" t="s">
        <v>56</v>
      </c>
      <c r="B3124" s="2">
        <v>2088850</v>
      </c>
      <c r="C3124" s="3">
        <v>0.20100000000000001</v>
      </c>
      <c r="D3124" s="4" t="s">
        <v>389</v>
      </c>
      <c r="E3124" s="4" t="s">
        <v>191</v>
      </c>
    </row>
    <row r="3125" spans="1:5" hidden="1" x14ac:dyDescent="0.15">
      <c r="A3125" s="1" t="s">
        <v>57</v>
      </c>
      <c r="B3125" s="2">
        <v>954700</v>
      </c>
      <c r="C3125" s="3">
        <v>9.1999999999999998E-2</v>
      </c>
      <c r="D3125" s="4" t="s">
        <v>389</v>
      </c>
      <c r="E3125" s="4" t="s">
        <v>191</v>
      </c>
    </row>
    <row r="3126" spans="1:5" hidden="1" x14ac:dyDescent="0.15">
      <c r="A3126" s="1" t="s">
        <v>58</v>
      </c>
      <c r="B3126" s="2">
        <v>973848</v>
      </c>
      <c r="C3126" s="3">
        <v>9.4E-2</v>
      </c>
      <c r="D3126" s="4" t="s">
        <v>389</v>
      </c>
      <c r="E3126" s="4" t="s">
        <v>191</v>
      </c>
    </row>
    <row r="3127" spans="1:5" hidden="1" x14ac:dyDescent="0.15">
      <c r="A3127" s="1" t="s">
        <v>59</v>
      </c>
      <c r="B3127" s="2">
        <v>5246175</v>
      </c>
      <c r="C3127" s="3">
        <v>0.505</v>
      </c>
      <c r="D3127" s="4" t="s">
        <v>389</v>
      </c>
      <c r="E3127" s="4" t="s">
        <v>191</v>
      </c>
    </row>
    <row r="3128" spans="1:5" hidden="1" x14ac:dyDescent="0.15">
      <c r="A3128" s="1" t="s">
        <v>60</v>
      </c>
      <c r="B3128" s="2">
        <v>1972609</v>
      </c>
      <c r="C3128" s="3">
        <v>0.19</v>
      </c>
      <c r="D3128" s="4" t="s">
        <v>389</v>
      </c>
      <c r="E3128" s="4" t="s">
        <v>191</v>
      </c>
    </row>
    <row r="3129" spans="1:5" ht="26" hidden="1" x14ac:dyDescent="0.15">
      <c r="A3129" s="1" t="s">
        <v>61</v>
      </c>
      <c r="B3129" s="2">
        <v>2378769</v>
      </c>
      <c r="C3129" s="3">
        <v>0.22899999999999998</v>
      </c>
      <c r="D3129" s="4" t="s">
        <v>389</v>
      </c>
      <c r="E3129" s="4" t="s">
        <v>191</v>
      </c>
    </row>
    <row r="3130" spans="1:5" hidden="1" x14ac:dyDescent="0.15">
      <c r="A3130" s="1" t="s">
        <v>62</v>
      </c>
      <c r="B3130" s="2">
        <v>925171</v>
      </c>
      <c r="C3130" s="3">
        <v>8.900000000000001E-2</v>
      </c>
      <c r="D3130" s="4" t="s">
        <v>389</v>
      </c>
      <c r="E3130" s="4" t="s">
        <v>191</v>
      </c>
    </row>
    <row r="3131" spans="1:5" ht="26" hidden="1" x14ac:dyDescent="0.15">
      <c r="A3131" s="1" t="s">
        <v>63</v>
      </c>
      <c r="B3131" s="2">
        <v>1254706</v>
      </c>
      <c r="C3131" s="3">
        <v>0.121</v>
      </c>
      <c r="D3131" s="4" t="s">
        <v>389</v>
      </c>
      <c r="E3131" s="4" t="s">
        <v>191</v>
      </c>
    </row>
    <row r="3132" spans="1:5" ht="26" hidden="1" x14ac:dyDescent="0.15">
      <c r="A3132" s="1" t="s">
        <v>64</v>
      </c>
      <c r="B3132" s="2">
        <v>539133</v>
      </c>
      <c r="C3132" s="3">
        <v>5.2000000000000005E-2</v>
      </c>
      <c r="D3132" s="4" t="s">
        <v>389</v>
      </c>
      <c r="E3132" s="4" t="s">
        <v>191</v>
      </c>
    </row>
    <row r="3133" spans="1:5" hidden="1" x14ac:dyDescent="0.15">
      <c r="A3133" s="1" t="s">
        <v>65</v>
      </c>
      <c r="B3133" s="2">
        <v>794193</v>
      </c>
      <c r="C3133" s="3">
        <v>7.5999999999999998E-2</v>
      </c>
      <c r="D3133" s="4" t="s">
        <v>389</v>
      </c>
      <c r="E3133" s="4" t="s">
        <v>191</v>
      </c>
    </row>
    <row r="3134" spans="1:5" hidden="1" x14ac:dyDescent="0.15">
      <c r="A3134" s="1" t="s">
        <v>66</v>
      </c>
      <c r="B3134" s="2">
        <v>580472</v>
      </c>
      <c r="C3134" s="3">
        <v>5.5999999999999994E-2</v>
      </c>
      <c r="D3134" s="4" t="s">
        <v>389</v>
      </c>
      <c r="E3134" s="4" t="s">
        <v>191</v>
      </c>
    </row>
    <row r="3135" spans="1:5" hidden="1" x14ac:dyDescent="0.15">
      <c r="A3135" s="1" t="s">
        <v>67</v>
      </c>
      <c r="B3135" s="2">
        <v>1603706</v>
      </c>
      <c r="C3135" s="3">
        <v>0.154</v>
      </c>
      <c r="D3135" s="4" t="s">
        <v>389</v>
      </c>
      <c r="E3135" s="4" t="s">
        <v>191</v>
      </c>
    </row>
    <row r="3136" spans="1:5" hidden="1" x14ac:dyDescent="0.15">
      <c r="A3136" s="1" t="s">
        <v>68</v>
      </c>
      <c r="B3136" s="2">
        <v>3605868</v>
      </c>
      <c r="C3136" s="3">
        <v>0.34700000000000003</v>
      </c>
      <c r="D3136" s="4" t="s">
        <v>389</v>
      </c>
      <c r="E3136" s="4" t="s">
        <v>191</v>
      </c>
    </row>
    <row r="3137" spans="1:5" hidden="1" x14ac:dyDescent="0.15">
      <c r="A3137" s="1" t="s">
        <v>69</v>
      </c>
      <c r="B3137" s="2">
        <v>5180987</v>
      </c>
      <c r="C3137" s="3">
        <v>0.498</v>
      </c>
      <c r="D3137" s="4" t="s">
        <v>389</v>
      </c>
      <c r="E3137" s="4" t="s">
        <v>191</v>
      </c>
    </row>
    <row r="3138" spans="1:5" hidden="1" x14ac:dyDescent="0.15">
      <c r="A3138" s="1" t="s">
        <v>70</v>
      </c>
      <c r="B3138" s="2">
        <v>2539647</v>
      </c>
      <c r="C3138" s="3">
        <v>0.24399999999999999</v>
      </c>
      <c r="D3138" s="4" t="s">
        <v>389</v>
      </c>
      <c r="E3138" s="4" t="s">
        <v>191</v>
      </c>
    </row>
    <row r="3139" spans="1:5" ht="26" hidden="1" x14ac:dyDescent="0.15">
      <c r="A3139" s="1" t="s">
        <v>71</v>
      </c>
      <c r="B3139" s="2">
        <v>781356</v>
      </c>
      <c r="C3139" s="3">
        <v>7.4999999999999997E-2</v>
      </c>
      <c r="D3139" s="4" t="s">
        <v>389</v>
      </c>
      <c r="E3139" s="4" t="s">
        <v>191</v>
      </c>
    </row>
    <row r="3140" spans="1:5" hidden="1" x14ac:dyDescent="0.15">
      <c r="A3140" s="1" t="s">
        <v>72</v>
      </c>
      <c r="B3140" s="2">
        <v>701732</v>
      </c>
      <c r="C3140" s="3">
        <v>6.7000000000000004E-2</v>
      </c>
      <c r="D3140" s="4" t="s">
        <v>389</v>
      </c>
      <c r="E3140" s="4" t="s">
        <v>191</v>
      </c>
    </row>
    <row r="3141" spans="1:5" hidden="1" x14ac:dyDescent="0.15">
      <c r="A3141" s="1" t="s">
        <v>73</v>
      </c>
      <c r="B3141" s="2">
        <v>5733459</v>
      </c>
      <c r="C3141" s="3">
        <v>0.55100000000000005</v>
      </c>
      <c r="D3141" s="4" t="s">
        <v>389</v>
      </c>
      <c r="E3141" s="4" t="s">
        <v>191</v>
      </c>
    </row>
    <row r="3142" spans="1:5" hidden="1" x14ac:dyDescent="0.15">
      <c r="A3142" s="1" t="s">
        <v>74</v>
      </c>
      <c r="B3142" s="2">
        <v>2173048</v>
      </c>
      <c r="C3142" s="3">
        <v>0.20899999999999999</v>
      </c>
      <c r="D3142" s="4" t="s">
        <v>389</v>
      </c>
      <c r="E3142" s="4" t="s">
        <v>191</v>
      </c>
    </row>
    <row r="3143" spans="1:5" hidden="1" x14ac:dyDescent="0.15">
      <c r="A3143" s="1" t="s">
        <v>75</v>
      </c>
      <c r="B3143" s="2">
        <v>2405635</v>
      </c>
      <c r="C3143" s="3">
        <v>0.23100000000000001</v>
      </c>
      <c r="D3143" s="4" t="s">
        <v>389</v>
      </c>
      <c r="E3143" s="4" t="s">
        <v>191</v>
      </c>
    </row>
    <row r="3144" spans="1:5" hidden="1" x14ac:dyDescent="0.15">
      <c r="A3144" s="1" t="s">
        <v>76</v>
      </c>
      <c r="B3144" s="2">
        <v>677746</v>
      </c>
      <c r="C3144" s="3">
        <v>6.5000000000000002E-2</v>
      </c>
      <c r="D3144" s="4" t="s">
        <v>389</v>
      </c>
      <c r="E3144" s="4" t="s">
        <v>191</v>
      </c>
    </row>
    <row r="3145" spans="1:5" hidden="1" x14ac:dyDescent="0.15">
      <c r="A3145" s="1" t="s">
        <v>77</v>
      </c>
      <c r="B3145" s="2">
        <v>533800</v>
      </c>
      <c r="C3145" s="3">
        <v>5.0999999999999997E-2</v>
      </c>
      <c r="D3145" s="4" t="s">
        <v>389</v>
      </c>
      <c r="E3145" s="4" t="s">
        <v>191</v>
      </c>
    </row>
    <row r="3146" spans="1:5" ht="26" hidden="1" x14ac:dyDescent="0.15">
      <c r="A3146" s="1" t="s">
        <v>78</v>
      </c>
      <c r="B3146" s="2">
        <v>658206</v>
      </c>
      <c r="C3146" s="3">
        <v>6.3E-2</v>
      </c>
      <c r="D3146" s="4" t="s">
        <v>389</v>
      </c>
      <c r="E3146" s="4" t="s">
        <v>191</v>
      </c>
    </row>
    <row r="3147" spans="1:5" hidden="1" x14ac:dyDescent="0.15">
      <c r="A3147" s="1" t="s">
        <v>79</v>
      </c>
      <c r="B3147" s="2">
        <v>1364609</v>
      </c>
      <c r="C3147" s="3">
        <v>0.13100000000000001</v>
      </c>
      <c r="D3147" s="4" t="s">
        <v>389</v>
      </c>
      <c r="E3147" s="4" t="s">
        <v>191</v>
      </c>
    </row>
    <row r="3148" spans="1:5" hidden="1" x14ac:dyDescent="0.15">
      <c r="A3148" s="1" t="s">
        <v>80</v>
      </c>
      <c r="B3148" s="2">
        <v>1301803</v>
      </c>
      <c r="C3148" s="3">
        <v>0.125</v>
      </c>
      <c r="D3148" s="4" t="s">
        <v>389</v>
      </c>
      <c r="E3148" s="4" t="s">
        <v>191</v>
      </c>
    </row>
    <row r="3149" spans="1:5" ht="26" hidden="1" x14ac:dyDescent="0.15">
      <c r="A3149" s="1" t="s">
        <v>81</v>
      </c>
      <c r="B3149" s="2">
        <v>2368969</v>
      </c>
      <c r="C3149" s="3">
        <v>0.22800000000000001</v>
      </c>
      <c r="D3149" s="4" t="s">
        <v>389</v>
      </c>
      <c r="E3149" s="4" t="s">
        <v>191</v>
      </c>
    </row>
    <row r="3150" spans="1:5" hidden="1" x14ac:dyDescent="0.15">
      <c r="A3150" s="1" t="s">
        <v>82</v>
      </c>
      <c r="B3150" s="2">
        <v>1328467</v>
      </c>
      <c r="C3150" s="3">
        <v>0.128</v>
      </c>
      <c r="D3150" s="4" t="s">
        <v>389</v>
      </c>
      <c r="E3150" s="4" t="s">
        <v>191</v>
      </c>
    </row>
    <row r="3151" spans="1:5" hidden="1" x14ac:dyDescent="0.15">
      <c r="A3151" s="4"/>
      <c r="B3151" s="4"/>
      <c r="C3151" s="4"/>
      <c r="D3151" s="4" t="s">
        <v>389</v>
      </c>
      <c r="E3151" s="4" t="s">
        <v>191</v>
      </c>
    </row>
    <row r="3152" spans="1:5" hidden="1" x14ac:dyDescent="0.15">
      <c r="A3152" s="5"/>
      <c r="B3152" s="5"/>
      <c r="C3152" s="5"/>
      <c r="D3152" s="4" t="s">
        <v>389</v>
      </c>
      <c r="E3152" s="4" t="s">
        <v>191</v>
      </c>
    </row>
    <row r="3153" spans="1:5" hidden="1" x14ac:dyDescent="0.15">
      <c r="A3153" s="1" t="s">
        <v>193</v>
      </c>
      <c r="B3153" s="2">
        <v>3544244</v>
      </c>
      <c r="C3153" s="3">
        <v>0.34100000000000003</v>
      </c>
      <c r="D3153" s="4" t="s">
        <v>389</v>
      </c>
      <c r="E3153" s="4" t="s">
        <v>191</v>
      </c>
    </row>
    <row r="3154" spans="1:5" ht="26" hidden="1" x14ac:dyDescent="0.15">
      <c r="A3154" s="1" t="s">
        <v>192</v>
      </c>
      <c r="B3154" s="2">
        <v>4705674</v>
      </c>
      <c r="C3154" s="3">
        <v>0.45299999999999996</v>
      </c>
      <c r="D3154" s="4" t="s">
        <v>389</v>
      </c>
      <c r="E3154" s="4" t="s">
        <v>191</v>
      </c>
    </row>
    <row r="3155" spans="1:5" hidden="1" x14ac:dyDescent="0.15">
      <c r="A3155" s="4"/>
      <c r="B3155" s="4"/>
      <c r="C3155" s="4"/>
      <c r="D3155" s="4" t="s">
        <v>389</v>
      </c>
      <c r="E3155" s="4" t="s">
        <v>191</v>
      </c>
    </row>
    <row r="3156" spans="1:5" hidden="1" x14ac:dyDescent="0.15">
      <c r="A3156" s="5"/>
      <c r="B3156" s="5"/>
      <c r="C3156" s="5"/>
      <c r="D3156" s="4" t="s">
        <v>389</v>
      </c>
      <c r="E3156" s="4" t="s">
        <v>191</v>
      </c>
    </row>
    <row r="3157" spans="1:5" ht="26" hidden="1" x14ac:dyDescent="0.15">
      <c r="A3157" s="1" t="s">
        <v>390</v>
      </c>
      <c r="B3157" s="2">
        <v>587368</v>
      </c>
      <c r="C3157" s="3">
        <v>5.5999999999999994E-2</v>
      </c>
      <c r="D3157" s="4" t="s">
        <v>389</v>
      </c>
      <c r="E3157" s="4" t="s">
        <v>191</v>
      </c>
    </row>
    <row r="3158" spans="1:5" hidden="1" x14ac:dyDescent="0.15">
      <c r="A3158" s="4"/>
      <c r="B3158" s="4"/>
      <c r="C3158" s="4"/>
      <c r="D3158" s="4" t="s">
        <v>389</v>
      </c>
      <c r="E3158" s="4" t="s">
        <v>191</v>
      </c>
    </row>
    <row r="3159" spans="1:5" hidden="1" x14ac:dyDescent="0.15">
      <c r="A3159" s="5"/>
      <c r="B3159" s="5"/>
      <c r="C3159" s="5"/>
      <c r="D3159" s="4" t="s">
        <v>389</v>
      </c>
      <c r="E3159" s="4" t="s">
        <v>191</v>
      </c>
    </row>
    <row r="3160" spans="1:5" ht="26" hidden="1" x14ac:dyDescent="0.15">
      <c r="A3160" s="1" t="s">
        <v>196</v>
      </c>
      <c r="B3160" s="2">
        <v>2705092</v>
      </c>
      <c r="C3160" s="3">
        <v>0.26</v>
      </c>
      <c r="D3160" s="4" t="s">
        <v>389</v>
      </c>
      <c r="E3160" s="4" t="s">
        <v>191</v>
      </c>
    </row>
    <row r="3161" spans="1:5" hidden="1" x14ac:dyDescent="0.15">
      <c r="A3161" s="4"/>
      <c r="B3161" s="4"/>
      <c r="C3161" s="4"/>
      <c r="D3161" s="4" t="s">
        <v>389</v>
      </c>
      <c r="E3161" s="4" t="s">
        <v>191</v>
      </c>
    </row>
    <row r="3162" spans="1:5" hidden="1" x14ac:dyDescent="0.15">
      <c r="A3162" s="5"/>
      <c r="B3162" s="5"/>
      <c r="C3162" s="5"/>
      <c r="D3162" s="4" t="s">
        <v>389</v>
      </c>
      <c r="E3162" s="4" t="s">
        <v>191</v>
      </c>
    </row>
    <row r="3163" spans="1:5" ht="26" hidden="1" x14ac:dyDescent="0.15">
      <c r="A3163" s="1" t="s">
        <v>197</v>
      </c>
      <c r="B3163" s="2">
        <v>4269511</v>
      </c>
      <c r="C3163" s="3">
        <v>0.41100000000000003</v>
      </c>
      <c r="D3163" s="4" t="s">
        <v>389</v>
      </c>
      <c r="E3163" s="4" t="s">
        <v>191</v>
      </c>
    </row>
    <row r="3164" spans="1:5" hidden="1" x14ac:dyDescent="0.15">
      <c r="A3164" s="1" t="s">
        <v>198</v>
      </c>
      <c r="B3164" s="2">
        <v>3535375</v>
      </c>
      <c r="C3164" s="3">
        <v>0.34</v>
      </c>
      <c r="D3164" s="4" t="s">
        <v>389</v>
      </c>
      <c r="E3164" s="4" t="s">
        <v>191</v>
      </c>
    </row>
    <row r="3165" spans="1:5" hidden="1" x14ac:dyDescent="0.15">
      <c r="A3165" s="4"/>
      <c r="B3165" s="4"/>
      <c r="C3165" s="4"/>
      <c r="D3165" s="4" t="s">
        <v>389</v>
      </c>
      <c r="E3165" s="4" t="s">
        <v>191</v>
      </c>
    </row>
    <row r="3166" spans="1:5" hidden="1" x14ac:dyDescent="0.15">
      <c r="A3166" s="5"/>
      <c r="B3166" s="5"/>
      <c r="C3166" s="5"/>
      <c r="D3166" s="4" t="s">
        <v>389</v>
      </c>
      <c r="E3166" s="4" t="s">
        <v>191</v>
      </c>
    </row>
    <row r="3167" spans="1:5" ht="26" hidden="1" x14ac:dyDescent="0.15">
      <c r="A3167" s="1" t="s">
        <v>391</v>
      </c>
      <c r="B3167" s="2">
        <v>805319</v>
      </c>
      <c r="C3167" s="3">
        <v>7.6999999999999999E-2</v>
      </c>
      <c r="D3167" s="4" t="s">
        <v>389</v>
      </c>
      <c r="E3167" s="4" t="s">
        <v>191</v>
      </c>
    </row>
    <row r="3168" spans="1:5" ht="26" hidden="1" x14ac:dyDescent="0.15">
      <c r="A3168" s="1" t="s">
        <v>392</v>
      </c>
      <c r="B3168" s="2">
        <v>796333</v>
      </c>
      <c r="C3168" s="3">
        <v>7.6999999999999999E-2</v>
      </c>
      <c r="D3168" s="4" t="s">
        <v>389</v>
      </c>
      <c r="E3168" s="4" t="s">
        <v>191</v>
      </c>
    </row>
    <row r="3169" spans="1:5" ht="26" hidden="1" x14ac:dyDescent="0.15">
      <c r="A3169" s="1" t="s">
        <v>393</v>
      </c>
      <c r="B3169" s="2">
        <v>1438380</v>
      </c>
      <c r="C3169" s="3">
        <v>0.13800000000000001</v>
      </c>
      <c r="D3169" s="4" t="s">
        <v>389</v>
      </c>
      <c r="E3169" s="4" t="s">
        <v>191</v>
      </c>
    </row>
    <row r="3170" spans="1:5" hidden="1" x14ac:dyDescent="0.15">
      <c r="A3170" s="4"/>
      <c r="B3170" s="4"/>
      <c r="C3170" s="4"/>
      <c r="D3170" s="4" t="s">
        <v>389</v>
      </c>
      <c r="E3170" s="4" t="s">
        <v>191</v>
      </c>
    </row>
    <row r="3171" spans="1:5" hidden="1" x14ac:dyDescent="0.15">
      <c r="A3171" s="5" t="s">
        <v>394</v>
      </c>
      <c r="B3171" s="5"/>
      <c r="C3171" s="5"/>
      <c r="D3171" s="4" t="s">
        <v>389</v>
      </c>
      <c r="E3171" s="4" t="s">
        <v>191</v>
      </c>
    </row>
    <row r="3172" spans="1:5" ht="78" hidden="1" x14ac:dyDescent="0.15">
      <c r="A3172" s="1" t="s">
        <v>395</v>
      </c>
      <c r="B3172" s="2">
        <v>490074</v>
      </c>
      <c r="C3172" s="3">
        <v>4.7E-2</v>
      </c>
      <c r="D3172" s="4" t="s">
        <v>389</v>
      </c>
      <c r="E3172" s="4" t="s">
        <v>191</v>
      </c>
    </row>
    <row r="3173" spans="1:5" hidden="1" x14ac:dyDescent="0.15">
      <c r="A3173" s="4"/>
      <c r="B3173" s="4"/>
      <c r="C3173" s="4"/>
      <c r="D3173" s="4" t="s">
        <v>389</v>
      </c>
      <c r="E3173" s="4" t="s">
        <v>191</v>
      </c>
    </row>
    <row r="3174" spans="1:5" hidden="1" x14ac:dyDescent="0.15">
      <c r="A3174" s="5"/>
      <c r="B3174" s="5"/>
      <c r="C3174" s="5"/>
      <c r="D3174" s="4" t="s">
        <v>389</v>
      </c>
      <c r="E3174" s="4" t="s">
        <v>191</v>
      </c>
    </row>
    <row r="3175" spans="1:5" hidden="1" x14ac:dyDescent="0.15">
      <c r="A3175" s="1" t="s">
        <v>396</v>
      </c>
      <c r="B3175" s="2">
        <v>1441791</v>
      </c>
      <c r="C3175" s="3">
        <v>0.13900000000000001</v>
      </c>
      <c r="D3175" s="4" t="s">
        <v>389</v>
      </c>
      <c r="E3175" s="4" t="s">
        <v>191</v>
      </c>
    </row>
    <row r="3176" spans="1:5" hidden="1" x14ac:dyDescent="0.15">
      <c r="A3176" s="4"/>
      <c r="B3176" s="4"/>
      <c r="C3176" s="4"/>
      <c r="D3176" s="4" t="s">
        <v>389</v>
      </c>
      <c r="E3176" s="4" t="s">
        <v>191</v>
      </c>
    </row>
    <row r="3177" spans="1:5" hidden="1" x14ac:dyDescent="0.15">
      <c r="A3177" s="5" t="s">
        <v>397</v>
      </c>
      <c r="B3177" s="5"/>
      <c r="C3177" s="5"/>
      <c r="D3177" s="4" t="s">
        <v>389</v>
      </c>
      <c r="E3177" s="4" t="s">
        <v>191</v>
      </c>
    </row>
    <row r="3178" spans="1:5" ht="26" hidden="1" x14ac:dyDescent="0.15">
      <c r="A3178" s="1" t="s">
        <v>398</v>
      </c>
      <c r="B3178" s="2">
        <v>604972</v>
      </c>
      <c r="C3178" s="3">
        <v>5.7999999999999996E-2</v>
      </c>
      <c r="D3178" s="4" t="s">
        <v>389</v>
      </c>
      <c r="E3178" s="4" t="s">
        <v>191</v>
      </c>
    </row>
    <row r="3179" spans="1:5" ht="26" hidden="1" x14ac:dyDescent="0.15">
      <c r="A3179" s="1" t="s">
        <v>399</v>
      </c>
      <c r="B3179" s="2">
        <v>289131</v>
      </c>
      <c r="C3179" s="3">
        <v>2.7999999999999997E-2</v>
      </c>
      <c r="D3179" s="4" t="s">
        <v>389</v>
      </c>
      <c r="E3179" s="4" t="s">
        <v>191</v>
      </c>
    </row>
    <row r="3180" spans="1:5" ht="39" hidden="1" x14ac:dyDescent="0.15">
      <c r="A3180" s="1" t="s">
        <v>400</v>
      </c>
      <c r="B3180" s="2">
        <v>348354</v>
      </c>
      <c r="C3180" s="3">
        <v>3.4000000000000002E-2</v>
      </c>
      <c r="D3180" s="4" t="s">
        <v>389</v>
      </c>
      <c r="E3180" s="4" t="s">
        <v>191</v>
      </c>
    </row>
    <row r="3181" spans="1:5" ht="26" hidden="1" x14ac:dyDescent="0.15">
      <c r="A3181" s="1" t="s">
        <v>401</v>
      </c>
      <c r="B3181" s="2">
        <v>378471</v>
      </c>
      <c r="C3181" s="3">
        <v>3.6000000000000004E-2</v>
      </c>
      <c r="D3181" s="4" t="s">
        <v>389</v>
      </c>
      <c r="E3181" s="4" t="s">
        <v>191</v>
      </c>
    </row>
    <row r="3182" spans="1:5" hidden="1" x14ac:dyDescent="0.15">
      <c r="A3182" s="1" t="s">
        <v>0</v>
      </c>
      <c r="B3182" s="2">
        <v>55918</v>
      </c>
      <c r="C3182" s="3">
        <v>1</v>
      </c>
      <c r="D3182" s="4" t="s">
        <v>389</v>
      </c>
      <c r="E3182" s="4" t="s">
        <v>2</v>
      </c>
    </row>
    <row r="3183" spans="1:5" ht="26" hidden="1" x14ac:dyDescent="0.15">
      <c r="A3183" s="1" t="s">
        <v>3</v>
      </c>
      <c r="B3183" s="2">
        <v>0</v>
      </c>
      <c r="C3183" s="3">
        <v>0</v>
      </c>
      <c r="D3183" s="4" t="s">
        <v>389</v>
      </c>
      <c r="E3183" s="4" t="s">
        <v>2</v>
      </c>
    </row>
    <row r="3184" spans="1:5" hidden="1" x14ac:dyDescent="0.15">
      <c r="A3184" s="1" t="s">
        <v>4</v>
      </c>
      <c r="B3184" s="2">
        <v>0</v>
      </c>
      <c r="C3184" s="3">
        <v>0</v>
      </c>
      <c r="D3184" s="4" t="s">
        <v>389</v>
      </c>
      <c r="E3184" s="4" t="s">
        <v>2</v>
      </c>
    </row>
    <row r="3185" spans="1:5" ht="26" hidden="1" x14ac:dyDescent="0.15">
      <c r="A3185" s="1" t="s">
        <v>5</v>
      </c>
      <c r="B3185" s="2">
        <v>2522</v>
      </c>
      <c r="C3185" s="3">
        <v>4.4999999999999998E-2</v>
      </c>
      <c r="D3185" s="4" t="s">
        <v>389</v>
      </c>
      <c r="E3185" s="4" t="s">
        <v>2</v>
      </c>
    </row>
    <row r="3186" spans="1:5" ht="26" hidden="1" x14ac:dyDescent="0.15">
      <c r="A3186" s="1" t="s">
        <v>6</v>
      </c>
      <c r="B3186" s="2">
        <v>2522</v>
      </c>
      <c r="C3186" s="3">
        <v>4.4999999999999998E-2</v>
      </c>
      <c r="D3186" s="4" t="s">
        <v>389</v>
      </c>
      <c r="E3186" s="4" t="s">
        <v>2</v>
      </c>
    </row>
    <row r="3187" spans="1:5" ht="26" hidden="1" x14ac:dyDescent="0.15">
      <c r="A3187" s="1" t="s">
        <v>7</v>
      </c>
      <c r="B3187" s="2">
        <v>10888</v>
      </c>
      <c r="C3187" s="3">
        <v>0.19500000000000001</v>
      </c>
      <c r="D3187" s="4" t="s">
        <v>389</v>
      </c>
      <c r="E3187" s="4" t="s">
        <v>2</v>
      </c>
    </row>
    <row r="3188" spans="1:5" ht="26" hidden="1" x14ac:dyDescent="0.15">
      <c r="A3188" s="1" t="s">
        <v>8</v>
      </c>
      <c r="B3188" s="2">
        <v>4536</v>
      </c>
      <c r="C3188" s="3">
        <v>8.1000000000000003E-2</v>
      </c>
      <c r="D3188" s="4" t="s">
        <v>389</v>
      </c>
      <c r="E3188" s="4" t="s">
        <v>2</v>
      </c>
    </row>
    <row r="3189" spans="1:5" ht="26" hidden="1" x14ac:dyDescent="0.15">
      <c r="A3189" s="1" t="s">
        <v>9</v>
      </c>
      <c r="B3189" s="2">
        <v>1604</v>
      </c>
      <c r="C3189" s="3">
        <v>2.8999999999999998E-2</v>
      </c>
      <c r="D3189" s="4" t="s">
        <v>389</v>
      </c>
      <c r="E3189" s="4" t="s">
        <v>2</v>
      </c>
    </row>
    <row r="3190" spans="1:5" ht="26" hidden="1" x14ac:dyDescent="0.15">
      <c r="A3190" s="1" t="s">
        <v>10</v>
      </c>
      <c r="B3190" s="2">
        <v>2633</v>
      </c>
      <c r="C3190" s="3">
        <v>4.7E-2</v>
      </c>
      <c r="D3190" s="4" t="s">
        <v>389</v>
      </c>
      <c r="E3190" s="4" t="s">
        <v>2</v>
      </c>
    </row>
    <row r="3191" spans="1:5" ht="26" hidden="1" x14ac:dyDescent="0.15">
      <c r="A3191" s="1" t="s">
        <v>11</v>
      </c>
      <c r="B3191" s="2">
        <v>8522</v>
      </c>
      <c r="C3191" s="3">
        <v>0.152</v>
      </c>
      <c r="D3191" s="4" t="s">
        <v>389</v>
      </c>
      <c r="E3191" s="4" t="s">
        <v>2</v>
      </c>
    </row>
    <row r="3192" spans="1:5" ht="26" hidden="1" x14ac:dyDescent="0.15">
      <c r="A3192" s="1" t="s">
        <v>12</v>
      </c>
      <c r="B3192" s="2">
        <v>0</v>
      </c>
      <c r="C3192" s="3">
        <v>0</v>
      </c>
      <c r="D3192" s="4" t="s">
        <v>389</v>
      </c>
      <c r="E3192" s="4" t="s">
        <v>2</v>
      </c>
    </row>
    <row r="3193" spans="1:5" ht="26" hidden="1" x14ac:dyDescent="0.15">
      <c r="A3193" s="1" t="s">
        <v>13</v>
      </c>
      <c r="B3193" s="2">
        <v>0</v>
      </c>
      <c r="C3193" s="3">
        <v>0</v>
      </c>
      <c r="D3193" s="4" t="s">
        <v>389</v>
      </c>
      <c r="E3193" s="4" t="s">
        <v>2</v>
      </c>
    </row>
    <row r="3194" spans="1:5" hidden="1" x14ac:dyDescent="0.15">
      <c r="A3194" s="1" t="s">
        <v>14</v>
      </c>
      <c r="B3194" s="2">
        <v>10108</v>
      </c>
      <c r="C3194" s="3">
        <v>0.18100000000000002</v>
      </c>
      <c r="D3194" s="4" t="s">
        <v>389</v>
      </c>
      <c r="E3194" s="4" t="s">
        <v>2</v>
      </c>
    </row>
    <row r="3195" spans="1:5" ht="26" hidden="1" x14ac:dyDescent="0.15">
      <c r="A3195" s="1" t="s">
        <v>15</v>
      </c>
      <c r="B3195" s="2">
        <v>3553</v>
      </c>
      <c r="C3195" s="3">
        <v>6.4000000000000001E-2</v>
      </c>
      <c r="D3195" s="4" t="s">
        <v>389</v>
      </c>
      <c r="E3195" s="4" t="s">
        <v>2</v>
      </c>
    </row>
    <row r="3196" spans="1:5" ht="26" hidden="1" x14ac:dyDescent="0.15">
      <c r="A3196" s="1" t="s">
        <v>16</v>
      </c>
      <c r="B3196" s="2">
        <v>4126</v>
      </c>
      <c r="C3196" s="3">
        <v>7.400000000000001E-2</v>
      </c>
      <c r="D3196" s="4" t="s">
        <v>389</v>
      </c>
      <c r="E3196" s="4" t="s">
        <v>2</v>
      </c>
    </row>
    <row r="3197" spans="1:5" ht="26" hidden="1" x14ac:dyDescent="0.15">
      <c r="A3197" s="1" t="s">
        <v>17</v>
      </c>
      <c r="B3197" s="2">
        <v>3637</v>
      </c>
      <c r="C3197" s="3">
        <v>6.5000000000000002E-2</v>
      </c>
      <c r="D3197" s="4" t="s">
        <v>389</v>
      </c>
      <c r="E3197" s="4" t="s">
        <v>2</v>
      </c>
    </row>
    <row r="3198" spans="1:5" hidden="1" x14ac:dyDescent="0.15">
      <c r="A3198" s="1" t="s">
        <v>18</v>
      </c>
      <c r="B3198" s="2">
        <v>2096</v>
      </c>
      <c r="C3198" s="3">
        <v>3.7000000000000005E-2</v>
      </c>
      <c r="D3198" s="4" t="s">
        <v>389</v>
      </c>
      <c r="E3198" s="4" t="s">
        <v>2</v>
      </c>
    </row>
    <row r="3199" spans="1:5" hidden="1" x14ac:dyDescent="0.15">
      <c r="A3199" s="1" t="s">
        <v>19</v>
      </c>
      <c r="B3199" s="2">
        <v>12336</v>
      </c>
      <c r="C3199" s="3">
        <v>0.221</v>
      </c>
      <c r="D3199" s="4" t="s">
        <v>389</v>
      </c>
      <c r="E3199" s="4" t="s">
        <v>2</v>
      </c>
    </row>
    <row r="3200" spans="1:5" hidden="1" x14ac:dyDescent="0.15">
      <c r="A3200" s="1" t="s">
        <v>20</v>
      </c>
      <c r="B3200" s="2">
        <v>0</v>
      </c>
      <c r="C3200" s="3">
        <v>0</v>
      </c>
      <c r="D3200" s="4" t="s">
        <v>389</v>
      </c>
      <c r="E3200" s="4" t="s">
        <v>2</v>
      </c>
    </row>
    <row r="3201" spans="1:5" ht="26" hidden="1" x14ac:dyDescent="0.15">
      <c r="A3201" s="1" t="s">
        <v>21</v>
      </c>
      <c r="B3201" s="2">
        <v>4126</v>
      </c>
      <c r="C3201" s="3">
        <v>7.400000000000001E-2</v>
      </c>
      <c r="D3201" s="4" t="s">
        <v>389</v>
      </c>
      <c r="E3201" s="4" t="s">
        <v>2</v>
      </c>
    </row>
    <row r="3202" spans="1:5" ht="26" hidden="1" x14ac:dyDescent="0.15">
      <c r="A3202" s="1" t="s">
        <v>22</v>
      </c>
      <c r="B3202" s="2">
        <v>0</v>
      </c>
      <c r="C3202" s="3">
        <v>0</v>
      </c>
      <c r="D3202" s="4" t="s">
        <v>389</v>
      </c>
      <c r="E3202" s="4" t="s">
        <v>2</v>
      </c>
    </row>
    <row r="3203" spans="1:5" ht="26" hidden="1" x14ac:dyDescent="0.15">
      <c r="A3203" s="1" t="s">
        <v>23</v>
      </c>
      <c r="B3203" s="2">
        <v>0</v>
      </c>
      <c r="C3203" s="3">
        <v>0</v>
      </c>
      <c r="D3203" s="4" t="s">
        <v>389</v>
      </c>
      <c r="E3203" s="4" t="s">
        <v>2</v>
      </c>
    </row>
    <row r="3204" spans="1:5" ht="26" hidden="1" x14ac:dyDescent="0.15">
      <c r="A3204" s="1" t="s">
        <v>24</v>
      </c>
      <c r="B3204" s="2">
        <v>0</v>
      </c>
      <c r="C3204" s="3">
        <v>0</v>
      </c>
      <c r="D3204" s="4" t="s">
        <v>389</v>
      </c>
      <c r="E3204" s="4" t="s">
        <v>2</v>
      </c>
    </row>
    <row r="3205" spans="1:5" ht="26" hidden="1" x14ac:dyDescent="0.15">
      <c r="A3205" s="1" t="s">
        <v>25</v>
      </c>
      <c r="B3205" s="2">
        <v>0</v>
      </c>
      <c r="C3205" s="3">
        <v>0</v>
      </c>
      <c r="D3205" s="4" t="s">
        <v>389</v>
      </c>
      <c r="E3205" s="4" t="s">
        <v>2</v>
      </c>
    </row>
    <row r="3206" spans="1:5" hidden="1" x14ac:dyDescent="0.15">
      <c r="A3206" s="1" t="s">
        <v>26</v>
      </c>
      <c r="B3206" s="2">
        <v>0</v>
      </c>
      <c r="C3206" s="3">
        <v>0</v>
      </c>
      <c r="D3206" s="4" t="s">
        <v>389</v>
      </c>
      <c r="E3206" s="4" t="s">
        <v>2</v>
      </c>
    </row>
    <row r="3207" spans="1:5" hidden="1" x14ac:dyDescent="0.15">
      <c r="A3207" s="1" t="s">
        <v>27</v>
      </c>
      <c r="B3207" s="2">
        <v>10246</v>
      </c>
      <c r="C3207" s="3">
        <v>0.183</v>
      </c>
      <c r="D3207" s="4" t="s">
        <v>389</v>
      </c>
      <c r="E3207" s="4" t="s">
        <v>2</v>
      </c>
    </row>
    <row r="3208" spans="1:5" hidden="1" x14ac:dyDescent="0.15">
      <c r="A3208" s="1" t="s">
        <v>28</v>
      </c>
      <c r="B3208" s="2">
        <v>2522</v>
      </c>
      <c r="C3208" s="3">
        <v>4.4999999999999998E-2</v>
      </c>
      <c r="D3208" s="4" t="s">
        <v>389</v>
      </c>
      <c r="E3208" s="4" t="s">
        <v>2</v>
      </c>
    </row>
    <row r="3209" spans="1:5" hidden="1" x14ac:dyDescent="0.15">
      <c r="A3209" s="1" t="s">
        <v>29</v>
      </c>
      <c r="B3209" s="2">
        <v>21536</v>
      </c>
      <c r="C3209" s="3">
        <v>0.38500000000000001</v>
      </c>
      <c r="D3209" s="4" t="s">
        <v>389</v>
      </c>
      <c r="E3209" s="4" t="s">
        <v>2</v>
      </c>
    </row>
    <row r="3210" spans="1:5" hidden="1" x14ac:dyDescent="0.15">
      <c r="A3210" s="1" t="s">
        <v>30</v>
      </c>
      <c r="B3210" s="2">
        <v>5339</v>
      </c>
      <c r="C3210" s="3">
        <v>9.5000000000000001E-2</v>
      </c>
      <c r="D3210" s="4" t="s">
        <v>389</v>
      </c>
      <c r="E3210" s="4" t="s">
        <v>2</v>
      </c>
    </row>
    <row r="3211" spans="1:5" ht="39" hidden="1" x14ac:dyDescent="0.15">
      <c r="A3211" s="1" t="s">
        <v>31</v>
      </c>
      <c r="B3211" s="2">
        <v>2522</v>
      </c>
      <c r="C3211" s="3">
        <v>4.4999999999999998E-2</v>
      </c>
      <c r="D3211" s="4" t="s">
        <v>389</v>
      </c>
      <c r="E3211" s="4" t="s">
        <v>2</v>
      </c>
    </row>
    <row r="3212" spans="1:5" hidden="1" x14ac:dyDescent="0.15">
      <c r="A3212" s="1" t="s">
        <v>32</v>
      </c>
      <c r="B3212" s="2">
        <v>2171</v>
      </c>
      <c r="C3212" s="3">
        <v>3.9E-2</v>
      </c>
      <c r="D3212" s="4" t="s">
        <v>389</v>
      </c>
      <c r="E3212" s="4" t="s">
        <v>2</v>
      </c>
    </row>
    <row r="3213" spans="1:5" hidden="1" x14ac:dyDescent="0.15">
      <c r="A3213" s="1" t="s">
        <v>33</v>
      </c>
      <c r="B3213" s="2">
        <v>20225</v>
      </c>
      <c r="C3213" s="3">
        <v>0.36200000000000004</v>
      </c>
      <c r="D3213" s="4" t="s">
        <v>389</v>
      </c>
      <c r="E3213" s="4" t="s">
        <v>2</v>
      </c>
    </row>
    <row r="3214" spans="1:5" hidden="1" x14ac:dyDescent="0.15">
      <c r="A3214" s="1" t="s">
        <v>34</v>
      </c>
      <c r="B3214" s="2">
        <v>6352</v>
      </c>
      <c r="C3214" s="3">
        <v>0.114</v>
      </c>
      <c r="D3214" s="4" t="s">
        <v>389</v>
      </c>
      <c r="E3214" s="4" t="s">
        <v>2</v>
      </c>
    </row>
    <row r="3215" spans="1:5" hidden="1" x14ac:dyDescent="0.15">
      <c r="A3215" s="1" t="s">
        <v>35</v>
      </c>
      <c r="B3215" s="2">
        <v>0</v>
      </c>
      <c r="C3215" s="3">
        <v>0</v>
      </c>
      <c r="D3215" s="4" t="s">
        <v>389</v>
      </c>
      <c r="E3215" s="4" t="s">
        <v>2</v>
      </c>
    </row>
    <row r="3216" spans="1:5" ht="26" hidden="1" x14ac:dyDescent="0.15">
      <c r="A3216" s="1" t="s">
        <v>36</v>
      </c>
      <c r="B3216" s="2">
        <v>0</v>
      </c>
      <c r="C3216" s="3">
        <v>0</v>
      </c>
      <c r="D3216" s="4" t="s">
        <v>389</v>
      </c>
      <c r="E3216" s="4" t="s">
        <v>2</v>
      </c>
    </row>
    <row r="3217" spans="1:5" hidden="1" x14ac:dyDescent="0.15">
      <c r="A3217" s="1" t="s">
        <v>37</v>
      </c>
      <c r="B3217" s="2">
        <v>0</v>
      </c>
      <c r="C3217" s="3">
        <v>0</v>
      </c>
      <c r="D3217" s="4" t="s">
        <v>389</v>
      </c>
      <c r="E3217" s="4" t="s">
        <v>2</v>
      </c>
    </row>
    <row r="3218" spans="1:5" ht="39" hidden="1" x14ac:dyDescent="0.15">
      <c r="A3218" s="1" t="s">
        <v>38</v>
      </c>
      <c r="B3218" s="2">
        <v>2633</v>
      </c>
      <c r="C3218" s="3">
        <v>4.7E-2</v>
      </c>
      <c r="D3218" s="4" t="s">
        <v>389</v>
      </c>
      <c r="E3218" s="4" t="s">
        <v>2</v>
      </c>
    </row>
    <row r="3219" spans="1:5" hidden="1" x14ac:dyDescent="0.15">
      <c r="A3219" s="1" t="s">
        <v>39</v>
      </c>
      <c r="B3219" s="2">
        <v>3277</v>
      </c>
      <c r="C3219" s="3">
        <v>5.9000000000000004E-2</v>
      </c>
      <c r="D3219" s="4" t="s">
        <v>389</v>
      </c>
      <c r="E3219" s="4" t="s">
        <v>2</v>
      </c>
    </row>
    <row r="3220" spans="1:5" hidden="1" x14ac:dyDescent="0.15">
      <c r="A3220" s="1" t="s">
        <v>40</v>
      </c>
      <c r="B3220" s="2">
        <v>2522</v>
      </c>
      <c r="C3220" s="3">
        <v>4.4999999999999998E-2</v>
      </c>
      <c r="D3220" s="4" t="s">
        <v>389</v>
      </c>
      <c r="E3220" s="4" t="s">
        <v>2</v>
      </c>
    </row>
    <row r="3221" spans="1:5" hidden="1" x14ac:dyDescent="0.15">
      <c r="A3221" s="1" t="s">
        <v>41</v>
      </c>
      <c r="B3221" s="2">
        <v>4126</v>
      </c>
      <c r="C3221" s="3">
        <v>7.400000000000001E-2</v>
      </c>
      <c r="D3221" s="4" t="s">
        <v>389</v>
      </c>
      <c r="E3221" s="4" t="s">
        <v>2</v>
      </c>
    </row>
    <row r="3222" spans="1:5" hidden="1" x14ac:dyDescent="0.15">
      <c r="A3222" s="1" t="s">
        <v>42</v>
      </c>
      <c r="B3222" s="2">
        <v>1423</v>
      </c>
      <c r="C3222" s="3">
        <v>2.5000000000000001E-2</v>
      </c>
      <c r="D3222" s="4" t="s">
        <v>389</v>
      </c>
      <c r="E3222" s="4" t="s">
        <v>2</v>
      </c>
    </row>
    <row r="3223" spans="1:5" hidden="1" x14ac:dyDescent="0.15">
      <c r="A3223" s="1" t="s">
        <v>43</v>
      </c>
      <c r="B3223" s="2">
        <v>18066</v>
      </c>
      <c r="C3223" s="3">
        <v>0.32299999999999995</v>
      </c>
      <c r="D3223" s="4" t="s">
        <v>389</v>
      </c>
      <c r="E3223" s="4" t="s">
        <v>2</v>
      </c>
    </row>
    <row r="3224" spans="1:5" ht="26" hidden="1" x14ac:dyDescent="0.15">
      <c r="A3224" s="1" t="s">
        <v>44</v>
      </c>
      <c r="B3224" s="2">
        <v>15593</v>
      </c>
      <c r="C3224" s="3">
        <v>0.27899999999999997</v>
      </c>
      <c r="D3224" s="4" t="s">
        <v>389</v>
      </c>
      <c r="E3224" s="4" t="s">
        <v>2</v>
      </c>
    </row>
    <row r="3225" spans="1:5" hidden="1" x14ac:dyDescent="0.15">
      <c r="A3225" s="1" t="s">
        <v>45</v>
      </c>
      <c r="B3225" s="2">
        <v>15270</v>
      </c>
      <c r="C3225" s="3">
        <v>0.27300000000000002</v>
      </c>
      <c r="D3225" s="4" t="s">
        <v>389</v>
      </c>
      <c r="E3225" s="4" t="s">
        <v>2</v>
      </c>
    </row>
    <row r="3226" spans="1:5" ht="26" hidden="1" x14ac:dyDescent="0.15">
      <c r="A3226" s="1" t="s">
        <v>46</v>
      </c>
      <c r="B3226" s="2">
        <v>14735</v>
      </c>
      <c r="C3226" s="3">
        <v>0.26400000000000001</v>
      </c>
      <c r="D3226" s="4" t="s">
        <v>389</v>
      </c>
      <c r="E3226" s="4" t="s">
        <v>2</v>
      </c>
    </row>
    <row r="3227" spans="1:5" hidden="1" x14ac:dyDescent="0.15">
      <c r="A3227" s="1" t="s">
        <v>47</v>
      </c>
      <c r="B3227" s="2">
        <v>15422</v>
      </c>
      <c r="C3227" s="3">
        <v>0.27600000000000002</v>
      </c>
      <c r="D3227" s="4" t="s">
        <v>389</v>
      </c>
      <c r="E3227" s="4" t="s">
        <v>2</v>
      </c>
    </row>
    <row r="3228" spans="1:5" hidden="1" x14ac:dyDescent="0.15">
      <c r="A3228" s="1" t="s">
        <v>48</v>
      </c>
      <c r="B3228" s="2">
        <v>7887</v>
      </c>
      <c r="C3228" s="3">
        <v>0.14099999999999999</v>
      </c>
      <c r="D3228" s="4" t="s">
        <v>389</v>
      </c>
      <c r="E3228" s="4" t="s">
        <v>2</v>
      </c>
    </row>
    <row r="3229" spans="1:5" hidden="1" x14ac:dyDescent="0.15">
      <c r="A3229" s="1" t="s">
        <v>49</v>
      </c>
      <c r="B3229" s="2">
        <v>11497</v>
      </c>
      <c r="C3229" s="3">
        <v>0.20600000000000002</v>
      </c>
      <c r="D3229" s="4" t="s">
        <v>389</v>
      </c>
      <c r="E3229" s="4" t="s">
        <v>2</v>
      </c>
    </row>
    <row r="3230" spans="1:5" ht="26" hidden="1" x14ac:dyDescent="0.15">
      <c r="A3230" s="1" t="s">
        <v>50</v>
      </c>
      <c r="B3230" s="2">
        <v>9541</v>
      </c>
      <c r="C3230" s="3">
        <v>0.17100000000000001</v>
      </c>
      <c r="D3230" s="4" t="s">
        <v>389</v>
      </c>
      <c r="E3230" s="4" t="s">
        <v>2</v>
      </c>
    </row>
    <row r="3231" spans="1:5" hidden="1" x14ac:dyDescent="0.15">
      <c r="A3231" s="1" t="s">
        <v>51</v>
      </c>
      <c r="B3231" s="2">
        <v>25166</v>
      </c>
      <c r="C3231" s="3">
        <v>0.45</v>
      </c>
      <c r="D3231" s="4" t="s">
        <v>389</v>
      </c>
      <c r="E3231" s="4" t="s">
        <v>2</v>
      </c>
    </row>
    <row r="3232" spans="1:5" hidden="1" x14ac:dyDescent="0.15">
      <c r="A3232" s="1" t="s">
        <v>52</v>
      </c>
      <c r="B3232" s="2">
        <v>14923</v>
      </c>
      <c r="C3232" s="3">
        <v>0.26700000000000002</v>
      </c>
      <c r="D3232" s="4" t="s">
        <v>389</v>
      </c>
      <c r="E3232" s="4" t="s">
        <v>2</v>
      </c>
    </row>
    <row r="3233" spans="1:5" ht="26" hidden="1" x14ac:dyDescent="0.15">
      <c r="A3233" s="1" t="s">
        <v>53</v>
      </c>
      <c r="B3233" s="2">
        <v>9568</v>
      </c>
      <c r="C3233" s="3">
        <v>0.17100000000000001</v>
      </c>
      <c r="D3233" s="4" t="s">
        <v>389</v>
      </c>
      <c r="E3233" s="4" t="s">
        <v>2</v>
      </c>
    </row>
    <row r="3234" spans="1:5" hidden="1" x14ac:dyDescent="0.15">
      <c r="A3234" s="1" t="s">
        <v>54</v>
      </c>
      <c r="B3234" s="2">
        <v>25384</v>
      </c>
      <c r="C3234" s="3">
        <v>0.45399999999999996</v>
      </c>
      <c r="D3234" s="4" t="s">
        <v>389</v>
      </c>
      <c r="E3234" s="4" t="s">
        <v>2</v>
      </c>
    </row>
    <row r="3235" spans="1:5" ht="26" hidden="1" x14ac:dyDescent="0.15">
      <c r="A3235" s="1" t="s">
        <v>55</v>
      </c>
      <c r="B3235" s="2">
        <v>15094</v>
      </c>
      <c r="C3235" s="3">
        <v>0.27</v>
      </c>
      <c r="D3235" s="4" t="s">
        <v>389</v>
      </c>
      <c r="E3235" s="4" t="s">
        <v>2</v>
      </c>
    </row>
    <row r="3236" spans="1:5" hidden="1" x14ac:dyDescent="0.15">
      <c r="A3236" s="1" t="s">
        <v>56</v>
      </c>
      <c r="B3236" s="2">
        <v>15709</v>
      </c>
      <c r="C3236" s="3">
        <v>0.28100000000000003</v>
      </c>
      <c r="D3236" s="4" t="s">
        <v>389</v>
      </c>
      <c r="E3236" s="4" t="s">
        <v>2</v>
      </c>
    </row>
    <row r="3237" spans="1:5" hidden="1" x14ac:dyDescent="0.15">
      <c r="A3237" s="1" t="s">
        <v>57</v>
      </c>
      <c r="B3237" s="2">
        <v>16530</v>
      </c>
      <c r="C3237" s="3">
        <v>0.29600000000000004</v>
      </c>
      <c r="D3237" s="4" t="s">
        <v>389</v>
      </c>
      <c r="E3237" s="4" t="s">
        <v>2</v>
      </c>
    </row>
    <row r="3238" spans="1:5" hidden="1" x14ac:dyDescent="0.15">
      <c r="A3238" s="1" t="s">
        <v>58</v>
      </c>
      <c r="B3238" s="2">
        <v>13845</v>
      </c>
      <c r="C3238" s="3">
        <v>0.248</v>
      </c>
      <c r="D3238" s="4" t="s">
        <v>389</v>
      </c>
      <c r="E3238" s="4" t="s">
        <v>2</v>
      </c>
    </row>
    <row r="3239" spans="1:5" hidden="1" x14ac:dyDescent="0.15">
      <c r="A3239" s="1" t="s">
        <v>59</v>
      </c>
      <c r="B3239" s="2">
        <v>45824</v>
      </c>
      <c r="C3239" s="3">
        <v>0.81900000000000006</v>
      </c>
      <c r="D3239" s="4" t="s">
        <v>389</v>
      </c>
      <c r="E3239" s="4" t="s">
        <v>2</v>
      </c>
    </row>
    <row r="3240" spans="1:5" hidden="1" x14ac:dyDescent="0.15">
      <c r="A3240" s="1" t="s">
        <v>60</v>
      </c>
      <c r="B3240" s="2">
        <v>13094</v>
      </c>
      <c r="C3240" s="3">
        <v>0.23399999999999999</v>
      </c>
      <c r="D3240" s="4" t="s">
        <v>389</v>
      </c>
      <c r="E3240" s="4" t="s">
        <v>2</v>
      </c>
    </row>
    <row r="3241" spans="1:5" ht="26" hidden="1" x14ac:dyDescent="0.15">
      <c r="A3241" s="1" t="s">
        <v>61</v>
      </c>
      <c r="B3241" s="2">
        <v>16077</v>
      </c>
      <c r="C3241" s="3">
        <v>0.28800000000000003</v>
      </c>
      <c r="D3241" s="4" t="s">
        <v>389</v>
      </c>
      <c r="E3241" s="4" t="s">
        <v>2</v>
      </c>
    </row>
    <row r="3242" spans="1:5" hidden="1" x14ac:dyDescent="0.15">
      <c r="A3242" s="1" t="s">
        <v>62</v>
      </c>
      <c r="B3242" s="2">
        <v>6614</v>
      </c>
      <c r="C3242" s="3">
        <v>0.11800000000000001</v>
      </c>
      <c r="D3242" s="4" t="s">
        <v>389</v>
      </c>
      <c r="E3242" s="4" t="s">
        <v>2</v>
      </c>
    </row>
    <row r="3243" spans="1:5" ht="26" hidden="1" x14ac:dyDescent="0.15">
      <c r="A3243" s="1" t="s">
        <v>63</v>
      </c>
      <c r="B3243" s="2">
        <v>10358</v>
      </c>
      <c r="C3243" s="3">
        <v>0.185</v>
      </c>
      <c r="D3243" s="4" t="s">
        <v>389</v>
      </c>
      <c r="E3243" s="4" t="s">
        <v>2</v>
      </c>
    </row>
    <row r="3244" spans="1:5" ht="26" hidden="1" x14ac:dyDescent="0.15">
      <c r="A3244" s="1" t="s">
        <v>64</v>
      </c>
      <c r="B3244" s="2">
        <v>6102</v>
      </c>
      <c r="C3244" s="3">
        <v>0.109</v>
      </c>
      <c r="D3244" s="4" t="s">
        <v>389</v>
      </c>
      <c r="E3244" s="4" t="s">
        <v>2</v>
      </c>
    </row>
    <row r="3245" spans="1:5" hidden="1" x14ac:dyDescent="0.15">
      <c r="A3245" s="1" t="s">
        <v>65</v>
      </c>
      <c r="B3245" s="2">
        <v>24063</v>
      </c>
      <c r="C3245" s="3">
        <v>0.43</v>
      </c>
      <c r="D3245" s="4" t="s">
        <v>389</v>
      </c>
      <c r="E3245" s="4" t="s">
        <v>2</v>
      </c>
    </row>
    <row r="3246" spans="1:5" hidden="1" x14ac:dyDescent="0.15">
      <c r="A3246" s="1" t="s">
        <v>66</v>
      </c>
      <c r="B3246" s="2">
        <v>18066</v>
      </c>
      <c r="C3246" s="3">
        <v>0.32299999999999995</v>
      </c>
      <c r="D3246" s="4" t="s">
        <v>389</v>
      </c>
      <c r="E3246" s="4" t="s">
        <v>2</v>
      </c>
    </row>
    <row r="3247" spans="1:5" hidden="1" x14ac:dyDescent="0.15">
      <c r="A3247" s="1" t="s">
        <v>67</v>
      </c>
      <c r="B3247" s="2">
        <v>34433</v>
      </c>
      <c r="C3247" s="3">
        <v>0.61599999999999999</v>
      </c>
      <c r="D3247" s="4" t="s">
        <v>389</v>
      </c>
      <c r="E3247" s="4" t="s">
        <v>2</v>
      </c>
    </row>
    <row r="3248" spans="1:5" hidden="1" x14ac:dyDescent="0.15">
      <c r="A3248" s="1" t="s">
        <v>68</v>
      </c>
      <c r="B3248" s="2">
        <v>21125</v>
      </c>
      <c r="C3248" s="3">
        <v>0.37799999999999995</v>
      </c>
      <c r="D3248" s="4" t="s">
        <v>389</v>
      </c>
      <c r="E3248" s="4" t="s">
        <v>2</v>
      </c>
    </row>
    <row r="3249" spans="1:5" hidden="1" x14ac:dyDescent="0.15">
      <c r="A3249" s="1" t="s">
        <v>69</v>
      </c>
      <c r="B3249" s="2">
        <v>46008</v>
      </c>
      <c r="C3249" s="3">
        <v>0.82299999999999995</v>
      </c>
      <c r="D3249" s="4" t="s">
        <v>389</v>
      </c>
      <c r="E3249" s="4" t="s">
        <v>2</v>
      </c>
    </row>
    <row r="3250" spans="1:5" hidden="1" x14ac:dyDescent="0.15">
      <c r="A3250" s="1" t="s">
        <v>70</v>
      </c>
      <c r="B3250" s="2">
        <v>35183</v>
      </c>
      <c r="C3250" s="3">
        <v>0.629</v>
      </c>
      <c r="D3250" s="4" t="s">
        <v>389</v>
      </c>
      <c r="E3250" s="4" t="s">
        <v>2</v>
      </c>
    </row>
    <row r="3251" spans="1:5" ht="26" hidden="1" x14ac:dyDescent="0.15">
      <c r="A3251" s="1" t="s">
        <v>71</v>
      </c>
      <c r="B3251" s="2">
        <v>2522</v>
      </c>
      <c r="C3251" s="3">
        <v>4.4999999999999998E-2</v>
      </c>
      <c r="D3251" s="4" t="s">
        <v>389</v>
      </c>
      <c r="E3251" s="4" t="s">
        <v>2</v>
      </c>
    </row>
    <row r="3252" spans="1:5" hidden="1" x14ac:dyDescent="0.15">
      <c r="A3252" s="1" t="s">
        <v>72</v>
      </c>
      <c r="B3252" s="2">
        <v>17445</v>
      </c>
      <c r="C3252" s="3">
        <v>0.312</v>
      </c>
      <c r="D3252" s="4" t="s">
        <v>389</v>
      </c>
      <c r="E3252" s="4" t="s">
        <v>2</v>
      </c>
    </row>
    <row r="3253" spans="1:5" hidden="1" x14ac:dyDescent="0.15">
      <c r="A3253" s="1" t="s">
        <v>73</v>
      </c>
      <c r="B3253" s="2">
        <v>34477</v>
      </c>
      <c r="C3253" s="3">
        <v>0.61699999999999999</v>
      </c>
      <c r="D3253" s="4" t="s">
        <v>389</v>
      </c>
      <c r="E3253" s="4" t="s">
        <v>2</v>
      </c>
    </row>
    <row r="3254" spans="1:5" hidden="1" x14ac:dyDescent="0.15">
      <c r="A3254" s="1" t="s">
        <v>74</v>
      </c>
      <c r="B3254" s="2">
        <v>18794</v>
      </c>
      <c r="C3254" s="3">
        <v>0.33600000000000002</v>
      </c>
      <c r="D3254" s="4" t="s">
        <v>389</v>
      </c>
      <c r="E3254" s="4" t="s">
        <v>2</v>
      </c>
    </row>
    <row r="3255" spans="1:5" hidden="1" x14ac:dyDescent="0.15">
      <c r="A3255" s="1" t="s">
        <v>75</v>
      </c>
      <c r="B3255" s="2">
        <v>7618</v>
      </c>
      <c r="C3255" s="3">
        <v>0.13600000000000001</v>
      </c>
      <c r="D3255" s="4" t="s">
        <v>389</v>
      </c>
      <c r="E3255" s="4" t="s">
        <v>2</v>
      </c>
    </row>
    <row r="3256" spans="1:5" hidden="1" x14ac:dyDescent="0.15">
      <c r="A3256" s="1" t="s">
        <v>76</v>
      </c>
      <c r="B3256" s="2">
        <v>4425</v>
      </c>
      <c r="C3256" s="3">
        <v>7.9000000000000001E-2</v>
      </c>
      <c r="D3256" s="4" t="s">
        <v>389</v>
      </c>
      <c r="E3256" s="4" t="s">
        <v>2</v>
      </c>
    </row>
    <row r="3257" spans="1:5" hidden="1" x14ac:dyDescent="0.15">
      <c r="A3257" s="1" t="s">
        <v>77</v>
      </c>
      <c r="B3257" s="2">
        <v>2934</v>
      </c>
      <c r="C3257" s="3">
        <v>5.2000000000000005E-2</v>
      </c>
      <c r="D3257" s="4" t="s">
        <v>389</v>
      </c>
      <c r="E3257" s="4" t="s">
        <v>2</v>
      </c>
    </row>
    <row r="3258" spans="1:5" ht="26" hidden="1" x14ac:dyDescent="0.15">
      <c r="A3258" s="1" t="s">
        <v>78</v>
      </c>
      <c r="B3258" s="2">
        <v>19276</v>
      </c>
      <c r="C3258" s="3">
        <v>0.34499999999999997</v>
      </c>
      <c r="D3258" s="4" t="s">
        <v>389</v>
      </c>
      <c r="E3258" s="4" t="s">
        <v>2</v>
      </c>
    </row>
    <row r="3259" spans="1:5" hidden="1" x14ac:dyDescent="0.15">
      <c r="A3259" s="1" t="s">
        <v>79</v>
      </c>
      <c r="B3259" s="2">
        <v>10419</v>
      </c>
      <c r="C3259" s="3">
        <v>0.18600000000000003</v>
      </c>
      <c r="D3259" s="4" t="s">
        <v>389</v>
      </c>
      <c r="E3259" s="4" t="s">
        <v>2</v>
      </c>
    </row>
    <row r="3260" spans="1:5" hidden="1" x14ac:dyDescent="0.15">
      <c r="A3260" s="1" t="s">
        <v>80</v>
      </c>
      <c r="B3260" s="2">
        <v>11073</v>
      </c>
      <c r="C3260" s="3">
        <v>0.19800000000000001</v>
      </c>
      <c r="D3260" s="4" t="s">
        <v>389</v>
      </c>
      <c r="E3260" s="4" t="s">
        <v>2</v>
      </c>
    </row>
    <row r="3261" spans="1:5" ht="26" hidden="1" x14ac:dyDescent="0.15">
      <c r="A3261" s="1" t="s">
        <v>81</v>
      </c>
      <c r="B3261" s="2">
        <v>18173</v>
      </c>
      <c r="C3261" s="3">
        <v>0.32500000000000001</v>
      </c>
      <c r="D3261" s="4" t="s">
        <v>389</v>
      </c>
      <c r="E3261" s="4" t="s">
        <v>2</v>
      </c>
    </row>
    <row r="3262" spans="1:5" hidden="1" x14ac:dyDescent="0.15">
      <c r="A3262" s="1" t="s">
        <v>82</v>
      </c>
      <c r="B3262" s="2">
        <v>6227</v>
      </c>
      <c r="C3262" s="3">
        <v>0.111</v>
      </c>
      <c r="D3262" s="4" t="s">
        <v>389</v>
      </c>
      <c r="E3262" s="4" t="s">
        <v>2</v>
      </c>
    </row>
    <row r="3263" spans="1:5" hidden="1" x14ac:dyDescent="0.15">
      <c r="A3263" s="4"/>
      <c r="B3263" s="4"/>
      <c r="C3263" s="4"/>
      <c r="D3263" s="4" t="s">
        <v>389</v>
      </c>
      <c r="E3263" s="4" t="s">
        <v>2</v>
      </c>
    </row>
    <row r="3264" spans="1:5" hidden="1" x14ac:dyDescent="0.15">
      <c r="A3264" s="5"/>
      <c r="B3264" s="5"/>
      <c r="C3264" s="5"/>
      <c r="D3264" s="4" t="s">
        <v>389</v>
      </c>
      <c r="E3264" s="4" t="s">
        <v>2</v>
      </c>
    </row>
    <row r="3265" spans="1:5" hidden="1" x14ac:dyDescent="0.15">
      <c r="A3265" s="1" t="s">
        <v>193</v>
      </c>
      <c r="B3265" s="2">
        <v>18991</v>
      </c>
      <c r="C3265" s="3">
        <v>0.34</v>
      </c>
      <c r="D3265" s="4" t="s">
        <v>389</v>
      </c>
      <c r="E3265" s="4" t="s">
        <v>2</v>
      </c>
    </row>
    <row r="3266" spans="1:5" ht="26" hidden="1" x14ac:dyDescent="0.15">
      <c r="A3266" s="1" t="s">
        <v>192</v>
      </c>
      <c r="B3266" s="2">
        <v>37230</v>
      </c>
      <c r="C3266" s="3">
        <v>0.66599999999999993</v>
      </c>
      <c r="D3266" s="4" t="s">
        <v>389</v>
      </c>
      <c r="E3266" s="4" t="s">
        <v>2</v>
      </c>
    </row>
    <row r="3267" spans="1:5" hidden="1" x14ac:dyDescent="0.15">
      <c r="A3267" s="4"/>
      <c r="B3267" s="4"/>
      <c r="C3267" s="4"/>
      <c r="D3267" s="4" t="s">
        <v>389</v>
      </c>
      <c r="E3267" s="4" t="s">
        <v>2</v>
      </c>
    </row>
    <row r="3268" spans="1:5" hidden="1" x14ac:dyDescent="0.15">
      <c r="A3268" s="5"/>
      <c r="B3268" s="5"/>
      <c r="C3268" s="5"/>
      <c r="D3268" s="4" t="s">
        <v>389</v>
      </c>
      <c r="E3268" s="4" t="s">
        <v>2</v>
      </c>
    </row>
    <row r="3269" spans="1:5" ht="26" hidden="1" x14ac:dyDescent="0.15">
      <c r="A3269" s="1" t="s">
        <v>390</v>
      </c>
      <c r="B3269" s="2">
        <v>4425</v>
      </c>
      <c r="C3269" s="3">
        <v>7.9000000000000001E-2</v>
      </c>
      <c r="D3269" s="4" t="s">
        <v>389</v>
      </c>
      <c r="E3269" s="4" t="s">
        <v>2</v>
      </c>
    </row>
    <row r="3270" spans="1:5" hidden="1" x14ac:dyDescent="0.15">
      <c r="A3270" s="4"/>
      <c r="B3270" s="4"/>
      <c r="C3270" s="4"/>
      <c r="D3270" s="4" t="s">
        <v>389</v>
      </c>
      <c r="E3270" s="4" t="s">
        <v>2</v>
      </c>
    </row>
    <row r="3271" spans="1:5" hidden="1" x14ac:dyDescent="0.15">
      <c r="A3271" s="5"/>
      <c r="B3271" s="5"/>
      <c r="C3271" s="5"/>
      <c r="D3271" s="4" t="s">
        <v>389</v>
      </c>
      <c r="E3271" s="4" t="s">
        <v>2</v>
      </c>
    </row>
    <row r="3272" spans="1:5" ht="26" hidden="1" x14ac:dyDescent="0.15">
      <c r="A3272" s="1" t="s">
        <v>196</v>
      </c>
      <c r="B3272" s="2">
        <v>10498</v>
      </c>
      <c r="C3272" s="3">
        <v>0.188</v>
      </c>
      <c r="D3272" s="4" t="s">
        <v>389</v>
      </c>
      <c r="E3272" s="4" t="s">
        <v>2</v>
      </c>
    </row>
    <row r="3273" spans="1:5" hidden="1" x14ac:dyDescent="0.15">
      <c r="A3273" s="4"/>
      <c r="B3273" s="4"/>
      <c r="C3273" s="4"/>
      <c r="D3273" s="4" t="s">
        <v>389</v>
      </c>
      <c r="E3273" s="4" t="s">
        <v>2</v>
      </c>
    </row>
    <row r="3274" spans="1:5" hidden="1" x14ac:dyDescent="0.15">
      <c r="A3274" s="5"/>
      <c r="B3274" s="5"/>
      <c r="C3274" s="5"/>
      <c r="D3274" s="4" t="s">
        <v>389</v>
      </c>
      <c r="E3274" s="4" t="s">
        <v>2</v>
      </c>
    </row>
    <row r="3275" spans="1:5" ht="26" hidden="1" x14ac:dyDescent="0.15">
      <c r="A3275" s="1" t="s">
        <v>197</v>
      </c>
      <c r="B3275" s="2">
        <v>30599</v>
      </c>
      <c r="C3275" s="3">
        <v>0.54700000000000004</v>
      </c>
      <c r="D3275" s="4" t="s">
        <v>389</v>
      </c>
      <c r="E3275" s="4" t="s">
        <v>2</v>
      </c>
    </row>
    <row r="3276" spans="1:5" hidden="1" x14ac:dyDescent="0.15">
      <c r="A3276" s="1" t="s">
        <v>198</v>
      </c>
      <c r="B3276" s="2">
        <v>26824</v>
      </c>
      <c r="C3276" s="3">
        <v>0.48</v>
      </c>
      <c r="D3276" s="4" t="s">
        <v>389</v>
      </c>
      <c r="E3276" s="4" t="s">
        <v>2</v>
      </c>
    </row>
    <row r="3277" spans="1:5" hidden="1" x14ac:dyDescent="0.15">
      <c r="A3277" s="4"/>
      <c r="B3277" s="4"/>
      <c r="C3277" s="4"/>
      <c r="D3277" s="4" t="s">
        <v>389</v>
      </c>
      <c r="E3277" s="4" t="s">
        <v>2</v>
      </c>
    </row>
    <row r="3278" spans="1:5" hidden="1" x14ac:dyDescent="0.15">
      <c r="A3278" s="5"/>
      <c r="B3278" s="5"/>
      <c r="C3278" s="5"/>
      <c r="D3278" s="4" t="s">
        <v>389</v>
      </c>
      <c r="E3278" s="4" t="s">
        <v>2</v>
      </c>
    </row>
    <row r="3279" spans="1:5" ht="26" hidden="1" x14ac:dyDescent="0.15">
      <c r="A3279" s="1" t="s">
        <v>391</v>
      </c>
      <c r="B3279" s="2">
        <v>14314</v>
      </c>
      <c r="C3279" s="3">
        <v>0.25600000000000001</v>
      </c>
      <c r="D3279" s="4" t="s">
        <v>389</v>
      </c>
      <c r="E3279" s="4" t="s">
        <v>2</v>
      </c>
    </row>
    <row r="3280" spans="1:5" ht="26" hidden="1" x14ac:dyDescent="0.15">
      <c r="A3280" s="1" t="s">
        <v>392</v>
      </c>
      <c r="B3280" s="2">
        <v>4960</v>
      </c>
      <c r="C3280" s="3">
        <v>8.900000000000001E-2</v>
      </c>
      <c r="D3280" s="4" t="s">
        <v>389</v>
      </c>
      <c r="E3280" s="4" t="s">
        <v>2</v>
      </c>
    </row>
    <row r="3281" spans="1:5" ht="26" hidden="1" x14ac:dyDescent="0.15">
      <c r="A3281" s="1" t="s">
        <v>393</v>
      </c>
      <c r="B3281" s="2">
        <v>9510</v>
      </c>
      <c r="C3281" s="3">
        <v>0.17</v>
      </c>
      <c r="D3281" s="4" t="s">
        <v>389</v>
      </c>
      <c r="E3281" s="4" t="s">
        <v>2</v>
      </c>
    </row>
    <row r="3282" spans="1:5" hidden="1" x14ac:dyDescent="0.15">
      <c r="A3282" s="4"/>
      <c r="B3282" s="4"/>
      <c r="C3282" s="4"/>
      <c r="D3282" s="4" t="s">
        <v>389</v>
      </c>
      <c r="E3282" s="4" t="s">
        <v>2</v>
      </c>
    </row>
    <row r="3283" spans="1:5" hidden="1" x14ac:dyDescent="0.15">
      <c r="A3283" s="5" t="s">
        <v>394</v>
      </c>
      <c r="B3283" s="5"/>
      <c r="C3283" s="5"/>
      <c r="D3283" s="4" t="s">
        <v>389</v>
      </c>
      <c r="E3283" s="4" t="s">
        <v>2</v>
      </c>
    </row>
    <row r="3284" spans="1:5" ht="78" hidden="1" x14ac:dyDescent="0.15">
      <c r="A3284" s="1" t="s">
        <v>395</v>
      </c>
      <c r="B3284" s="2">
        <v>4425</v>
      </c>
      <c r="C3284" s="3">
        <v>7.9000000000000001E-2</v>
      </c>
      <c r="D3284" s="4" t="s">
        <v>389</v>
      </c>
      <c r="E3284" s="4" t="s">
        <v>2</v>
      </c>
    </row>
    <row r="3285" spans="1:5" hidden="1" x14ac:dyDescent="0.15">
      <c r="A3285" s="4"/>
      <c r="B3285" s="4"/>
      <c r="C3285" s="4"/>
      <c r="D3285" s="4" t="s">
        <v>389</v>
      </c>
      <c r="E3285" s="4" t="s">
        <v>2</v>
      </c>
    </row>
    <row r="3286" spans="1:5" hidden="1" x14ac:dyDescent="0.15">
      <c r="A3286" s="5"/>
      <c r="B3286" s="5"/>
      <c r="C3286" s="5"/>
      <c r="D3286" s="4" t="s">
        <v>389</v>
      </c>
      <c r="E3286" s="4" t="s">
        <v>2</v>
      </c>
    </row>
    <row r="3287" spans="1:5" hidden="1" x14ac:dyDescent="0.15">
      <c r="A3287" s="1" t="s">
        <v>396</v>
      </c>
      <c r="B3287" s="2">
        <v>11035</v>
      </c>
      <c r="C3287" s="3">
        <v>0.19699999999999998</v>
      </c>
      <c r="D3287" s="4" t="s">
        <v>389</v>
      </c>
      <c r="E3287" s="4" t="s">
        <v>2</v>
      </c>
    </row>
    <row r="3288" spans="1:5" hidden="1" x14ac:dyDescent="0.15">
      <c r="A3288" s="4"/>
      <c r="B3288" s="4"/>
      <c r="C3288" s="4"/>
      <c r="D3288" s="4" t="s">
        <v>389</v>
      </c>
      <c r="E3288" s="4" t="s">
        <v>2</v>
      </c>
    </row>
    <row r="3289" spans="1:5" hidden="1" x14ac:dyDescent="0.15">
      <c r="A3289" s="5" t="s">
        <v>397</v>
      </c>
      <c r="B3289" s="5"/>
      <c r="C3289" s="5"/>
      <c r="D3289" s="4" t="s">
        <v>389</v>
      </c>
      <c r="E3289" s="4" t="s">
        <v>2</v>
      </c>
    </row>
    <row r="3290" spans="1:5" ht="26" hidden="1" x14ac:dyDescent="0.15">
      <c r="A3290" s="1" t="s">
        <v>398</v>
      </c>
      <c r="B3290" s="2">
        <v>2522</v>
      </c>
      <c r="C3290" s="3">
        <v>4.4999999999999998E-2</v>
      </c>
      <c r="D3290" s="4" t="s">
        <v>389</v>
      </c>
      <c r="E3290" s="4" t="s">
        <v>2</v>
      </c>
    </row>
    <row r="3291" spans="1:5" ht="26" hidden="1" x14ac:dyDescent="0.15">
      <c r="A3291" s="1" t="s">
        <v>399</v>
      </c>
      <c r="B3291" s="2">
        <v>2522</v>
      </c>
      <c r="C3291" s="3">
        <v>4.4999999999999998E-2</v>
      </c>
      <c r="D3291" s="4" t="s">
        <v>389</v>
      </c>
      <c r="E3291" s="4" t="s">
        <v>2</v>
      </c>
    </row>
    <row r="3292" spans="1:5" ht="39" hidden="1" x14ac:dyDescent="0.15">
      <c r="A3292" s="1" t="s">
        <v>400</v>
      </c>
      <c r="B3292" s="2">
        <v>4618</v>
      </c>
      <c r="C3292" s="3">
        <v>8.3000000000000004E-2</v>
      </c>
      <c r="D3292" s="4" t="s">
        <v>389</v>
      </c>
      <c r="E3292" s="4" t="s">
        <v>2</v>
      </c>
    </row>
    <row r="3293" spans="1:5" ht="26" hidden="1" x14ac:dyDescent="0.15">
      <c r="A3293" s="1" t="s">
        <v>401</v>
      </c>
      <c r="B3293" s="2">
        <v>7251</v>
      </c>
      <c r="C3293" s="3">
        <v>0.13</v>
      </c>
      <c r="D3293" s="4" t="s">
        <v>389</v>
      </c>
      <c r="E3293" s="4" t="s">
        <v>2</v>
      </c>
    </row>
    <row r="3294" spans="1:5" hidden="1" x14ac:dyDescent="0.15">
      <c r="A3294" s="1" t="s">
        <v>0</v>
      </c>
      <c r="B3294" s="2">
        <v>767620</v>
      </c>
      <c r="C3294" s="3">
        <v>1</v>
      </c>
      <c r="D3294" s="4" t="s">
        <v>389</v>
      </c>
      <c r="E3294" s="4" t="s">
        <v>402</v>
      </c>
    </row>
    <row r="3295" spans="1:5" ht="26" hidden="1" x14ac:dyDescent="0.15">
      <c r="A3295" s="1" t="s">
        <v>3</v>
      </c>
      <c r="B3295" s="2">
        <v>2673</v>
      </c>
      <c r="C3295" s="3">
        <v>3.0000000000000001E-3</v>
      </c>
      <c r="D3295" s="4" t="s">
        <v>389</v>
      </c>
      <c r="E3295" s="4" t="s">
        <v>402</v>
      </c>
    </row>
    <row r="3296" spans="1:5" hidden="1" x14ac:dyDescent="0.15">
      <c r="A3296" s="1" t="s">
        <v>4</v>
      </c>
      <c r="B3296" s="2">
        <v>10160</v>
      </c>
      <c r="C3296" s="3">
        <v>1.3000000000000001E-2</v>
      </c>
      <c r="D3296" s="4" t="s">
        <v>389</v>
      </c>
      <c r="E3296" s="4" t="s">
        <v>402</v>
      </c>
    </row>
    <row r="3297" spans="1:5" ht="26" hidden="1" x14ac:dyDescent="0.15">
      <c r="A3297" s="1" t="s">
        <v>5</v>
      </c>
      <c r="B3297" s="2">
        <v>10873</v>
      </c>
      <c r="C3297" s="3">
        <v>1.3999999999999999E-2</v>
      </c>
      <c r="D3297" s="4" t="s">
        <v>389</v>
      </c>
      <c r="E3297" s="4" t="s">
        <v>402</v>
      </c>
    </row>
    <row r="3298" spans="1:5" ht="26" hidden="1" x14ac:dyDescent="0.15">
      <c r="A3298" s="1" t="s">
        <v>6</v>
      </c>
      <c r="B3298" s="2">
        <v>98206</v>
      </c>
      <c r="C3298" s="3">
        <v>0.128</v>
      </c>
      <c r="D3298" s="4" t="s">
        <v>389</v>
      </c>
      <c r="E3298" s="4" t="s">
        <v>402</v>
      </c>
    </row>
    <row r="3299" spans="1:5" ht="26" hidden="1" x14ac:dyDescent="0.15">
      <c r="A3299" s="1" t="s">
        <v>7</v>
      </c>
      <c r="B3299" s="2">
        <v>64864</v>
      </c>
      <c r="C3299" s="3">
        <v>8.5000000000000006E-2</v>
      </c>
      <c r="D3299" s="4" t="s">
        <v>389</v>
      </c>
      <c r="E3299" s="4" t="s">
        <v>402</v>
      </c>
    </row>
    <row r="3300" spans="1:5" ht="26" hidden="1" x14ac:dyDescent="0.15">
      <c r="A3300" s="1" t="s">
        <v>8</v>
      </c>
      <c r="B3300" s="2">
        <v>3169</v>
      </c>
      <c r="C3300" s="3">
        <v>4.0000000000000001E-3</v>
      </c>
      <c r="D3300" s="4" t="s">
        <v>389</v>
      </c>
      <c r="E3300" s="4" t="s">
        <v>402</v>
      </c>
    </row>
    <row r="3301" spans="1:5" ht="26" hidden="1" x14ac:dyDescent="0.15">
      <c r="A3301" s="1" t="s">
        <v>9</v>
      </c>
      <c r="B3301" s="2">
        <v>38380</v>
      </c>
      <c r="C3301" s="3">
        <v>0.05</v>
      </c>
      <c r="D3301" s="4" t="s">
        <v>389</v>
      </c>
      <c r="E3301" s="4" t="s">
        <v>402</v>
      </c>
    </row>
    <row r="3302" spans="1:5" ht="26" hidden="1" x14ac:dyDescent="0.15">
      <c r="A3302" s="1" t="s">
        <v>10</v>
      </c>
      <c r="B3302" s="2">
        <v>7395</v>
      </c>
      <c r="C3302" s="3">
        <v>0.01</v>
      </c>
      <c r="D3302" s="4" t="s">
        <v>389</v>
      </c>
      <c r="E3302" s="4" t="s">
        <v>402</v>
      </c>
    </row>
    <row r="3303" spans="1:5" ht="26" hidden="1" x14ac:dyDescent="0.15">
      <c r="A3303" s="1" t="s">
        <v>11</v>
      </c>
      <c r="B3303" s="2">
        <v>48470</v>
      </c>
      <c r="C3303" s="3">
        <v>6.3E-2</v>
      </c>
      <c r="D3303" s="4" t="s">
        <v>389</v>
      </c>
      <c r="E3303" s="4" t="s">
        <v>402</v>
      </c>
    </row>
    <row r="3304" spans="1:5" ht="26" hidden="1" x14ac:dyDescent="0.15">
      <c r="A3304" s="1" t="s">
        <v>12</v>
      </c>
      <c r="B3304" s="2">
        <v>24168</v>
      </c>
      <c r="C3304" s="3">
        <v>3.1E-2</v>
      </c>
      <c r="D3304" s="4" t="s">
        <v>389</v>
      </c>
      <c r="E3304" s="4" t="s">
        <v>402</v>
      </c>
    </row>
    <row r="3305" spans="1:5" ht="26" hidden="1" x14ac:dyDescent="0.15">
      <c r="A3305" s="1" t="s">
        <v>13</v>
      </c>
      <c r="B3305" s="2">
        <v>7373</v>
      </c>
      <c r="C3305" s="3">
        <v>0.01</v>
      </c>
      <c r="D3305" s="4" t="s">
        <v>389</v>
      </c>
      <c r="E3305" s="4" t="s">
        <v>402</v>
      </c>
    </row>
    <row r="3306" spans="1:5" hidden="1" x14ac:dyDescent="0.15">
      <c r="A3306" s="1" t="s">
        <v>14</v>
      </c>
      <c r="B3306" s="2">
        <v>40219</v>
      </c>
      <c r="C3306" s="3">
        <v>5.2000000000000005E-2</v>
      </c>
      <c r="D3306" s="4" t="s">
        <v>389</v>
      </c>
      <c r="E3306" s="4" t="s">
        <v>402</v>
      </c>
    </row>
    <row r="3307" spans="1:5" ht="26" hidden="1" x14ac:dyDescent="0.15">
      <c r="A3307" s="1" t="s">
        <v>15</v>
      </c>
      <c r="B3307" s="2">
        <v>18385</v>
      </c>
      <c r="C3307" s="3">
        <v>2.4E-2</v>
      </c>
      <c r="D3307" s="4" t="s">
        <v>389</v>
      </c>
      <c r="E3307" s="4" t="s">
        <v>402</v>
      </c>
    </row>
    <row r="3308" spans="1:5" ht="26" hidden="1" x14ac:dyDescent="0.15">
      <c r="A3308" s="1" t="s">
        <v>16</v>
      </c>
      <c r="B3308" s="2">
        <v>26065</v>
      </c>
      <c r="C3308" s="3">
        <v>3.4000000000000002E-2</v>
      </c>
      <c r="D3308" s="4" t="s">
        <v>389</v>
      </c>
      <c r="E3308" s="4" t="s">
        <v>402</v>
      </c>
    </row>
    <row r="3309" spans="1:5" ht="26" hidden="1" x14ac:dyDescent="0.15">
      <c r="A3309" s="1" t="s">
        <v>17</v>
      </c>
      <c r="B3309" s="2">
        <v>10699</v>
      </c>
      <c r="C3309" s="3">
        <v>1.3999999999999999E-2</v>
      </c>
      <c r="D3309" s="4" t="s">
        <v>389</v>
      </c>
      <c r="E3309" s="4" t="s">
        <v>402</v>
      </c>
    </row>
    <row r="3310" spans="1:5" hidden="1" x14ac:dyDescent="0.15">
      <c r="A3310" s="1" t="s">
        <v>18</v>
      </c>
      <c r="B3310" s="2">
        <v>15417</v>
      </c>
      <c r="C3310" s="3">
        <v>0.02</v>
      </c>
      <c r="D3310" s="4" t="s">
        <v>389</v>
      </c>
      <c r="E3310" s="4" t="s">
        <v>402</v>
      </c>
    </row>
    <row r="3311" spans="1:5" hidden="1" x14ac:dyDescent="0.15">
      <c r="A3311" s="1" t="s">
        <v>19</v>
      </c>
      <c r="B3311" s="2">
        <v>154939</v>
      </c>
      <c r="C3311" s="3">
        <v>0.20199999999999999</v>
      </c>
      <c r="D3311" s="4" t="s">
        <v>389</v>
      </c>
      <c r="E3311" s="4" t="s">
        <v>402</v>
      </c>
    </row>
    <row r="3312" spans="1:5" hidden="1" x14ac:dyDescent="0.15">
      <c r="A3312" s="1" t="s">
        <v>20</v>
      </c>
      <c r="B3312" s="2">
        <v>21427</v>
      </c>
      <c r="C3312" s="3">
        <v>2.7999999999999997E-2</v>
      </c>
      <c r="D3312" s="4" t="s">
        <v>389</v>
      </c>
      <c r="E3312" s="4" t="s">
        <v>402</v>
      </c>
    </row>
    <row r="3313" spans="1:5" ht="26" hidden="1" x14ac:dyDescent="0.15">
      <c r="A3313" s="1" t="s">
        <v>21</v>
      </c>
      <c r="B3313" s="2">
        <v>61194</v>
      </c>
      <c r="C3313" s="3">
        <v>0.08</v>
      </c>
      <c r="D3313" s="4" t="s">
        <v>389</v>
      </c>
      <c r="E3313" s="4" t="s">
        <v>402</v>
      </c>
    </row>
    <row r="3314" spans="1:5" ht="26" hidden="1" x14ac:dyDescent="0.15">
      <c r="A3314" s="1" t="s">
        <v>22</v>
      </c>
      <c r="B3314" s="2">
        <v>24095</v>
      </c>
      <c r="C3314" s="3">
        <v>3.1E-2</v>
      </c>
      <c r="D3314" s="4" t="s">
        <v>389</v>
      </c>
      <c r="E3314" s="4" t="s">
        <v>402</v>
      </c>
    </row>
    <row r="3315" spans="1:5" ht="26" hidden="1" x14ac:dyDescent="0.15">
      <c r="A3315" s="1" t="s">
        <v>23</v>
      </c>
      <c r="B3315" s="2">
        <v>17456</v>
      </c>
      <c r="C3315" s="3">
        <v>2.3E-2</v>
      </c>
      <c r="D3315" s="4" t="s">
        <v>389</v>
      </c>
      <c r="E3315" s="4" t="s">
        <v>402</v>
      </c>
    </row>
    <row r="3316" spans="1:5" ht="26" hidden="1" x14ac:dyDescent="0.15">
      <c r="A3316" s="1" t="s">
        <v>24</v>
      </c>
      <c r="B3316" s="2">
        <v>13456</v>
      </c>
      <c r="C3316" s="3">
        <v>1.8000000000000002E-2</v>
      </c>
      <c r="D3316" s="4" t="s">
        <v>389</v>
      </c>
      <c r="E3316" s="4" t="s">
        <v>402</v>
      </c>
    </row>
    <row r="3317" spans="1:5" ht="26" hidden="1" x14ac:dyDescent="0.15">
      <c r="A3317" s="1" t="s">
        <v>25</v>
      </c>
      <c r="B3317" s="2">
        <v>10472</v>
      </c>
      <c r="C3317" s="3">
        <v>1.3999999999999999E-2</v>
      </c>
      <c r="D3317" s="4" t="s">
        <v>389</v>
      </c>
      <c r="E3317" s="4" t="s">
        <v>402</v>
      </c>
    </row>
    <row r="3318" spans="1:5" hidden="1" x14ac:dyDescent="0.15">
      <c r="A3318" s="1" t="s">
        <v>26</v>
      </c>
      <c r="B3318" s="2">
        <v>4815</v>
      </c>
      <c r="C3318" s="3">
        <v>6.0000000000000001E-3</v>
      </c>
      <c r="D3318" s="4" t="s">
        <v>389</v>
      </c>
      <c r="E3318" s="4" t="s">
        <v>402</v>
      </c>
    </row>
    <row r="3319" spans="1:5" hidden="1" x14ac:dyDescent="0.15">
      <c r="A3319" s="1" t="s">
        <v>27</v>
      </c>
      <c r="B3319" s="2">
        <v>43591</v>
      </c>
      <c r="C3319" s="3">
        <v>5.7000000000000002E-2</v>
      </c>
      <c r="D3319" s="4" t="s">
        <v>389</v>
      </c>
      <c r="E3319" s="4" t="s">
        <v>402</v>
      </c>
    </row>
    <row r="3320" spans="1:5" hidden="1" x14ac:dyDescent="0.15">
      <c r="A3320" s="1" t="s">
        <v>28</v>
      </c>
      <c r="B3320" s="2">
        <v>60118</v>
      </c>
      <c r="C3320" s="3">
        <v>7.8E-2</v>
      </c>
      <c r="D3320" s="4" t="s">
        <v>389</v>
      </c>
      <c r="E3320" s="4" t="s">
        <v>402</v>
      </c>
    </row>
    <row r="3321" spans="1:5" hidden="1" x14ac:dyDescent="0.15">
      <c r="A3321" s="1" t="s">
        <v>29</v>
      </c>
      <c r="B3321" s="2">
        <v>179194</v>
      </c>
      <c r="C3321" s="3">
        <v>0.23300000000000001</v>
      </c>
      <c r="D3321" s="4" t="s">
        <v>389</v>
      </c>
      <c r="E3321" s="4" t="s">
        <v>402</v>
      </c>
    </row>
    <row r="3322" spans="1:5" hidden="1" x14ac:dyDescent="0.15">
      <c r="A3322" s="1" t="s">
        <v>30</v>
      </c>
      <c r="B3322" s="2">
        <v>23392</v>
      </c>
      <c r="C3322" s="3">
        <v>0.03</v>
      </c>
      <c r="D3322" s="4" t="s">
        <v>389</v>
      </c>
      <c r="E3322" s="4" t="s">
        <v>402</v>
      </c>
    </row>
    <row r="3323" spans="1:5" ht="39" hidden="1" x14ac:dyDescent="0.15">
      <c r="A3323" s="1" t="s">
        <v>31</v>
      </c>
      <c r="B3323" s="2">
        <v>12672</v>
      </c>
      <c r="C3323" s="3">
        <v>1.7000000000000001E-2</v>
      </c>
      <c r="D3323" s="4" t="s">
        <v>389</v>
      </c>
      <c r="E3323" s="4" t="s">
        <v>402</v>
      </c>
    </row>
    <row r="3324" spans="1:5" hidden="1" x14ac:dyDescent="0.15">
      <c r="A3324" s="1" t="s">
        <v>32</v>
      </c>
      <c r="B3324" s="2">
        <v>17995</v>
      </c>
      <c r="C3324" s="3">
        <v>2.3E-2</v>
      </c>
      <c r="D3324" s="4" t="s">
        <v>389</v>
      </c>
      <c r="E3324" s="4" t="s">
        <v>402</v>
      </c>
    </row>
    <row r="3325" spans="1:5" hidden="1" x14ac:dyDescent="0.15">
      <c r="A3325" s="1" t="s">
        <v>33</v>
      </c>
      <c r="B3325" s="2">
        <v>219233</v>
      </c>
      <c r="C3325" s="3">
        <v>0.28600000000000003</v>
      </c>
      <c r="D3325" s="4" t="s">
        <v>389</v>
      </c>
      <c r="E3325" s="4" t="s">
        <v>402</v>
      </c>
    </row>
    <row r="3326" spans="1:5" hidden="1" x14ac:dyDescent="0.15">
      <c r="A3326" s="1" t="s">
        <v>34</v>
      </c>
      <c r="B3326" s="2">
        <v>85052</v>
      </c>
      <c r="C3326" s="3">
        <v>0.111</v>
      </c>
      <c r="D3326" s="4" t="s">
        <v>389</v>
      </c>
      <c r="E3326" s="4" t="s">
        <v>402</v>
      </c>
    </row>
    <row r="3327" spans="1:5" hidden="1" x14ac:dyDescent="0.15">
      <c r="A3327" s="1" t="s">
        <v>35</v>
      </c>
      <c r="B3327" s="2">
        <v>29303</v>
      </c>
      <c r="C3327" s="3">
        <v>3.7999999999999999E-2</v>
      </c>
      <c r="D3327" s="4" t="s">
        <v>389</v>
      </c>
      <c r="E3327" s="4" t="s">
        <v>402</v>
      </c>
    </row>
    <row r="3328" spans="1:5" ht="26" hidden="1" x14ac:dyDescent="0.15">
      <c r="A3328" s="1" t="s">
        <v>36</v>
      </c>
      <c r="B3328" s="2">
        <v>9868</v>
      </c>
      <c r="C3328" s="3">
        <v>1.3000000000000001E-2</v>
      </c>
      <c r="D3328" s="4" t="s">
        <v>389</v>
      </c>
      <c r="E3328" s="4" t="s">
        <v>402</v>
      </c>
    </row>
    <row r="3329" spans="1:5" hidden="1" x14ac:dyDescent="0.15">
      <c r="A3329" s="1" t="s">
        <v>37</v>
      </c>
      <c r="B3329" s="2">
        <v>2659</v>
      </c>
      <c r="C3329" s="3">
        <v>3.0000000000000001E-3</v>
      </c>
      <c r="D3329" s="4" t="s">
        <v>389</v>
      </c>
      <c r="E3329" s="4" t="s">
        <v>402</v>
      </c>
    </row>
    <row r="3330" spans="1:5" ht="39" hidden="1" x14ac:dyDescent="0.15">
      <c r="A3330" s="1" t="s">
        <v>38</v>
      </c>
      <c r="B3330" s="2">
        <v>5041</v>
      </c>
      <c r="C3330" s="3">
        <v>6.9999999999999993E-3</v>
      </c>
      <c r="D3330" s="4" t="s">
        <v>389</v>
      </c>
      <c r="E3330" s="4" t="s">
        <v>402</v>
      </c>
    </row>
    <row r="3331" spans="1:5" hidden="1" x14ac:dyDescent="0.15">
      <c r="A3331" s="1" t="s">
        <v>39</v>
      </c>
      <c r="B3331" s="2">
        <v>23844</v>
      </c>
      <c r="C3331" s="3">
        <v>3.1E-2</v>
      </c>
      <c r="D3331" s="4" t="s">
        <v>389</v>
      </c>
      <c r="E3331" s="4" t="s">
        <v>402</v>
      </c>
    </row>
    <row r="3332" spans="1:5" hidden="1" x14ac:dyDescent="0.15">
      <c r="A3332" s="1" t="s">
        <v>40</v>
      </c>
      <c r="B3332" s="2">
        <v>27395</v>
      </c>
      <c r="C3332" s="3">
        <v>3.6000000000000004E-2</v>
      </c>
      <c r="D3332" s="4" t="s">
        <v>389</v>
      </c>
      <c r="E3332" s="4" t="s">
        <v>402</v>
      </c>
    </row>
    <row r="3333" spans="1:5" hidden="1" x14ac:dyDescent="0.15">
      <c r="A3333" s="1" t="s">
        <v>41</v>
      </c>
      <c r="B3333" s="2">
        <v>56071</v>
      </c>
      <c r="C3333" s="3">
        <v>7.2999999999999995E-2</v>
      </c>
      <c r="D3333" s="4" t="s">
        <v>389</v>
      </c>
      <c r="E3333" s="4" t="s">
        <v>402</v>
      </c>
    </row>
    <row r="3334" spans="1:5" hidden="1" x14ac:dyDescent="0.15">
      <c r="A3334" s="1" t="s">
        <v>42</v>
      </c>
      <c r="B3334" s="2">
        <v>20230</v>
      </c>
      <c r="C3334" s="3">
        <v>2.6000000000000002E-2</v>
      </c>
      <c r="D3334" s="4" t="s">
        <v>389</v>
      </c>
      <c r="E3334" s="4" t="s">
        <v>402</v>
      </c>
    </row>
    <row r="3335" spans="1:5" hidden="1" x14ac:dyDescent="0.15">
      <c r="A3335" s="1" t="s">
        <v>43</v>
      </c>
      <c r="B3335" s="2">
        <v>52222</v>
      </c>
      <c r="C3335" s="3">
        <v>6.8000000000000005E-2</v>
      </c>
      <c r="D3335" s="4" t="s">
        <v>389</v>
      </c>
      <c r="E3335" s="4" t="s">
        <v>402</v>
      </c>
    </row>
    <row r="3336" spans="1:5" ht="26" hidden="1" x14ac:dyDescent="0.15">
      <c r="A3336" s="1" t="s">
        <v>44</v>
      </c>
      <c r="B3336" s="2">
        <v>41894</v>
      </c>
      <c r="C3336" s="3">
        <v>5.5E-2</v>
      </c>
      <c r="D3336" s="4" t="s">
        <v>389</v>
      </c>
      <c r="E3336" s="4" t="s">
        <v>402</v>
      </c>
    </row>
    <row r="3337" spans="1:5" hidden="1" x14ac:dyDescent="0.15">
      <c r="A3337" s="1" t="s">
        <v>45</v>
      </c>
      <c r="B3337" s="2">
        <v>97760</v>
      </c>
      <c r="C3337" s="3">
        <v>0.127</v>
      </c>
      <c r="D3337" s="4" t="s">
        <v>389</v>
      </c>
      <c r="E3337" s="4" t="s">
        <v>402</v>
      </c>
    </row>
    <row r="3338" spans="1:5" ht="26" hidden="1" x14ac:dyDescent="0.15">
      <c r="A3338" s="1" t="s">
        <v>46</v>
      </c>
      <c r="B3338" s="2">
        <v>266215</v>
      </c>
      <c r="C3338" s="3">
        <v>0.34700000000000003</v>
      </c>
      <c r="D3338" s="4" t="s">
        <v>389</v>
      </c>
      <c r="E3338" s="4" t="s">
        <v>402</v>
      </c>
    </row>
    <row r="3339" spans="1:5" hidden="1" x14ac:dyDescent="0.15">
      <c r="A3339" s="1" t="s">
        <v>47</v>
      </c>
      <c r="B3339" s="2">
        <v>246625</v>
      </c>
      <c r="C3339" s="3">
        <v>0.32100000000000001</v>
      </c>
      <c r="D3339" s="4" t="s">
        <v>389</v>
      </c>
      <c r="E3339" s="4" t="s">
        <v>402</v>
      </c>
    </row>
    <row r="3340" spans="1:5" hidden="1" x14ac:dyDescent="0.15">
      <c r="A3340" s="1" t="s">
        <v>48</v>
      </c>
      <c r="B3340" s="2">
        <v>87007</v>
      </c>
      <c r="C3340" s="3">
        <v>0.113</v>
      </c>
      <c r="D3340" s="4" t="s">
        <v>389</v>
      </c>
      <c r="E3340" s="4" t="s">
        <v>402</v>
      </c>
    </row>
    <row r="3341" spans="1:5" hidden="1" x14ac:dyDescent="0.15">
      <c r="A3341" s="1" t="s">
        <v>49</v>
      </c>
      <c r="B3341" s="2">
        <v>140345</v>
      </c>
      <c r="C3341" s="3">
        <v>0.183</v>
      </c>
      <c r="D3341" s="4" t="s">
        <v>389</v>
      </c>
      <c r="E3341" s="4" t="s">
        <v>402</v>
      </c>
    </row>
    <row r="3342" spans="1:5" ht="26" hidden="1" x14ac:dyDescent="0.15">
      <c r="A3342" s="1" t="s">
        <v>50</v>
      </c>
      <c r="B3342" s="2">
        <v>111841</v>
      </c>
      <c r="C3342" s="3">
        <v>0.14599999999999999</v>
      </c>
      <c r="D3342" s="4" t="s">
        <v>389</v>
      </c>
      <c r="E3342" s="4" t="s">
        <v>402</v>
      </c>
    </row>
    <row r="3343" spans="1:5" hidden="1" x14ac:dyDescent="0.15">
      <c r="A3343" s="1" t="s">
        <v>51</v>
      </c>
      <c r="B3343" s="2">
        <v>223959</v>
      </c>
      <c r="C3343" s="3">
        <v>0.29199999999999998</v>
      </c>
      <c r="D3343" s="4" t="s">
        <v>389</v>
      </c>
      <c r="E3343" s="4" t="s">
        <v>402</v>
      </c>
    </row>
    <row r="3344" spans="1:5" hidden="1" x14ac:dyDescent="0.15">
      <c r="A3344" s="1" t="s">
        <v>52</v>
      </c>
      <c r="B3344" s="2">
        <v>115041</v>
      </c>
      <c r="C3344" s="3">
        <v>0.15</v>
      </c>
      <c r="D3344" s="4" t="s">
        <v>389</v>
      </c>
      <c r="E3344" s="4" t="s">
        <v>402</v>
      </c>
    </row>
    <row r="3345" spans="1:5" ht="26" hidden="1" x14ac:dyDescent="0.15">
      <c r="A3345" s="1" t="s">
        <v>53</v>
      </c>
      <c r="B3345" s="2">
        <v>58117</v>
      </c>
      <c r="C3345" s="3">
        <v>7.5999999999999998E-2</v>
      </c>
      <c r="D3345" s="4" t="s">
        <v>389</v>
      </c>
      <c r="E3345" s="4" t="s">
        <v>402</v>
      </c>
    </row>
    <row r="3346" spans="1:5" hidden="1" x14ac:dyDescent="0.15">
      <c r="A3346" s="1" t="s">
        <v>54</v>
      </c>
      <c r="B3346" s="2">
        <v>262689</v>
      </c>
      <c r="C3346" s="3">
        <v>0.34200000000000003</v>
      </c>
      <c r="D3346" s="4" t="s">
        <v>389</v>
      </c>
      <c r="E3346" s="4" t="s">
        <v>402</v>
      </c>
    </row>
    <row r="3347" spans="1:5" ht="26" hidden="1" x14ac:dyDescent="0.15">
      <c r="A3347" s="1" t="s">
        <v>55</v>
      </c>
      <c r="B3347" s="2">
        <v>136386</v>
      </c>
      <c r="C3347" s="3">
        <v>0.17800000000000002</v>
      </c>
      <c r="D3347" s="4" t="s">
        <v>389</v>
      </c>
      <c r="E3347" s="4" t="s">
        <v>402</v>
      </c>
    </row>
    <row r="3348" spans="1:5" hidden="1" x14ac:dyDescent="0.15">
      <c r="A3348" s="1" t="s">
        <v>56</v>
      </c>
      <c r="B3348" s="2">
        <v>155262</v>
      </c>
      <c r="C3348" s="3">
        <v>0.20199999999999999</v>
      </c>
      <c r="D3348" s="4" t="s">
        <v>389</v>
      </c>
      <c r="E3348" s="4" t="s">
        <v>402</v>
      </c>
    </row>
    <row r="3349" spans="1:5" hidden="1" x14ac:dyDescent="0.15">
      <c r="A3349" s="1" t="s">
        <v>57</v>
      </c>
      <c r="B3349" s="2">
        <v>91890</v>
      </c>
      <c r="C3349" s="3">
        <v>0.12</v>
      </c>
      <c r="D3349" s="4" t="s">
        <v>389</v>
      </c>
      <c r="E3349" s="4" t="s">
        <v>402</v>
      </c>
    </row>
    <row r="3350" spans="1:5" hidden="1" x14ac:dyDescent="0.15">
      <c r="A3350" s="1" t="s">
        <v>58</v>
      </c>
      <c r="B3350" s="2">
        <v>111106</v>
      </c>
      <c r="C3350" s="3">
        <v>0.14499999999999999</v>
      </c>
      <c r="D3350" s="4" t="s">
        <v>389</v>
      </c>
      <c r="E3350" s="4" t="s">
        <v>402</v>
      </c>
    </row>
    <row r="3351" spans="1:5" hidden="1" x14ac:dyDescent="0.15">
      <c r="A3351" s="1" t="s">
        <v>59</v>
      </c>
      <c r="B3351" s="2">
        <v>416832</v>
      </c>
      <c r="C3351" s="3">
        <v>0.54299999999999993</v>
      </c>
      <c r="D3351" s="4" t="s">
        <v>389</v>
      </c>
      <c r="E3351" s="4" t="s">
        <v>402</v>
      </c>
    </row>
    <row r="3352" spans="1:5" hidden="1" x14ac:dyDescent="0.15">
      <c r="A3352" s="1" t="s">
        <v>60</v>
      </c>
      <c r="B3352" s="2">
        <v>161675</v>
      </c>
      <c r="C3352" s="3">
        <v>0.21100000000000002</v>
      </c>
      <c r="D3352" s="4" t="s">
        <v>389</v>
      </c>
      <c r="E3352" s="4" t="s">
        <v>402</v>
      </c>
    </row>
    <row r="3353" spans="1:5" ht="26" hidden="1" x14ac:dyDescent="0.15">
      <c r="A3353" s="1" t="s">
        <v>61</v>
      </c>
      <c r="B3353" s="2">
        <v>216063</v>
      </c>
      <c r="C3353" s="3">
        <v>0.28100000000000003</v>
      </c>
      <c r="D3353" s="4" t="s">
        <v>389</v>
      </c>
      <c r="E3353" s="4" t="s">
        <v>402</v>
      </c>
    </row>
    <row r="3354" spans="1:5" hidden="1" x14ac:dyDescent="0.15">
      <c r="A3354" s="1" t="s">
        <v>62</v>
      </c>
      <c r="B3354" s="2">
        <v>60954</v>
      </c>
      <c r="C3354" s="3">
        <v>7.9000000000000001E-2</v>
      </c>
      <c r="D3354" s="4" t="s">
        <v>389</v>
      </c>
      <c r="E3354" s="4" t="s">
        <v>402</v>
      </c>
    </row>
    <row r="3355" spans="1:5" ht="26" hidden="1" x14ac:dyDescent="0.15">
      <c r="A3355" s="1" t="s">
        <v>63</v>
      </c>
      <c r="B3355" s="2">
        <v>109327</v>
      </c>
      <c r="C3355" s="3">
        <v>0.14199999999999999</v>
      </c>
      <c r="D3355" s="4" t="s">
        <v>389</v>
      </c>
      <c r="E3355" s="4" t="s">
        <v>402</v>
      </c>
    </row>
    <row r="3356" spans="1:5" ht="26" hidden="1" x14ac:dyDescent="0.15">
      <c r="A3356" s="1" t="s">
        <v>64</v>
      </c>
      <c r="B3356" s="2">
        <v>54026</v>
      </c>
      <c r="C3356" s="3">
        <v>7.0000000000000007E-2</v>
      </c>
      <c r="D3356" s="4" t="s">
        <v>389</v>
      </c>
      <c r="E3356" s="4" t="s">
        <v>402</v>
      </c>
    </row>
    <row r="3357" spans="1:5" hidden="1" x14ac:dyDescent="0.15">
      <c r="A3357" s="1" t="s">
        <v>65</v>
      </c>
      <c r="B3357" s="2">
        <v>83689</v>
      </c>
      <c r="C3357" s="3">
        <v>0.109</v>
      </c>
      <c r="D3357" s="4" t="s">
        <v>389</v>
      </c>
      <c r="E3357" s="4" t="s">
        <v>402</v>
      </c>
    </row>
    <row r="3358" spans="1:5" hidden="1" x14ac:dyDescent="0.15">
      <c r="A3358" s="1" t="s">
        <v>66</v>
      </c>
      <c r="B3358" s="2">
        <v>52304</v>
      </c>
      <c r="C3358" s="3">
        <v>6.8000000000000005E-2</v>
      </c>
      <c r="D3358" s="4" t="s">
        <v>389</v>
      </c>
      <c r="E3358" s="4" t="s">
        <v>402</v>
      </c>
    </row>
    <row r="3359" spans="1:5" hidden="1" x14ac:dyDescent="0.15">
      <c r="A3359" s="1" t="s">
        <v>67</v>
      </c>
      <c r="B3359" s="2">
        <v>170016</v>
      </c>
      <c r="C3359" s="3">
        <v>0.221</v>
      </c>
      <c r="D3359" s="4" t="s">
        <v>389</v>
      </c>
      <c r="E3359" s="4" t="s">
        <v>402</v>
      </c>
    </row>
    <row r="3360" spans="1:5" hidden="1" x14ac:dyDescent="0.15">
      <c r="A3360" s="1" t="s">
        <v>68</v>
      </c>
      <c r="B3360" s="2">
        <v>255346</v>
      </c>
      <c r="C3360" s="3">
        <v>0.33299999999999996</v>
      </c>
      <c r="D3360" s="4" t="s">
        <v>389</v>
      </c>
      <c r="E3360" s="4" t="s">
        <v>402</v>
      </c>
    </row>
    <row r="3361" spans="1:5" hidden="1" x14ac:dyDescent="0.15">
      <c r="A3361" s="1" t="s">
        <v>69</v>
      </c>
      <c r="B3361" s="2">
        <v>402333</v>
      </c>
      <c r="C3361" s="3">
        <v>0.52400000000000002</v>
      </c>
      <c r="D3361" s="4" t="s">
        <v>389</v>
      </c>
      <c r="E3361" s="4" t="s">
        <v>402</v>
      </c>
    </row>
    <row r="3362" spans="1:5" hidden="1" x14ac:dyDescent="0.15">
      <c r="A3362" s="1" t="s">
        <v>70</v>
      </c>
      <c r="B3362" s="2">
        <v>174894</v>
      </c>
      <c r="C3362" s="3">
        <v>0.22800000000000001</v>
      </c>
      <c r="D3362" s="4" t="s">
        <v>389</v>
      </c>
      <c r="E3362" s="4" t="s">
        <v>402</v>
      </c>
    </row>
    <row r="3363" spans="1:5" ht="26" hidden="1" x14ac:dyDescent="0.15">
      <c r="A3363" s="1" t="s">
        <v>71</v>
      </c>
      <c r="B3363" s="2">
        <v>29623</v>
      </c>
      <c r="C3363" s="3">
        <v>3.9E-2</v>
      </c>
      <c r="D3363" s="4" t="s">
        <v>389</v>
      </c>
      <c r="E3363" s="4" t="s">
        <v>402</v>
      </c>
    </row>
    <row r="3364" spans="1:5" hidden="1" x14ac:dyDescent="0.15">
      <c r="A3364" s="1" t="s">
        <v>72</v>
      </c>
      <c r="B3364" s="2">
        <v>61524</v>
      </c>
      <c r="C3364" s="3">
        <v>0.08</v>
      </c>
      <c r="D3364" s="4" t="s">
        <v>389</v>
      </c>
      <c r="E3364" s="4" t="s">
        <v>402</v>
      </c>
    </row>
    <row r="3365" spans="1:5" hidden="1" x14ac:dyDescent="0.15">
      <c r="A3365" s="1" t="s">
        <v>73</v>
      </c>
      <c r="B3365" s="2">
        <v>469966</v>
      </c>
      <c r="C3365" s="3">
        <v>0.61199999999999999</v>
      </c>
      <c r="D3365" s="4" t="s">
        <v>389</v>
      </c>
      <c r="E3365" s="4" t="s">
        <v>402</v>
      </c>
    </row>
    <row r="3366" spans="1:5" hidden="1" x14ac:dyDescent="0.15">
      <c r="A3366" s="1" t="s">
        <v>74</v>
      </c>
      <c r="B3366" s="2">
        <v>231804</v>
      </c>
      <c r="C3366" s="3">
        <v>0.30199999999999999</v>
      </c>
      <c r="D3366" s="4" t="s">
        <v>389</v>
      </c>
      <c r="E3366" s="4" t="s">
        <v>402</v>
      </c>
    </row>
    <row r="3367" spans="1:5" hidden="1" x14ac:dyDescent="0.15">
      <c r="A3367" s="1" t="s">
        <v>75</v>
      </c>
      <c r="B3367" s="2">
        <v>108226</v>
      </c>
      <c r="C3367" s="3">
        <v>0.14099999999999999</v>
      </c>
      <c r="D3367" s="4" t="s">
        <v>389</v>
      </c>
      <c r="E3367" s="4" t="s">
        <v>402</v>
      </c>
    </row>
    <row r="3368" spans="1:5" hidden="1" x14ac:dyDescent="0.15">
      <c r="A3368" s="1" t="s">
        <v>76</v>
      </c>
      <c r="B3368" s="2">
        <v>57566</v>
      </c>
      <c r="C3368" s="3">
        <v>7.4999999999999997E-2</v>
      </c>
      <c r="D3368" s="4" t="s">
        <v>389</v>
      </c>
      <c r="E3368" s="4" t="s">
        <v>402</v>
      </c>
    </row>
    <row r="3369" spans="1:5" hidden="1" x14ac:dyDescent="0.15">
      <c r="A3369" s="1" t="s">
        <v>77</v>
      </c>
      <c r="B3369" s="2">
        <v>30338</v>
      </c>
      <c r="C3369" s="3">
        <v>0.04</v>
      </c>
      <c r="D3369" s="4" t="s">
        <v>389</v>
      </c>
      <c r="E3369" s="4" t="s">
        <v>402</v>
      </c>
    </row>
    <row r="3370" spans="1:5" ht="26" hidden="1" x14ac:dyDescent="0.15">
      <c r="A3370" s="1" t="s">
        <v>78</v>
      </c>
      <c r="B3370" s="2">
        <v>68826</v>
      </c>
      <c r="C3370" s="3">
        <v>0.09</v>
      </c>
      <c r="D3370" s="4" t="s">
        <v>389</v>
      </c>
      <c r="E3370" s="4" t="s">
        <v>402</v>
      </c>
    </row>
    <row r="3371" spans="1:5" hidden="1" x14ac:dyDescent="0.15">
      <c r="A3371" s="1" t="s">
        <v>79</v>
      </c>
      <c r="B3371" s="2">
        <v>86197</v>
      </c>
      <c r="C3371" s="3">
        <v>0.11199999999999999</v>
      </c>
      <c r="D3371" s="4" t="s">
        <v>389</v>
      </c>
      <c r="E3371" s="4" t="s">
        <v>402</v>
      </c>
    </row>
    <row r="3372" spans="1:5" hidden="1" x14ac:dyDescent="0.15">
      <c r="A3372" s="1" t="s">
        <v>80</v>
      </c>
      <c r="B3372" s="2">
        <v>131558</v>
      </c>
      <c r="C3372" s="3">
        <v>0.17100000000000001</v>
      </c>
      <c r="D3372" s="4" t="s">
        <v>389</v>
      </c>
      <c r="E3372" s="4" t="s">
        <v>402</v>
      </c>
    </row>
    <row r="3373" spans="1:5" ht="26" hidden="1" x14ac:dyDescent="0.15">
      <c r="A3373" s="1" t="s">
        <v>81</v>
      </c>
      <c r="B3373" s="2">
        <v>204256</v>
      </c>
      <c r="C3373" s="3">
        <v>0.26600000000000001</v>
      </c>
      <c r="D3373" s="4" t="s">
        <v>389</v>
      </c>
      <c r="E3373" s="4" t="s">
        <v>402</v>
      </c>
    </row>
    <row r="3374" spans="1:5" hidden="1" x14ac:dyDescent="0.15">
      <c r="A3374" s="1" t="s">
        <v>82</v>
      </c>
      <c r="B3374" s="2">
        <v>82844</v>
      </c>
      <c r="C3374" s="3">
        <v>0.10800000000000001</v>
      </c>
      <c r="D3374" s="4" t="s">
        <v>389</v>
      </c>
      <c r="E3374" s="4" t="s">
        <v>402</v>
      </c>
    </row>
    <row r="3375" spans="1:5" hidden="1" x14ac:dyDescent="0.15">
      <c r="A3375" s="4"/>
      <c r="B3375" s="4"/>
      <c r="C3375" s="4"/>
      <c r="D3375" s="4" t="s">
        <v>389</v>
      </c>
      <c r="E3375" s="4" t="s">
        <v>402</v>
      </c>
    </row>
    <row r="3376" spans="1:5" hidden="1" x14ac:dyDescent="0.15">
      <c r="A3376" s="5"/>
      <c r="B3376" s="5"/>
      <c r="C3376" s="5"/>
      <c r="D3376" s="4" t="s">
        <v>389</v>
      </c>
      <c r="E3376" s="4" t="s">
        <v>402</v>
      </c>
    </row>
    <row r="3377" spans="1:5" hidden="1" x14ac:dyDescent="0.15">
      <c r="A3377" s="1" t="s">
        <v>193</v>
      </c>
      <c r="B3377" s="2">
        <v>197603</v>
      </c>
      <c r="C3377" s="3">
        <v>0.25700000000000001</v>
      </c>
      <c r="D3377" s="4" t="s">
        <v>389</v>
      </c>
      <c r="E3377" s="4" t="s">
        <v>402</v>
      </c>
    </row>
    <row r="3378" spans="1:5" ht="26" hidden="1" x14ac:dyDescent="0.15">
      <c r="A3378" s="1" t="s">
        <v>192</v>
      </c>
      <c r="B3378" s="2">
        <v>353270</v>
      </c>
      <c r="C3378" s="3">
        <v>0.46</v>
      </c>
      <c r="D3378" s="4" t="s">
        <v>389</v>
      </c>
      <c r="E3378" s="4" t="s">
        <v>402</v>
      </c>
    </row>
    <row r="3379" spans="1:5" hidden="1" x14ac:dyDescent="0.15">
      <c r="A3379" s="4"/>
      <c r="B3379" s="4"/>
      <c r="C3379" s="4"/>
      <c r="D3379" s="4" t="s">
        <v>389</v>
      </c>
      <c r="E3379" s="4" t="s">
        <v>402</v>
      </c>
    </row>
    <row r="3380" spans="1:5" hidden="1" x14ac:dyDescent="0.15">
      <c r="A3380" s="5"/>
      <c r="B3380" s="5"/>
      <c r="C3380" s="5"/>
      <c r="D3380" s="4" t="s">
        <v>389</v>
      </c>
      <c r="E3380" s="4" t="s">
        <v>402</v>
      </c>
    </row>
    <row r="3381" spans="1:5" ht="26" hidden="1" x14ac:dyDescent="0.15">
      <c r="A3381" s="1" t="s">
        <v>390</v>
      </c>
      <c r="B3381" s="2">
        <v>31449</v>
      </c>
      <c r="C3381" s="3">
        <v>4.0999999999999995E-2</v>
      </c>
      <c r="D3381" s="4" t="s">
        <v>389</v>
      </c>
      <c r="E3381" s="4" t="s">
        <v>402</v>
      </c>
    </row>
    <row r="3382" spans="1:5" hidden="1" x14ac:dyDescent="0.15">
      <c r="A3382" s="4"/>
      <c r="B3382" s="4"/>
      <c r="C3382" s="4"/>
      <c r="D3382" s="4" t="s">
        <v>389</v>
      </c>
      <c r="E3382" s="4" t="s">
        <v>402</v>
      </c>
    </row>
    <row r="3383" spans="1:5" hidden="1" x14ac:dyDescent="0.15">
      <c r="A3383" s="5"/>
      <c r="B3383" s="5"/>
      <c r="C3383" s="5"/>
      <c r="D3383" s="4" t="s">
        <v>389</v>
      </c>
      <c r="E3383" s="4" t="s">
        <v>402</v>
      </c>
    </row>
    <row r="3384" spans="1:5" ht="26" hidden="1" x14ac:dyDescent="0.15">
      <c r="A3384" s="1" t="s">
        <v>196</v>
      </c>
      <c r="B3384" s="2">
        <v>168227</v>
      </c>
      <c r="C3384" s="3">
        <v>0.21899999999999997</v>
      </c>
      <c r="D3384" s="4" t="s">
        <v>389</v>
      </c>
      <c r="E3384" s="4" t="s">
        <v>402</v>
      </c>
    </row>
    <row r="3385" spans="1:5" hidden="1" x14ac:dyDescent="0.15">
      <c r="A3385" s="4"/>
      <c r="B3385" s="4"/>
      <c r="C3385" s="4"/>
      <c r="D3385" s="4" t="s">
        <v>389</v>
      </c>
      <c r="E3385" s="4" t="s">
        <v>402</v>
      </c>
    </row>
    <row r="3386" spans="1:5" hidden="1" x14ac:dyDescent="0.15">
      <c r="A3386" s="5"/>
      <c r="B3386" s="5"/>
      <c r="C3386" s="5"/>
      <c r="D3386" s="4" t="s">
        <v>389</v>
      </c>
      <c r="E3386" s="4" t="s">
        <v>402</v>
      </c>
    </row>
    <row r="3387" spans="1:5" ht="26" hidden="1" x14ac:dyDescent="0.15">
      <c r="A3387" s="1" t="s">
        <v>197</v>
      </c>
      <c r="B3387" s="2">
        <v>297393</v>
      </c>
      <c r="C3387" s="3">
        <v>0.38700000000000001</v>
      </c>
      <c r="D3387" s="4" t="s">
        <v>389</v>
      </c>
      <c r="E3387" s="4" t="s">
        <v>402</v>
      </c>
    </row>
    <row r="3388" spans="1:5" hidden="1" x14ac:dyDescent="0.15">
      <c r="A3388" s="1" t="s">
        <v>198</v>
      </c>
      <c r="B3388" s="2">
        <v>234080</v>
      </c>
      <c r="C3388" s="3">
        <v>0.30499999999999999</v>
      </c>
      <c r="D3388" s="4" t="s">
        <v>389</v>
      </c>
      <c r="E3388" s="4" t="s">
        <v>402</v>
      </c>
    </row>
    <row r="3389" spans="1:5" hidden="1" x14ac:dyDescent="0.15">
      <c r="A3389" s="4"/>
      <c r="B3389" s="4"/>
      <c r="C3389" s="4"/>
      <c r="D3389" s="4" t="s">
        <v>389</v>
      </c>
      <c r="E3389" s="4" t="s">
        <v>402</v>
      </c>
    </row>
    <row r="3390" spans="1:5" hidden="1" x14ac:dyDescent="0.15">
      <c r="A3390" s="5"/>
      <c r="B3390" s="5"/>
      <c r="C3390" s="5"/>
      <c r="D3390" s="4" t="s">
        <v>389</v>
      </c>
      <c r="E3390" s="4" t="s">
        <v>402</v>
      </c>
    </row>
    <row r="3391" spans="1:5" ht="26" hidden="1" x14ac:dyDescent="0.15">
      <c r="A3391" s="1" t="s">
        <v>391</v>
      </c>
      <c r="B3391" s="2">
        <v>46665</v>
      </c>
      <c r="C3391" s="3">
        <v>6.0999999999999999E-2</v>
      </c>
      <c r="D3391" s="4" t="s">
        <v>389</v>
      </c>
      <c r="E3391" s="4" t="s">
        <v>402</v>
      </c>
    </row>
    <row r="3392" spans="1:5" ht="26" hidden="1" x14ac:dyDescent="0.15">
      <c r="A3392" s="1" t="s">
        <v>392</v>
      </c>
      <c r="B3392" s="2">
        <v>40117</v>
      </c>
      <c r="C3392" s="3">
        <v>5.2000000000000005E-2</v>
      </c>
      <c r="D3392" s="4" t="s">
        <v>389</v>
      </c>
      <c r="E3392" s="4" t="s">
        <v>402</v>
      </c>
    </row>
    <row r="3393" spans="1:5" ht="26" hidden="1" x14ac:dyDescent="0.15">
      <c r="A3393" s="1" t="s">
        <v>393</v>
      </c>
      <c r="B3393" s="2">
        <v>107323</v>
      </c>
      <c r="C3393" s="3">
        <v>0.14000000000000001</v>
      </c>
      <c r="D3393" s="4" t="s">
        <v>389</v>
      </c>
      <c r="E3393" s="4" t="s">
        <v>402</v>
      </c>
    </row>
    <row r="3394" spans="1:5" hidden="1" x14ac:dyDescent="0.15">
      <c r="A3394" s="4"/>
      <c r="B3394" s="4"/>
      <c r="C3394" s="4"/>
      <c r="D3394" s="4" t="s">
        <v>389</v>
      </c>
      <c r="E3394" s="4" t="s">
        <v>402</v>
      </c>
    </row>
    <row r="3395" spans="1:5" hidden="1" x14ac:dyDescent="0.15">
      <c r="A3395" s="5" t="s">
        <v>394</v>
      </c>
      <c r="B3395" s="5"/>
      <c r="C3395" s="5"/>
      <c r="D3395" s="4" t="s">
        <v>389</v>
      </c>
      <c r="E3395" s="4" t="s">
        <v>402</v>
      </c>
    </row>
    <row r="3396" spans="1:5" ht="78" hidden="1" x14ac:dyDescent="0.15">
      <c r="A3396" s="1" t="s">
        <v>395</v>
      </c>
      <c r="B3396" s="2">
        <v>15889</v>
      </c>
      <c r="C3396" s="3">
        <v>2.1000000000000001E-2</v>
      </c>
      <c r="D3396" s="4" t="s">
        <v>389</v>
      </c>
      <c r="E3396" s="4" t="s">
        <v>402</v>
      </c>
    </row>
    <row r="3397" spans="1:5" hidden="1" x14ac:dyDescent="0.15">
      <c r="A3397" s="4"/>
      <c r="B3397" s="4"/>
      <c r="C3397" s="4"/>
      <c r="D3397" s="4" t="s">
        <v>389</v>
      </c>
      <c r="E3397" s="4" t="s">
        <v>402</v>
      </c>
    </row>
    <row r="3398" spans="1:5" hidden="1" x14ac:dyDescent="0.15">
      <c r="A3398" s="5"/>
      <c r="B3398" s="5"/>
      <c r="C3398" s="5"/>
      <c r="D3398" s="4" t="s">
        <v>389</v>
      </c>
      <c r="E3398" s="4" t="s">
        <v>402</v>
      </c>
    </row>
    <row r="3399" spans="1:5" hidden="1" x14ac:dyDescent="0.15">
      <c r="A3399" s="1" t="s">
        <v>396</v>
      </c>
      <c r="B3399" s="2">
        <v>61262</v>
      </c>
      <c r="C3399" s="3">
        <v>0.08</v>
      </c>
      <c r="D3399" s="4" t="s">
        <v>389</v>
      </c>
      <c r="E3399" s="4" t="s">
        <v>402</v>
      </c>
    </row>
    <row r="3400" spans="1:5" hidden="1" x14ac:dyDescent="0.15">
      <c r="A3400" s="4"/>
      <c r="B3400" s="4"/>
      <c r="C3400" s="4"/>
      <c r="D3400" s="4" t="s">
        <v>389</v>
      </c>
      <c r="E3400" s="4" t="s">
        <v>402</v>
      </c>
    </row>
    <row r="3401" spans="1:5" hidden="1" x14ac:dyDescent="0.15">
      <c r="A3401" s="5" t="s">
        <v>397</v>
      </c>
      <c r="B3401" s="5"/>
      <c r="C3401" s="5"/>
      <c r="D3401" s="4" t="s">
        <v>389</v>
      </c>
      <c r="E3401" s="4" t="s">
        <v>402</v>
      </c>
    </row>
    <row r="3402" spans="1:5" ht="26" hidden="1" x14ac:dyDescent="0.15">
      <c r="A3402" s="1" t="s">
        <v>398</v>
      </c>
      <c r="B3402" s="2">
        <v>25600</v>
      </c>
      <c r="C3402" s="3">
        <v>3.3000000000000002E-2</v>
      </c>
      <c r="D3402" s="4" t="s">
        <v>389</v>
      </c>
      <c r="E3402" s="4" t="s">
        <v>402</v>
      </c>
    </row>
    <row r="3403" spans="1:5" ht="26" hidden="1" x14ac:dyDescent="0.15">
      <c r="A3403" s="1" t="s">
        <v>399</v>
      </c>
      <c r="B3403" s="2">
        <v>21157</v>
      </c>
      <c r="C3403" s="3">
        <v>2.7999999999999997E-2</v>
      </c>
      <c r="D3403" s="4" t="s">
        <v>389</v>
      </c>
      <c r="E3403" s="4" t="s">
        <v>402</v>
      </c>
    </row>
    <row r="3404" spans="1:5" ht="39" hidden="1" x14ac:dyDescent="0.15">
      <c r="A3404" s="1" t="s">
        <v>400</v>
      </c>
      <c r="B3404" s="2">
        <v>15499</v>
      </c>
      <c r="C3404" s="3">
        <v>0.02</v>
      </c>
      <c r="D3404" s="4" t="s">
        <v>389</v>
      </c>
      <c r="E3404" s="4" t="s">
        <v>402</v>
      </c>
    </row>
    <row r="3405" spans="1:5" ht="26" hidden="1" x14ac:dyDescent="0.15">
      <c r="A3405" s="1" t="s">
        <v>401</v>
      </c>
      <c r="B3405" s="2">
        <v>18257</v>
      </c>
      <c r="C3405" s="3">
        <v>2.4E-2</v>
      </c>
      <c r="D3405" s="4" t="s">
        <v>389</v>
      </c>
      <c r="E3405" s="4" t="s">
        <v>402</v>
      </c>
    </row>
    <row r="3406" spans="1:5" hidden="1" x14ac:dyDescent="0.15">
      <c r="A3406" s="1" t="s">
        <v>0</v>
      </c>
      <c r="B3406" s="2">
        <v>5360659</v>
      </c>
      <c r="C3406" s="3">
        <v>1</v>
      </c>
      <c r="D3406" s="4" t="s">
        <v>389</v>
      </c>
      <c r="E3406" s="4" t="s">
        <v>403</v>
      </c>
    </row>
    <row r="3407" spans="1:5" ht="26" hidden="1" x14ac:dyDescent="0.15">
      <c r="A3407" s="1" t="s">
        <v>3</v>
      </c>
      <c r="B3407" s="2">
        <v>57745</v>
      </c>
      <c r="C3407" s="3">
        <v>1.1000000000000001E-2</v>
      </c>
      <c r="D3407" s="4" t="s">
        <v>389</v>
      </c>
      <c r="E3407" s="4" t="s">
        <v>403</v>
      </c>
    </row>
    <row r="3408" spans="1:5" hidden="1" x14ac:dyDescent="0.15">
      <c r="A3408" s="1" t="s">
        <v>4</v>
      </c>
      <c r="B3408" s="2">
        <v>34801</v>
      </c>
      <c r="C3408" s="3">
        <v>6.0000000000000001E-3</v>
      </c>
      <c r="D3408" s="4" t="s">
        <v>389</v>
      </c>
      <c r="E3408" s="4" t="s">
        <v>403</v>
      </c>
    </row>
    <row r="3409" spans="1:5" ht="26" hidden="1" x14ac:dyDescent="0.15">
      <c r="A3409" s="1" t="s">
        <v>5</v>
      </c>
      <c r="B3409" s="2">
        <v>105490</v>
      </c>
      <c r="C3409" s="3">
        <v>0.02</v>
      </c>
      <c r="D3409" s="4" t="s">
        <v>389</v>
      </c>
      <c r="E3409" s="4" t="s">
        <v>403</v>
      </c>
    </row>
    <row r="3410" spans="1:5" ht="26" hidden="1" x14ac:dyDescent="0.15">
      <c r="A3410" s="1" t="s">
        <v>6</v>
      </c>
      <c r="B3410" s="2">
        <v>333322</v>
      </c>
      <c r="C3410" s="3">
        <v>6.2E-2</v>
      </c>
      <c r="D3410" s="4" t="s">
        <v>389</v>
      </c>
      <c r="E3410" s="4" t="s">
        <v>403</v>
      </c>
    </row>
    <row r="3411" spans="1:5" ht="26" hidden="1" x14ac:dyDescent="0.15">
      <c r="A3411" s="1" t="s">
        <v>7</v>
      </c>
      <c r="B3411" s="2">
        <v>518942</v>
      </c>
      <c r="C3411" s="3">
        <v>9.6999999999999989E-2</v>
      </c>
      <c r="D3411" s="4" t="s">
        <v>389</v>
      </c>
      <c r="E3411" s="4" t="s">
        <v>403</v>
      </c>
    </row>
    <row r="3412" spans="1:5" ht="26" hidden="1" x14ac:dyDescent="0.15">
      <c r="A3412" s="1" t="s">
        <v>8</v>
      </c>
      <c r="B3412" s="2">
        <v>64589</v>
      </c>
      <c r="C3412" s="3">
        <v>1.2E-2</v>
      </c>
      <c r="D3412" s="4" t="s">
        <v>389</v>
      </c>
      <c r="E3412" s="4" t="s">
        <v>403</v>
      </c>
    </row>
    <row r="3413" spans="1:5" ht="26" hidden="1" x14ac:dyDescent="0.15">
      <c r="A3413" s="1" t="s">
        <v>9</v>
      </c>
      <c r="B3413" s="2">
        <v>316897</v>
      </c>
      <c r="C3413" s="3">
        <v>5.9000000000000004E-2</v>
      </c>
      <c r="D3413" s="4" t="s">
        <v>389</v>
      </c>
      <c r="E3413" s="4" t="s">
        <v>403</v>
      </c>
    </row>
    <row r="3414" spans="1:5" ht="26" hidden="1" x14ac:dyDescent="0.15">
      <c r="A3414" s="1" t="s">
        <v>10</v>
      </c>
      <c r="B3414" s="2">
        <v>100044</v>
      </c>
      <c r="C3414" s="3">
        <v>1.9E-2</v>
      </c>
      <c r="D3414" s="4" t="s">
        <v>389</v>
      </c>
      <c r="E3414" s="4" t="s">
        <v>403</v>
      </c>
    </row>
    <row r="3415" spans="1:5" ht="26" hidden="1" x14ac:dyDescent="0.15">
      <c r="A3415" s="1" t="s">
        <v>11</v>
      </c>
      <c r="B3415" s="2">
        <v>347584</v>
      </c>
      <c r="C3415" s="3">
        <v>6.5000000000000002E-2</v>
      </c>
      <c r="D3415" s="4" t="s">
        <v>389</v>
      </c>
      <c r="E3415" s="4" t="s">
        <v>403</v>
      </c>
    </row>
    <row r="3416" spans="1:5" ht="26" hidden="1" x14ac:dyDescent="0.15">
      <c r="A3416" s="1" t="s">
        <v>12</v>
      </c>
      <c r="B3416" s="2">
        <v>94544</v>
      </c>
      <c r="C3416" s="3">
        <v>1.8000000000000002E-2</v>
      </c>
      <c r="D3416" s="4" t="s">
        <v>389</v>
      </c>
      <c r="E3416" s="4" t="s">
        <v>403</v>
      </c>
    </row>
    <row r="3417" spans="1:5" ht="26" hidden="1" x14ac:dyDescent="0.15">
      <c r="A3417" s="1" t="s">
        <v>13</v>
      </c>
      <c r="B3417" s="2">
        <v>46838</v>
      </c>
      <c r="C3417" s="3">
        <v>9.0000000000000011E-3</v>
      </c>
      <c r="D3417" s="4" t="s">
        <v>389</v>
      </c>
      <c r="E3417" s="4" t="s">
        <v>403</v>
      </c>
    </row>
    <row r="3418" spans="1:5" hidden="1" x14ac:dyDescent="0.15">
      <c r="A3418" s="1" t="s">
        <v>14</v>
      </c>
      <c r="B3418" s="2">
        <v>423066</v>
      </c>
      <c r="C3418" s="3">
        <v>7.9000000000000001E-2</v>
      </c>
      <c r="D3418" s="4" t="s">
        <v>389</v>
      </c>
      <c r="E3418" s="4" t="s">
        <v>403</v>
      </c>
    </row>
    <row r="3419" spans="1:5" ht="26" hidden="1" x14ac:dyDescent="0.15">
      <c r="A3419" s="1" t="s">
        <v>15</v>
      </c>
      <c r="B3419" s="2">
        <v>175454</v>
      </c>
      <c r="C3419" s="3">
        <v>3.3000000000000002E-2</v>
      </c>
      <c r="D3419" s="4" t="s">
        <v>389</v>
      </c>
      <c r="E3419" s="4" t="s">
        <v>403</v>
      </c>
    </row>
    <row r="3420" spans="1:5" ht="26" hidden="1" x14ac:dyDescent="0.15">
      <c r="A3420" s="1" t="s">
        <v>16</v>
      </c>
      <c r="B3420" s="2">
        <v>124955</v>
      </c>
      <c r="C3420" s="3">
        <v>2.3E-2</v>
      </c>
      <c r="D3420" s="4" t="s">
        <v>389</v>
      </c>
      <c r="E3420" s="4" t="s">
        <v>403</v>
      </c>
    </row>
    <row r="3421" spans="1:5" ht="26" hidden="1" x14ac:dyDescent="0.15">
      <c r="A3421" s="1" t="s">
        <v>17</v>
      </c>
      <c r="B3421" s="2">
        <v>76221</v>
      </c>
      <c r="C3421" s="3">
        <v>1.3999999999999999E-2</v>
      </c>
      <c r="D3421" s="4" t="s">
        <v>389</v>
      </c>
      <c r="E3421" s="4" t="s">
        <v>403</v>
      </c>
    </row>
    <row r="3422" spans="1:5" hidden="1" x14ac:dyDescent="0.15">
      <c r="A3422" s="1" t="s">
        <v>18</v>
      </c>
      <c r="B3422" s="2">
        <v>91210</v>
      </c>
      <c r="C3422" s="3">
        <v>1.7000000000000001E-2</v>
      </c>
      <c r="D3422" s="4" t="s">
        <v>389</v>
      </c>
      <c r="E3422" s="4" t="s">
        <v>403</v>
      </c>
    </row>
    <row r="3423" spans="1:5" hidden="1" x14ac:dyDescent="0.15">
      <c r="A3423" s="1" t="s">
        <v>19</v>
      </c>
      <c r="B3423" s="2">
        <v>1155931</v>
      </c>
      <c r="C3423" s="3">
        <v>0.21600000000000003</v>
      </c>
      <c r="D3423" s="4" t="s">
        <v>389</v>
      </c>
      <c r="E3423" s="4" t="s">
        <v>403</v>
      </c>
    </row>
    <row r="3424" spans="1:5" hidden="1" x14ac:dyDescent="0.15">
      <c r="A3424" s="1" t="s">
        <v>20</v>
      </c>
      <c r="B3424" s="2">
        <v>212250</v>
      </c>
      <c r="C3424" s="3">
        <v>0.04</v>
      </c>
      <c r="D3424" s="4" t="s">
        <v>389</v>
      </c>
      <c r="E3424" s="4" t="s">
        <v>403</v>
      </c>
    </row>
    <row r="3425" spans="1:5" ht="26" hidden="1" x14ac:dyDescent="0.15">
      <c r="A3425" s="1" t="s">
        <v>21</v>
      </c>
      <c r="B3425" s="2">
        <v>227793</v>
      </c>
      <c r="C3425" s="3">
        <v>4.2000000000000003E-2</v>
      </c>
      <c r="D3425" s="4" t="s">
        <v>389</v>
      </c>
      <c r="E3425" s="4" t="s">
        <v>403</v>
      </c>
    </row>
    <row r="3426" spans="1:5" ht="26" hidden="1" x14ac:dyDescent="0.15">
      <c r="A3426" s="1" t="s">
        <v>22</v>
      </c>
      <c r="B3426" s="2">
        <v>111286</v>
      </c>
      <c r="C3426" s="3">
        <v>2.1000000000000001E-2</v>
      </c>
      <c r="D3426" s="4" t="s">
        <v>389</v>
      </c>
      <c r="E3426" s="4" t="s">
        <v>403</v>
      </c>
    </row>
    <row r="3427" spans="1:5" ht="26" hidden="1" x14ac:dyDescent="0.15">
      <c r="A3427" s="1" t="s">
        <v>23</v>
      </c>
      <c r="B3427" s="2">
        <v>74746</v>
      </c>
      <c r="C3427" s="3">
        <v>1.3999999999999999E-2</v>
      </c>
      <c r="D3427" s="4" t="s">
        <v>389</v>
      </c>
      <c r="E3427" s="4" t="s">
        <v>403</v>
      </c>
    </row>
    <row r="3428" spans="1:5" ht="26" hidden="1" x14ac:dyDescent="0.15">
      <c r="A3428" s="1" t="s">
        <v>24</v>
      </c>
      <c r="B3428" s="2">
        <v>39008</v>
      </c>
      <c r="C3428" s="3">
        <v>6.9999999999999993E-3</v>
      </c>
      <c r="D3428" s="4" t="s">
        <v>389</v>
      </c>
      <c r="E3428" s="4" t="s">
        <v>403</v>
      </c>
    </row>
    <row r="3429" spans="1:5" ht="26" hidden="1" x14ac:dyDescent="0.15">
      <c r="A3429" s="1" t="s">
        <v>25</v>
      </c>
      <c r="B3429" s="2">
        <v>67531</v>
      </c>
      <c r="C3429" s="3">
        <v>1.3000000000000001E-2</v>
      </c>
      <c r="D3429" s="4" t="s">
        <v>389</v>
      </c>
      <c r="E3429" s="4" t="s">
        <v>403</v>
      </c>
    </row>
    <row r="3430" spans="1:5" hidden="1" x14ac:dyDescent="0.15">
      <c r="A3430" s="1" t="s">
        <v>26</v>
      </c>
      <c r="B3430" s="2">
        <v>60632</v>
      </c>
      <c r="C3430" s="3">
        <v>1.1000000000000001E-2</v>
      </c>
      <c r="D3430" s="4" t="s">
        <v>389</v>
      </c>
      <c r="E3430" s="4" t="s">
        <v>403</v>
      </c>
    </row>
    <row r="3431" spans="1:5" hidden="1" x14ac:dyDescent="0.15">
      <c r="A3431" s="1" t="s">
        <v>27</v>
      </c>
      <c r="B3431" s="2">
        <v>247228</v>
      </c>
      <c r="C3431" s="3">
        <v>4.5999999999999999E-2</v>
      </c>
      <c r="D3431" s="4" t="s">
        <v>389</v>
      </c>
      <c r="E3431" s="4" t="s">
        <v>403</v>
      </c>
    </row>
    <row r="3432" spans="1:5" hidden="1" x14ac:dyDescent="0.15">
      <c r="A3432" s="1" t="s">
        <v>28</v>
      </c>
      <c r="B3432" s="2">
        <v>434067</v>
      </c>
      <c r="C3432" s="3">
        <v>8.1000000000000003E-2</v>
      </c>
      <c r="D3432" s="4" t="s">
        <v>389</v>
      </c>
      <c r="E3432" s="4" t="s">
        <v>403</v>
      </c>
    </row>
    <row r="3433" spans="1:5" hidden="1" x14ac:dyDescent="0.15">
      <c r="A3433" s="1" t="s">
        <v>29</v>
      </c>
      <c r="B3433" s="2">
        <v>1462811</v>
      </c>
      <c r="C3433" s="3">
        <v>0.27300000000000002</v>
      </c>
      <c r="D3433" s="4" t="s">
        <v>389</v>
      </c>
      <c r="E3433" s="4" t="s">
        <v>403</v>
      </c>
    </row>
    <row r="3434" spans="1:5" hidden="1" x14ac:dyDescent="0.15">
      <c r="A3434" s="1" t="s">
        <v>30</v>
      </c>
      <c r="B3434" s="2">
        <v>425771</v>
      </c>
      <c r="C3434" s="3">
        <v>7.9000000000000001E-2</v>
      </c>
      <c r="D3434" s="4" t="s">
        <v>389</v>
      </c>
      <c r="E3434" s="4" t="s">
        <v>403</v>
      </c>
    </row>
    <row r="3435" spans="1:5" ht="39" hidden="1" x14ac:dyDescent="0.15">
      <c r="A3435" s="1" t="s">
        <v>31</v>
      </c>
      <c r="B3435" s="2">
        <v>54998</v>
      </c>
      <c r="C3435" s="3">
        <v>0.01</v>
      </c>
      <c r="D3435" s="4" t="s">
        <v>389</v>
      </c>
      <c r="E3435" s="4" t="s">
        <v>403</v>
      </c>
    </row>
    <row r="3436" spans="1:5" hidden="1" x14ac:dyDescent="0.15">
      <c r="A3436" s="1" t="s">
        <v>32</v>
      </c>
      <c r="B3436" s="2">
        <v>101486</v>
      </c>
      <c r="C3436" s="3">
        <v>1.9E-2</v>
      </c>
      <c r="D3436" s="4" t="s">
        <v>389</v>
      </c>
      <c r="E3436" s="4" t="s">
        <v>403</v>
      </c>
    </row>
    <row r="3437" spans="1:5" hidden="1" x14ac:dyDescent="0.15">
      <c r="A3437" s="1" t="s">
        <v>33</v>
      </c>
      <c r="B3437" s="2">
        <v>1429685</v>
      </c>
      <c r="C3437" s="3">
        <v>0.26700000000000002</v>
      </c>
      <c r="D3437" s="4" t="s">
        <v>389</v>
      </c>
      <c r="E3437" s="4" t="s">
        <v>403</v>
      </c>
    </row>
    <row r="3438" spans="1:5" hidden="1" x14ac:dyDescent="0.15">
      <c r="A3438" s="1" t="s">
        <v>34</v>
      </c>
      <c r="B3438" s="2">
        <v>290497</v>
      </c>
      <c r="C3438" s="3">
        <v>5.4000000000000006E-2</v>
      </c>
      <c r="D3438" s="4" t="s">
        <v>389</v>
      </c>
      <c r="E3438" s="4" t="s">
        <v>403</v>
      </c>
    </row>
    <row r="3439" spans="1:5" hidden="1" x14ac:dyDescent="0.15">
      <c r="A3439" s="1" t="s">
        <v>35</v>
      </c>
      <c r="B3439" s="2">
        <v>314974</v>
      </c>
      <c r="C3439" s="3">
        <v>5.9000000000000004E-2</v>
      </c>
      <c r="D3439" s="4" t="s">
        <v>389</v>
      </c>
      <c r="E3439" s="4" t="s">
        <v>403</v>
      </c>
    </row>
    <row r="3440" spans="1:5" ht="26" hidden="1" x14ac:dyDescent="0.15">
      <c r="A3440" s="1" t="s">
        <v>36</v>
      </c>
      <c r="B3440" s="2">
        <v>39118</v>
      </c>
      <c r="C3440" s="3">
        <v>6.9999999999999993E-3</v>
      </c>
      <c r="D3440" s="4" t="s">
        <v>389</v>
      </c>
      <c r="E3440" s="4" t="s">
        <v>403</v>
      </c>
    </row>
    <row r="3441" spans="1:5" hidden="1" x14ac:dyDescent="0.15">
      <c r="A3441" s="1" t="s">
        <v>37</v>
      </c>
      <c r="B3441" s="2">
        <v>30825</v>
      </c>
      <c r="C3441" s="3">
        <v>6.0000000000000001E-3</v>
      </c>
      <c r="D3441" s="4" t="s">
        <v>389</v>
      </c>
      <c r="E3441" s="4" t="s">
        <v>403</v>
      </c>
    </row>
    <row r="3442" spans="1:5" ht="39" hidden="1" x14ac:dyDescent="0.15">
      <c r="A3442" s="1" t="s">
        <v>38</v>
      </c>
      <c r="B3442" s="2">
        <v>74503</v>
      </c>
      <c r="C3442" s="3">
        <v>1.3999999999999999E-2</v>
      </c>
      <c r="D3442" s="4" t="s">
        <v>389</v>
      </c>
      <c r="E3442" s="4" t="s">
        <v>403</v>
      </c>
    </row>
    <row r="3443" spans="1:5" hidden="1" x14ac:dyDescent="0.15">
      <c r="A3443" s="1" t="s">
        <v>39</v>
      </c>
      <c r="B3443" s="2">
        <v>217120</v>
      </c>
      <c r="C3443" s="3">
        <v>4.0999999999999995E-2</v>
      </c>
      <c r="D3443" s="4" t="s">
        <v>389</v>
      </c>
      <c r="E3443" s="4" t="s">
        <v>403</v>
      </c>
    </row>
    <row r="3444" spans="1:5" hidden="1" x14ac:dyDescent="0.15">
      <c r="A3444" s="1" t="s">
        <v>40</v>
      </c>
      <c r="B3444" s="2">
        <v>49619</v>
      </c>
      <c r="C3444" s="3">
        <v>9.0000000000000011E-3</v>
      </c>
      <c r="D3444" s="4" t="s">
        <v>389</v>
      </c>
      <c r="E3444" s="4" t="s">
        <v>403</v>
      </c>
    </row>
    <row r="3445" spans="1:5" hidden="1" x14ac:dyDescent="0.15">
      <c r="A3445" s="1" t="s">
        <v>41</v>
      </c>
      <c r="B3445" s="2">
        <v>206308</v>
      </c>
      <c r="C3445" s="3">
        <v>3.7999999999999999E-2</v>
      </c>
      <c r="D3445" s="4" t="s">
        <v>389</v>
      </c>
      <c r="E3445" s="4" t="s">
        <v>403</v>
      </c>
    </row>
    <row r="3446" spans="1:5" hidden="1" x14ac:dyDescent="0.15">
      <c r="A3446" s="1" t="s">
        <v>42</v>
      </c>
      <c r="B3446" s="2">
        <v>173813</v>
      </c>
      <c r="C3446" s="3">
        <v>3.2000000000000001E-2</v>
      </c>
      <c r="D3446" s="4" t="s">
        <v>389</v>
      </c>
      <c r="E3446" s="4" t="s">
        <v>403</v>
      </c>
    </row>
    <row r="3447" spans="1:5" hidden="1" x14ac:dyDescent="0.15">
      <c r="A3447" s="1" t="s">
        <v>43</v>
      </c>
      <c r="B3447" s="2">
        <v>292393</v>
      </c>
      <c r="C3447" s="3">
        <v>5.5E-2</v>
      </c>
      <c r="D3447" s="4" t="s">
        <v>389</v>
      </c>
      <c r="E3447" s="4" t="s">
        <v>403</v>
      </c>
    </row>
    <row r="3448" spans="1:5" ht="26" hidden="1" x14ac:dyDescent="0.15">
      <c r="A3448" s="1" t="s">
        <v>44</v>
      </c>
      <c r="B3448" s="2">
        <v>382259</v>
      </c>
      <c r="C3448" s="3">
        <v>7.0999999999999994E-2</v>
      </c>
      <c r="D3448" s="4" t="s">
        <v>389</v>
      </c>
      <c r="E3448" s="4" t="s">
        <v>403</v>
      </c>
    </row>
    <row r="3449" spans="1:5" hidden="1" x14ac:dyDescent="0.15">
      <c r="A3449" s="1" t="s">
        <v>45</v>
      </c>
      <c r="B3449" s="2">
        <v>669088</v>
      </c>
      <c r="C3449" s="3">
        <v>0.125</v>
      </c>
      <c r="D3449" s="4" t="s">
        <v>389</v>
      </c>
      <c r="E3449" s="4" t="s">
        <v>403</v>
      </c>
    </row>
    <row r="3450" spans="1:5" ht="26" hidden="1" x14ac:dyDescent="0.15">
      <c r="A3450" s="1" t="s">
        <v>46</v>
      </c>
      <c r="B3450" s="2">
        <v>1295919</v>
      </c>
      <c r="C3450" s="3">
        <v>0.24199999999999999</v>
      </c>
      <c r="D3450" s="4" t="s">
        <v>389</v>
      </c>
      <c r="E3450" s="4" t="s">
        <v>403</v>
      </c>
    </row>
    <row r="3451" spans="1:5" hidden="1" x14ac:dyDescent="0.15">
      <c r="A3451" s="1" t="s">
        <v>47</v>
      </c>
      <c r="B3451" s="2">
        <v>1527771</v>
      </c>
      <c r="C3451" s="3">
        <v>0.28499999999999998</v>
      </c>
      <c r="D3451" s="4" t="s">
        <v>389</v>
      </c>
      <c r="E3451" s="4" t="s">
        <v>403</v>
      </c>
    </row>
    <row r="3452" spans="1:5" hidden="1" x14ac:dyDescent="0.15">
      <c r="A3452" s="1" t="s">
        <v>48</v>
      </c>
      <c r="B3452" s="2">
        <v>418560</v>
      </c>
      <c r="C3452" s="3">
        <v>7.8E-2</v>
      </c>
      <c r="D3452" s="4" t="s">
        <v>389</v>
      </c>
      <c r="E3452" s="4" t="s">
        <v>403</v>
      </c>
    </row>
    <row r="3453" spans="1:5" hidden="1" x14ac:dyDescent="0.15">
      <c r="A3453" s="1" t="s">
        <v>49</v>
      </c>
      <c r="B3453" s="2">
        <v>894236</v>
      </c>
      <c r="C3453" s="3">
        <v>0.16699999999999998</v>
      </c>
      <c r="D3453" s="4" t="s">
        <v>389</v>
      </c>
      <c r="E3453" s="4" t="s">
        <v>403</v>
      </c>
    </row>
    <row r="3454" spans="1:5" ht="26" hidden="1" x14ac:dyDescent="0.15">
      <c r="A3454" s="1" t="s">
        <v>50</v>
      </c>
      <c r="B3454" s="2">
        <v>607941</v>
      </c>
      <c r="C3454" s="3">
        <v>0.113</v>
      </c>
      <c r="D3454" s="4" t="s">
        <v>389</v>
      </c>
      <c r="E3454" s="4" t="s">
        <v>403</v>
      </c>
    </row>
    <row r="3455" spans="1:5" hidden="1" x14ac:dyDescent="0.15">
      <c r="A3455" s="1" t="s">
        <v>51</v>
      </c>
      <c r="B3455" s="2">
        <v>1634119</v>
      </c>
      <c r="C3455" s="3">
        <v>0.30499999999999999</v>
      </c>
      <c r="D3455" s="4" t="s">
        <v>389</v>
      </c>
      <c r="E3455" s="4" t="s">
        <v>403</v>
      </c>
    </row>
    <row r="3456" spans="1:5" hidden="1" x14ac:dyDescent="0.15">
      <c r="A3456" s="1" t="s">
        <v>52</v>
      </c>
      <c r="B3456" s="2">
        <v>550653</v>
      </c>
      <c r="C3456" s="3">
        <v>0.10300000000000001</v>
      </c>
      <c r="D3456" s="4" t="s">
        <v>389</v>
      </c>
      <c r="E3456" s="4" t="s">
        <v>403</v>
      </c>
    </row>
    <row r="3457" spans="1:5" ht="26" hidden="1" x14ac:dyDescent="0.15">
      <c r="A3457" s="1" t="s">
        <v>53</v>
      </c>
      <c r="B3457" s="2">
        <v>341901</v>
      </c>
      <c r="C3457" s="3">
        <v>6.4000000000000001E-2</v>
      </c>
      <c r="D3457" s="4" t="s">
        <v>389</v>
      </c>
      <c r="E3457" s="4" t="s">
        <v>403</v>
      </c>
    </row>
    <row r="3458" spans="1:5" hidden="1" x14ac:dyDescent="0.15">
      <c r="A3458" s="1" t="s">
        <v>54</v>
      </c>
      <c r="B3458" s="2">
        <v>1752653</v>
      </c>
      <c r="C3458" s="3">
        <v>0.32700000000000001</v>
      </c>
      <c r="D3458" s="4" t="s">
        <v>389</v>
      </c>
      <c r="E3458" s="4" t="s">
        <v>403</v>
      </c>
    </row>
    <row r="3459" spans="1:5" ht="26" hidden="1" x14ac:dyDescent="0.15">
      <c r="A3459" s="1" t="s">
        <v>55</v>
      </c>
      <c r="B3459" s="2">
        <v>975896</v>
      </c>
      <c r="C3459" s="3">
        <v>0.182</v>
      </c>
      <c r="D3459" s="4" t="s">
        <v>389</v>
      </c>
      <c r="E3459" s="4" t="s">
        <v>403</v>
      </c>
    </row>
    <row r="3460" spans="1:5" hidden="1" x14ac:dyDescent="0.15">
      <c r="A3460" s="1" t="s">
        <v>56</v>
      </c>
      <c r="B3460" s="2">
        <v>1030490</v>
      </c>
      <c r="C3460" s="3">
        <v>0.192</v>
      </c>
      <c r="D3460" s="4" t="s">
        <v>389</v>
      </c>
      <c r="E3460" s="4" t="s">
        <v>403</v>
      </c>
    </row>
    <row r="3461" spans="1:5" hidden="1" x14ac:dyDescent="0.15">
      <c r="A3461" s="1" t="s">
        <v>57</v>
      </c>
      <c r="B3461" s="2">
        <v>537625</v>
      </c>
      <c r="C3461" s="3">
        <v>0.1</v>
      </c>
      <c r="D3461" s="4" t="s">
        <v>389</v>
      </c>
      <c r="E3461" s="4" t="s">
        <v>403</v>
      </c>
    </row>
    <row r="3462" spans="1:5" hidden="1" x14ac:dyDescent="0.15">
      <c r="A3462" s="1" t="s">
        <v>58</v>
      </c>
      <c r="B3462" s="2">
        <v>550997</v>
      </c>
      <c r="C3462" s="3">
        <v>0.10300000000000001</v>
      </c>
      <c r="D3462" s="4" t="s">
        <v>389</v>
      </c>
      <c r="E3462" s="4" t="s">
        <v>403</v>
      </c>
    </row>
    <row r="3463" spans="1:5" hidden="1" x14ac:dyDescent="0.15">
      <c r="A3463" s="1" t="s">
        <v>59</v>
      </c>
      <c r="B3463" s="2">
        <v>2726761</v>
      </c>
      <c r="C3463" s="3">
        <v>0.50900000000000001</v>
      </c>
      <c r="D3463" s="4" t="s">
        <v>389</v>
      </c>
      <c r="E3463" s="4" t="s">
        <v>403</v>
      </c>
    </row>
    <row r="3464" spans="1:5" hidden="1" x14ac:dyDescent="0.15">
      <c r="A3464" s="1" t="s">
        <v>60</v>
      </c>
      <c r="B3464" s="2">
        <v>975134</v>
      </c>
      <c r="C3464" s="3">
        <v>0.182</v>
      </c>
      <c r="D3464" s="4" t="s">
        <v>389</v>
      </c>
      <c r="E3464" s="4" t="s">
        <v>403</v>
      </c>
    </row>
    <row r="3465" spans="1:5" ht="26" hidden="1" x14ac:dyDescent="0.15">
      <c r="A3465" s="1" t="s">
        <v>61</v>
      </c>
      <c r="B3465" s="2">
        <v>1205883</v>
      </c>
      <c r="C3465" s="3">
        <v>0.22500000000000001</v>
      </c>
      <c r="D3465" s="4" t="s">
        <v>389</v>
      </c>
      <c r="E3465" s="4" t="s">
        <v>403</v>
      </c>
    </row>
    <row r="3466" spans="1:5" hidden="1" x14ac:dyDescent="0.15">
      <c r="A3466" s="1" t="s">
        <v>62</v>
      </c>
      <c r="B3466" s="2">
        <v>415338</v>
      </c>
      <c r="C3466" s="3">
        <v>7.6999999999999999E-2</v>
      </c>
      <c r="D3466" s="4" t="s">
        <v>389</v>
      </c>
      <c r="E3466" s="4" t="s">
        <v>403</v>
      </c>
    </row>
    <row r="3467" spans="1:5" ht="26" hidden="1" x14ac:dyDescent="0.15">
      <c r="A3467" s="1" t="s">
        <v>63</v>
      </c>
      <c r="B3467" s="2">
        <v>668353</v>
      </c>
      <c r="C3467" s="3">
        <v>0.125</v>
      </c>
      <c r="D3467" s="4" t="s">
        <v>389</v>
      </c>
      <c r="E3467" s="4" t="s">
        <v>403</v>
      </c>
    </row>
    <row r="3468" spans="1:5" ht="26" hidden="1" x14ac:dyDescent="0.15">
      <c r="A3468" s="1" t="s">
        <v>64</v>
      </c>
      <c r="B3468" s="2">
        <v>256127</v>
      </c>
      <c r="C3468" s="3">
        <v>4.8000000000000001E-2</v>
      </c>
      <c r="D3468" s="4" t="s">
        <v>389</v>
      </c>
      <c r="E3468" s="4" t="s">
        <v>403</v>
      </c>
    </row>
    <row r="3469" spans="1:5" hidden="1" x14ac:dyDescent="0.15">
      <c r="A3469" s="1" t="s">
        <v>65</v>
      </c>
      <c r="B3469" s="2">
        <v>469602</v>
      </c>
      <c r="C3469" s="3">
        <v>8.8000000000000009E-2</v>
      </c>
      <c r="D3469" s="4" t="s">
        <v>389</v>
      </c>
      <c r="E3469" s="4" t="s">
        <v>403</v>
      </c>
    </row>
    <row r="3470" spans="1:5" hidden="1" x14ac:dyDescent="0.15">
      <c r="A3470" s="1" t="s">
        <v>66</v>
      </c>
      <c r="B3470" s="2">
        <v>274067</v>
      </c>
      <c r="C3470" s="3">
        <v>5.0999999999999997E-2</v>
      </c>
      <c r="D3470" s="4" t="s">
        <v>389</v>
      </c>
      <c r="E3470" s="4" t="s">
        <v>403</v>
      </c>
    </row>
    <row r="3471" spans="1:5" hidden="1" x14ac:dyDescent="0.15">
      <c r="A3471" s="1" t="s">
        <v>67</v>
      </c>
      <c r="B3471" s="2">
        <v>930933</v>
      </c>
      <c r="C3471" s="3">
        <v>0.17399999999999999</v>
      </c>
      <c r="D3471" s="4" t="s">
        <v>389</v>
      </c>
      <c r="E3471" s="4" t="s">
        <v>403</v>
      </c>
    </row>
    <row r="3472" spans="1:5" hidden="1" x14ac:dyDescent="0.15">
      <c r="A3472" s="1" t="s">
        <v>68</v>
      </c>
      <c r="B3472" s="2">
        <v>1701057</v>
      </c>
      <c r="C3472" s="3">
        <v>0.317</v>
      </c>
      <c r="D3472" s="4" t="s">
        <v>389</v>
      </c>
      <c r="E3472" s="4" t="s">
        <v>403</v>
      </c>
    </row>
    <row r="3473" spans="1:5" hidden="1" x14ac:dyDescent="0.15">
      <c r="A3473" s="1" t="s">
        <v>69</v>
      </c>
      <c r="B3473" s="2">
        <v>3057971</v>
      </c>
      <c r="C3473" s="3">
        <v>0.56999999999999995</v>
      </c>
      <c r="D3473" s="4" t="s">
        <v>389</v>
      </c>
      <c r="E3473" s="4" t="s">
        <v>403</v>
      </c>
    </row>
    <row r="3474" spans="1:5" hidden="1" x14ac:dyDescent="0.15">
      <c r="A3474" s="1" t="s">
        <v>70</v>
      </c>
      <c r="B3474" s="2">
        <v>1370654</v>
      </c>
      <c r="C3474" s="3">
        <v>0.25600000000000001</v>
      </c>
      <c r="D3474" s="4" t="s">
        <v>389</v>
      </c>
      <c r="E3474" s="4" t="s">
        <v>403</v>
      </c>
    </row>
    <row r="3475" spans="1:5" ht="26" hidden="1" x14ac:dyDescent="0.15">
      <c r="A3475" s="1" t="s">
        <v>71</v>
      </c>
      <c r="B3475" s="2">
        <v>285001</v>
      </c>
      <c r="C3475" s="3">
        <v>5.2999999999999999E-2</v>
      </c>
      <c r="D3475" s="4" t="s">
        <v>389</v>
      </c>
      <c r="E3475" s="4" t="s">
        <v>403</v>
      </c>
    </row>
    <row r="3476" spans="1:5" hidden="1" x14ac:dyDescent="0.15">
      <c r="A3476" s="1" t="s">
        <v>72</v>
      </c>
      <c r="B3476" s="2">
        <v>473033</v>
      </c>
      <c r="C3476" s="3">
        <v>8.8000000000000009E-2</v>
      </c>
      <c r="D3476" s="4" t="s">
        <v>389</v>
      </c>
      <c r="E3476" s="4" t="s">
        <v>403</v>
      </c>
    </row>
    <row r="3477" spans="1:5" hidden="1" x14ac:dyDescent="0.15">
      <c r="A3477" s="1" t="s">
        <v>73</v>
      </c>
      <c r="B3477" s="2">
        <v>3061427</v>
      </c>
      <c r="C3477" s="3">
        <v>0.57100000000000006</v>
      </c>
      <c r="D3477" s="4" t="s">
        <v>389</v>
      </c>
      <c r="E3477" s="4" t="s">
        <v>403</v>
      </c>
    </row>
    <row r="3478" spans="1:5" hidden="1" x14ac:dyDescent="0.15">
      <c r="A3478" s="1" t="s">
        <v>74</v>
      </c>
      <c r="B3478" s="2">
        <v>1282648</v>
      </c>
      <c r="C3478" s="3">
        <v>0.23899999999999999</v>
      </c>
      <c r="D3478" s="4" t="s">
        <v>389</v>
      </c>
      <c r="E3478" s="4" t="s">
        <v>403</v>
      </c>
    </row>
    <row r="3479" spans="1:5" hidden="1" x14ac:dyDescent="0.15">
      <c r="A3479" s="1" t="s">
        <v>75</v>
      </c>
      <c r="B3479" s="2">
        <v>1099957</v>
      </c>
      <c r="C3479" s="3">
        <v>0.20499999999999999</v>
      </c>
      <c r="D3479" s="4" t="s">
        <v>389</v>
      </c>
      <c r="E3479" s="4" t="s">
        <v>403</v>
      </c>
    </row>
    <row r="3480" spans="1:5" hidden="1" x14ac:dyDescent="0.15">
      <c r="A3480" s="1" t="s">
        <v>76</v>
      </c>
      <c r="B3480" s="2">
        <v>285712</v>
      </c>
      <c r="C3480" s="3">
        <v>5.2999999999999999E-2</v>
      </c>
      <c r="D3480" s="4" t="s">
        <v>389</v>
      </c>
      <c r="E3480" s="4" t="s">
        <v>403</v>
      </c>
    </row>
    <row r="3481" spans="1:5" hidden="1" x14ac:dyDescent="0.15">
      <c r="A3481" s="1" t="s">
        <v>77</v>
      </c>
      <c r="B3481" s="2">
        <v>270373</v>
      </c>
      <c r="C3481" s="3">
        <v>0.05</v>
      </c>
      <c r="D3481" s="4" t="s">
        <v>389</v>
      </c>
      <c r="E3481" s="4" t="s">
        <v>403</v>
      </c>
    </row>
    <row r="3482" spans="1:5" ht="26" hidden="1" x14ac:dyDescent="0.15">
      <c r="A3482" s="1" t="s">
        <v>78</v>
      </c>
      <c r="B3482" s="2">
        <v>377043</v>
      </c>
      <c r="C3482" s="3">
        <v>7.0000000000000007E-2</v>
      </c>
      <c r="D3482" s="4" t="s">
        <v>389</v>
      </c>
      <c r="E3482" s="4" t="s">
        <v>403</v>
      </c>
    </row>
    <row r="3483" spans="1:5" hidden="1" x14ac:dyDescent="0.15">
      <c r="A3483" s="1" t="s">
        <v>79</v>
      </c>
      <c r="B3483" s="2">
        <v>761784</v>
      </c>
      <c r="C3483" s="3">
        <v>0.14199999999999999</v>
      </c>
      <c r="D3483" s="4" t="s">
        <v>389</v>
      </c>
      <c r="E3483" s="4" t="s">
        <v>403</v>
      </c>
    </row>
    <row r="3484" spans="1:5" hidden="1" x14ac:dyDescent="0.15">
      <c r="A3484" s="1" t="s">
        <v>80</v>
      </c>
      <c r="B3484" s="2">
        <v>549881</v>
      </c>
      <c r="C3484" s="3">
        <v>0.10300000000000001</v>
      </c>
      <c r="D3484" s="4" t="s">
        <v>389</v>
      </c>
      <c r="E3484" s="4" t="s">
        <v>403</v>
      </c>
    </row>
    <row r="3485" spans="1:5" ht="26" hidden="1" x14ac:dyDescent="0.15">
      <c r="A3485" s="1" t="s">
        <v>81</v>
      </c>
      <c r="B3485" s="2">
        <v>1162903</v>
      </c>
      <c r="C3485" s="3">
        <v>0.217</v>
      </c>
      <c r="D3485" s="4" t="s">
        <v>389</v>
      </c>
      <c r="E3485" s="4" t="s">
        <v>403</v>
      </c>
    </row>
    <row r="3486" spans="1:5" hidden="1" x14ac:dyDescent="0.15">
      <c r="A3486" s="1" t="s">
        <v>82</v>
      </c>
      <c r="B3486" s="2">
        <v>599639</v>
      </c>
      <c r="C3486" s="3">
        <v>0.11199999999999999</v>
      </c>
      <c r="D3486" s="4" t="s">
        <v>389</v>
      </c>
      <c r="E3486" s="4" t="s">
        <v>403</v>
      </c>
    </row>
    <row r="3487" spans="1:5" hidden="1" x14ac:dyDescent="0.15">
      <c r="A3487" s="4"/>
      <c r="B3487" s="4"/>
      <c r="C3487" s="4"/>
      <c r="D3487" s="4" t="s">
        <v>389</v>
      </c>
      <c r="E3487" s="4" t="s">
        <v>403</v>
      </c>
    </row>
    <row r="3488" spans="1:5" hidden="1" x14ac:dyDescent="0.15">
      <c r="A3488" s="5"/>
      <c r="B3488" s="5"/>
      <c r="C3488" s="5"/>
      <c r="D3488" s="4" t="s">
        <v>389</v>
      </c>
      <c r="E3488" s="4" t="s">
        <v>403</v>
      </c>
    </row>
    <row r="3489" spans="1:5" hidden="1" x14ac:dyDescent="0.15">
      <c r="A3489" s="1" t="s">
        <v>193</v>
      </c>
      <c r="B3489" s="2">
        <v>1369048</v>
      </c>
      <c r="C3489" s="3">
        <v>0.255</v>
      </c>
      <c r="D3489" s="4" t="s">
        <v>389</v>
      </c>
      <c r="E3489" s="4" t="s">
        <v>403</v>
      </c>
    </row>
    <row r="3490" spans="1:5" ht="26" hidden="1" x14ac:dyDescent="0.15">
      <c r="A3490" s="1" t="s">
        <v>192</v>
      </c>
      <c r="B3490" s="2">
        <v>2322771</v>
      </c>
      <c r="C3490" s="3">
        <v>0.433</v>
      </c>
      <c r="D3490" s="4" t="s">
        <v>389</v>
      </c>
      <c r="E3490" s="4" t="s">
        <v>403</v>
      </c>
    </row>
    <row r="3491" spans="1:5" hidden="1" x14ac:dyDescent="0.15">
      <c r="A3491" s="4"/>
      <c r="B3491" s="4"/>
      <c r="C3491" s="4"/>
      <c r="D3491" s="4" t="s">
        <v>389</v>
      </c>
      <c r="E3491" s="4" t="s">
        <v>403</v>
      </c>
    </row>
    <row r="3492" spans="1:5" hidden="1" x14ac:dyDescent="0.15">
      <c r="A3492" s="5"/>
      <c r="B3492" s="5"/>
      <c r="C3492" s="5"/>
      <c r="D3492" s="4" t="s">
        <v>389</v>
      </c>
      <c r="E3492" s="4" t="s">
        <v>403</v>
      </c>
    </row>
    <row r="3493" spans="1:5" ht="26" hidden="1" x14ac:dyDescent="0.15">
      <c r="A3493" s="1" t="s">
        <v>390</v>
      </c>
      <c r="B3493" s="2">
        <v>343951</v>
      </c>
      <c r="C3493" s="3">
        <v>6.4000000000000001E-2</v>
      </c>
      <c r="D3493" s="4" t="s">
        <v>389</v>
      </c>
      <c r="E3493" s="4" t="s">
        <v>403</v>
      </c>
    </row>
    <row r="3494" spans="1:5" hidden="1" x14ac:dyDescent="0.15">
      <c r="A3494" s="4"/>
      <c r="B3494" s="4"/>
      <c r="C3494" s="4"/>
      <c r="D3494" s="4" t="s">
        <v>389</v>
      </c>
      <c r="E3494" s="4" t="s">
        <v>403</v>
      </c>
    </row>
    <row r="3495" spans="1:5" hidden="1" x14ac:dyDescent="0.15">
      <c r="A3495" s="5"/>
      <c r="B3495" s="5"/>
      <c r="C3495" s="5"/>
      <c r="D3495" s="4" t="s">
        <v>389</v>
      </c>
      <c r="E3495" s="4" t="s">
        <v>403</v>
      </c>
    </row>
    <row r="3496" spans="1:5" ht="26" hidden="1" x14ac:dyDescent="0.15">
      <c r="A3496" s="1" t="s">
        <v>196</v>
      </c>
      <c r="B3496" s="2">
        <v>1060994</v>
      </c>
      <c r="C3496" s="3">
        <v>0.19800000000000001</v>
      </c>
      <c r="D3496" s="4" t="s">
        <v>389</v>
      </c>
      <c r="E3496" s="4" t="s">
        <v>403</v>
      </c>
    </row>
    <row r="3497" spans="1:5" hidden="1" x14ac:dyDescent="0.15">
      <c r="A3497" s="4"/>
      <c r="B3497" s="4"/>
      <c r="C3497" s="4"/>
      <c r="D3497" s="4" t="s">
        <v>389</v>
      </c>
      <c r="E3497" s="4" t="s">
        <v>403</v>
      </c>
    </row>
    <row r="3498" spans="1:5" hidden="1" x14ac:dyDescent="0.15">
      <c r="A3498" s="5"/>
      <c r="B3498" s="5"/>
      <c r="C3498" s="5"/>
      <c r="D3498" s="4" t="s">
        <v>389</v>
      </c>
      <c r="E3498" s="4" t="s">
        <v>403</v>
      </c>
    </row>
    <row r="3499" spans="1:5" ht="26" hidden="1" x14ac:dyDescent="0.15">
      <c r="A3499" s="1" t="s">
        <v>197</v>
      </c>
      <c r="B3499" s="2">
        <v>2555131</v>
      </c>
      <c r="C3499" s="3">
        <v>0.47700000000000004</v>
      </c>
      <c r="D3499" s="4" t="s">
        <v>389</v>
      </c>
      <c r="E3499" s="4" t="s">
        <v>403</v>
      </c>
    </row>
    <row r="3500" spans="1:5" hidden="1" x14ac:dyDescent="0.15">
      <c r="A3500" s="1" t="s">
        <v>198</v>
      </c>
      <c r="B3500" s="2">
        <v>1915253</v>
      </c>
      <c r="C3500" s="3">
        <v>0.35700000000000004</v>
      </c>
      <c r="D3500" s="4" t="s">
        <v>389</v>
      </c>
      <c r="E3500" s="4" t="s">
        <v>403</v>
      </c>
    </row>
    <row r="3501" spans="1:5" hidden="1" x14ac:dyDescent="0.15">
      <c r="A3501" s="4"/>
      <c r="B3501" s="4"/>
      <c r="C3501" s="4"/>
      <c r="D3501" s="4" t="s">
        <v>389</v>
      </c>
      <c r="E3501" s="4" t="s">
        <v>403</v>
      </c>
    </row>
    <row r="3502" spans="1:5" hidden="1" x14ac:dyDescent="0.15">
      <c r="A3502" s="5"/>
      <c r="B3502" s="5"/>
      <c r="C3502" s="5"/>
      <c r="D3502" s="4" t="s">
        <v>389</v>
      </c>
      <c r="E3502" s="4" t="s">
        <v>403</v>
      </c>
    </row>
    <row r="3503" spans="1:5" ht="26" hidden="1" x14ac:dyDescent="0.15">
      <c r="A3503" s="1" t="s">
        <v>391</v>
      </c>
      <c r="B3503" s="2">
        <v>802090</v>
      </c>
      <c r="C3503" s="3">
        <v>0.15</v>
      </c>
      <c r="D3503" s="4" t="s">
        <v>389</v>
      </c>
      <c r="E3503" s="4" t="s">
        <v>403</v>
      </c>
    </row>
    <row r="3504" spans="1:5" ht="26" hidden="1" x14ac:dyDescent="0.15">
      <c r="A3504" s="1" t="s">
        <v>392</v>
      </c>
      <c r="B3504" s="2">
        <v>239842</v>
      </c>
      <c r="C3504" s="3">
        <v>4.4999999999999998E-2</v>
      </c>
      <c r="D3504" s="4" t="s">
        <v>389</v>
      </c>
      <c r="E3504" s="4" t="s">
        <v>403</v>
      </c>
    </row>
    <row r="3505" spans="1:5" ht="26" hidden="1" x14ac:dyDescent="0.15">
      <c r="A3505" s="1" t="s">
        <v>393</v>
      </c>
      <c r="B3505" s="2">
        <v>662977</v>
      </c>
      <c r="C3505" s="3">
        <v>0.124</v>
      </c>
      <c r="D3505" s="4" t="s">
        <v>389</v>
      </c>
      <c r="E3505" s="4" t="s">
        <v>403</v>
      </c>
    </row>
    <row r="3506" spans="1:5" hidden="1" x14ac:dyDescent="0.15">
      <c r="A3506" s="4"/>
      <c r="B3506" s="4"/>
      <c r="C3506" s="4"/>
      <c r="D3506" s="4" t="s">
        <v>389</v>
      </c>
      <c r="E3506" s="4" t="s">
        <v>403</v>
      </c>
    </row>
    <row r="3507" spans="1:5" hidden="1" x14ac:dyDescent="0.15">
      <c r="A3507" s="5" t="s">
        <v>394</v>
      </c>
      <c r="B3507" s="5"/>
      <c r="C3507" s="5"/>
      <c r="D3507" s="4" t="s">
        <v>389</v>
      </c>
      <c r="E3507" s="4" t="s">
        <v>403</v>
      </c>
    </row>
    <row r="3508" spans="1:5" ht="78" hidden="1" x14ac:dyDescent="0.15">
      <c r="A3508" s="1" t="s">
        <v>395</v>
      </c>
      <c r="B3508" s="2">
        <v>187737</v>
      </c>
      <c r="C3508" s="3">
        <v>3.5000000000000003E-2</v>
      </c>
      <c r="D3508" s="4" t="s">
        <v>389</v>
      </c>
      <c r="E3508" s="4" t="s">
        <v>403</v>
      </c>
    </row>
    <row r="3509" spans="1:5" hidden="1" x14ac:dyDescent="0.15">
      <c r="A3509" s="4"/>
      <c r="B3509" s="4"/>
      <c r="C3509" s="4"/>
      <c r="D3509" s="4" t="s">
        <v>389</v>
      </c>
      <c r="E3509" s="4" t="s">
        <v>403</v>
      </c>
    </row>
    <row r="3510" spans="1:5" hidden="1" x14ac:dyDescent="0.15">
      <c r="A3510" s="5"/>
      <c r="B3510" s="5"/>
      <c r="C3510" s="5"/>
      <c r="D3510" s="4" t="s">
        <v>389</v>
      </c>
      <c r="E3510" s="4" t="s">
        <v>403</v>
      </c>
    </row>
    <row r="3511" spans="1:5" hidden="1" x14ac:dyDescent="0.15">
      <c r="A3511" s="1" t="s">
        <v>396</v>
      </c>
      <c r="B3511" s="2">
        <v>714583</v>
      </c>
      <c r="C3511" s="3">
        <v>0.13300000000000001</v>
      </c>
      <c r="D3511" s="4" t="s">
        <v>389</v>
      </c>
      <c r="E3511" s="4" t="s">
        <v>403</v>
      </c>
    </row>
    <row r="3512" spans="1:5" hidden="1" x14ac:dyDescent="0.15">
      <c r="A3512" s="4"/>
      <c r="B3512" s="4"/>
      <c r="C3512" s="4"/>
      <c r="D3512" s="4"/>
      <c r="E3512" s="4"/>
    </row>
    <row r="3513" spans="1:5" hidden="1" x14ac:dyDescent="0.15">
      <c r="A3513" s="5" t="s">
        <v>397</v>
      </c>
      <c r="B3513" s="5"/>
      <c r="C3513" s="5"/>
      <c r="D3513" s="4"/>
      <c r="E3513" s="4"/>
    </row>
    <row r="3514" spans="1:5" ht="26" hidden="1" x14ac:dyDescent="0.15">
      <c r="A3514" s="1" t="s">
        <v>398</v>
      </c>
      <c r="B3514" s="2">
        <v>148892</v>
      </c>
      <c r="C3514" s="3">
        <v>2.7999999999999997E-2</v>
      </c>
      <c r="D3514" s="4" t="s">
        <v>389</v>
      </c>
      <c r="E3514" s="4" t="s">
        <v>403</v>
      </c>
    </row>
    <row r="3515" spans="1:5" ht="26" hidden="1" x14ac:dyDescent="0.15">
      <c r="A3515" s="1" t="s">
        <v>399</v>
      </c>
      <c r="B3515" s="2">
        <v>179863</v>
      </c>
      <c r="C3515" s="3">
        <v>3.4000000000000002E-2</v>
      </c>
      <c r="D3515" s="4" t="s">
        <v>389</v>
      </c>
      <c r="E3515" s="4" t="s">
        <v>403</v>
      </c>
    </row>
    <row r="3516" spans="1:5" ht="39" hidden="1" x14ac:dyDescent="0.15">
      <c r="A3516" s="1" t="s">
        <v>400</v>
      </c>
      <c r="B3516" s="2">
        <v>394714</v>
      </c>
      <c r="C3516" s="3">
        <v>7.400000000000001E-2</v>
      </c>
      <c r="D3516" s="4" t="s">
        <v>389</v>
      </c>
      <c r="E3516" s="4" t="s">
        <v>403</v>
      </c>
    </row>
    <row r="3517" spans="1:5" ht="26" hidden="1" x14ac:dyDescent="0.15">
      <c r="A3517" s="1" t="s">
        <v>401</v>
      </c>
      <c r="B3517" s="2">
        <v>561579</v>
      </c>
      <c r="C3517" s="3">
        <v>0.105</v>
      </c>
      <c r="D3517" s="4" t="s">
        <v>389</v>
      </c>
      <c r="E3517" s="4" t="s">
        <v>403</v>
      </c>
    </row>
    <row r="3518" spans="1:5" hidden="1" x14ac:dyDescent="0.15">
      <c r="A3518" s="1" t="s">
        <v>0</v>
      </c>
      <c r="B3518" s="2">
        <v>1299258</v>
      </c>
      <c r="C3518" s="3">
        <v>1</v>
      </c>
      <c r="D3518" s="4" t="s">
        <v>404</v>
      </c>
      <c r="E3518" s="4" t="s">
        <v>405</v>
      </c>
    </row>
    <row r="3519" spans="1:5" ht="26" hidden="1" x14ac:dyDescent="0.15">
      <c r="A3519" s="1" t="s">
        <v>3</v>
      </c>
      <c r="B3519" s="2">
        <v>16290</v>
      </c>
      <c r="C3519" s="3">
        <v>1.3000000000000001E-2</v>
      </c>
      <c r="D3519" s="4" t="s">
        <v>404</v>
      </c>
      <c r="E3519" s="4" t="s">
        <v>405</v>
      </c>
    </row>
    <row r="3520" spans="1:5" hidden="1" x14ac:dyDescent="0.15">
      <c r="A3520" s="1" t="s">
        <v>4</v>
      </c>
      <c r="B3520" s="2">
        <v>43116</v>
      </c>
      <c r="C3520" s="3">
        <v>3.3000000000000002E-2</v>
      </c>
      <c r="D3520" s="4" t="s">
        <v>404</v>
      </c>
      <c r="E3520" s="4" t="s">
        <v>405</v>
      </c>
    </row>
    <row r="3521" spans="1:5" ht="26" hidden="1" x14ac:dyDescent="0.15">
      <c r="A3521" s="1" t="s">
        <v>5</v>
      </c>
      <c r="B3521" s="2">
        <v>123292</v>
      </c>
      <c r="C3521" s="3">
        <v>9.5000000000000001E-2</v>
      </c>
      <c r="D3521" s="4" t="s">
        <v>404</v>
      </c>
      <c r="E3521" s="4" t="s">
        <v>405</v>
      </c>
    </row>
    <row r="3522" spans="1:5" ht="26" hidden="1" x14ac:dyDescent="0.15">
      <c r="A3522" s="1" t="s">
        <v>6</v>
      </c>
      <c r="B3522" s="2">
        <v>98542</v>
      </c>
      <c r="C3522" s="3">
        <v>7.5999999999999998E-2</v>
      </c>
      <c r="D3522" s="4" t="s">
        <v>404</v>
      </c>
      <c r="E3522" s="4" t="s">
        <v>405</v>
      </c>
    </row>
    <row r="3523" spans="1:5" ht="26" hidden="1" x14ac:dyDescent="0.15">
      <c r="A3523" s="1" t="s">
        <v>7</v>
      </c>
      <c r="B3523" s="2">
        <v>374783</v>
      </c>
      <c r="C3523" s="3">
        <v>0.28800000000000003</v>
      </c>
      <c r="D3523" s="4" t="s">
        <v>404</v>
      </c>
      <c r="E3523" s="4" t="s">
        <v>405</v>
      </c>
    </row>
    <row r="3524" spans="1:5" ht="26" hidden="1" x14ac:dyDescent="0.15">
      <c r="A3524" s="1" t="s">
        <v>8</v>
      </c>
      <c r="B3524" s="2">
        <v>13278</v>
      </c>
      <c r="C3524" s="3">
        <v>0.01</v>
      </c>
      <c r="D3524" s="4" t="s">
        <v>404</v>
      </c>
      <c r="E3524" s="4" t="s">
        <v>405</v>
      </c>
    </row>
    <row r="3525" spans="1:5" ht="26" hidden="1" x14ac:dyDescent="0.15">
      <c r="A3525" s="1" t="s">
        <v>9</v>
      </c>
      <c r="B3525" s="2">
        <v>24544</v>
      </c>
      <c r="C3525" s="3">
        <v>1.9E-2</v>
      </c>
      <c r="D3525" s="4" t="s">
        <v>404</v>
      </c>
      <c r="E3525" s="4" t="s">
        <v>405</v>
      </c>
    </row>
    <row r="3526" spans="1:5" ht="26" hidden="1" x14ac:dyDescent="0.15">
      <c r="A3526" s="1" t="s">
        <v>10</v>
      </c>
      <c r="B3526" s="2">
        <v>39838</v>
      </c>
      <c r="C3526" s="3">
        <v>3.1E-2</v>
      </c>
      <c r="D3526" s="4" t="s">
        <v>404</v>
      </c>
      <c r="E3526" s="4" t="s">
        <v>405</v>
      </c>
    </row>
    <row r="3527" spans="1:5" ht="26" hidden="1" x14ac:dyDescent="0.15">
      <c r="A3527" s="1" t="s">
        <v>11</v>
      </c>
      <c r="B3527" s="2">
        <v>73334</v>
      </c>
      <c r="C3527" s="3">
        <v>5.5999999999999994E-2</v>
      </c>
      <c r="D3527" s="4" t="s">
        <v>404</v>
      </c>
      <c r="E3527" s="4" t="s">
        <v>405</v>
      </c>
    </row>
    <row r="3528" spans="1:5" ht="26" hidden="1" x14ac:dyDescent="0.15">
      <c r="A3528" s="1" t="s">
        <v>12</v>
      </c>
      <c r="B3528" s="2">
        <v>14589</v>
      </c>
      <c r="C3528" s="3">
        <v>1.1000000000000001E-2</v>
      </c>
      <c r="D3528" s="4" t="s">
        <v>404</v>
      </c>
      <c r="E3528" s="4" t="s">
        <v>405</v>
      </c>
    </row>
    <row r="3529" spans="1:5" ht="26" hidden="1" x14ac:dyDescent="0.15">
      <c r="A3529" s="1" t="s">
        <v>13</v>
      </c>
      <c r="B3529" s="2">
        <v>13335</v>
      </c>
      <c r="C3529" s="3">
        <v>0.01</v>
      </c>
      <c r="D3529" s="4" t="s">
        <v>404</v>
      </c>
      <c r="E3529" s="4" t="s">
        <v>405</v>
      </c>
    </row>
    <row r="3530" spans="1:5" hidden="1" x14ac:dyDescent="0.15">
      <c r="A3530" s="1" t="s">
        <v>14</v>
      </c>
      <c r="B3530" s="2">
        <v>107060</v>
      </c>
      <c r="C3530" s="3">
        <v>8.199999999999999E-2</v>
      </c>
      <c r="D3530" s="4" t="s">
        <v>404</v>
      </c>
      <c r="E3530" s="4" t="s">
        <v>405</v>
      </c>
    </row>
    <row r="3531" spans="1:5" ht="26" hidden="1" x14ac:dyDescent="0.15">
      <c r="A3531" s="1" t="s">
        <v>15</v>
      </c>
      <c r="B3531" s="2">
        <v>105305</v>
      </c>
      <c r="C3531" s="3">
        <v>8.1000000000000003E-2</v>
      </c>
      <c r="D3531" s="4" t="s">
        <v>404</v>
      </c>
      <c r="E3531" s="4" t="s">
        <v>405</v>
      </c>
    </row>
    <row r="3532" spans="1:5" ht="26" hidden="1" x14ac:dyDescent="0.15">
      <c r="A3532" s="1" t="s">
        <v>16</v>
      </c>
      <c r="B3532" s="2">
        <v>63032</v>
      </c>
      <c r="C3532" s="3">
        <v>4.9000000000000002E-2</v>
      </c>
      <c r="D3532" s="4" t="s">
        <v>404</v>
      </c>
      <c r="E3532" s="4" t="s">
        <v>405</v>
      </c>
    </row>
    <row r="3533" spans="1:5" ht="26" hidden="1" x14ac:dyDescent="0.15">
      <c r="A3533" s="1" t="s">
        <v>17</v>
      </c>
      <c r="B3533" s="2">
        <v>22211</v>
      </c>
      <c r="C3533" s="3">
        <v>1.7000000000000001E-2</v>
      </c>
      <c r="D3533" s="4" t="s">
        <v>404</v>
      </c>
      <c r="E3533" s="4" t="s">
        <v>405</v>
      </c>
    </row>
    <row r="3534" spans="1:5" hidden="1" x14ac:dyDescent="0.15">
      <c r="A3534" s="1" t="s">
        <v>18</v>
      </c>
      <c r="B3534" s="2">
        <v>12830</v>
      </c>
      <c r="C3534" s="3">
        <v>0.01</v>
      </c>
      <c r="D3534" s="4" t="s">
        <v>404</v>
      </c>
      <c r="E3534" s="4" t="s">
        <v>405</v>
      </c>
    </row>
    <row r="3535" spans="1:5" hidden="1" x14ac:dyDescent="0.15">
      <c r="A3535" s="1" t="s">
        <v>19</v>
      </c>
      <c r="B3535" s="2">
        <v>84896</v>
      </c>
      <c r="C3535" s="3">
        <v>6.5000000000000002E-2</v>
      </c>
      <c r="D3535" s="4" t="s">
        <v>404</v>
      </c>
      <c r="E3535" s="4" t="s">
        <v>405</v>
      </c>
    </row>
    <row r="3536" spans="1:5" hidden="1" x14ac:dyDescent="0.15">
      <c r="A3536" s="1" t="s">
        <v>20</v>
      </c>
      <c r="B3536" s="2">
        <v>16831</v>
      </c>
      <c r="C3536" s="3">
        <v>1.3000000000000001E-2</v>
      </c>
      <c r="D3536" s="4" t="s">
        <v>404</v>
      </c>
      <c r="E3536" s="4" t="s">
        <v>405</v>
      </c>
    </row>
    <row r="3537" spans="1:5" ht="26" hidden="1" x14ac:dyDescent="0.15">
      <c r="A3537" s="1" t="s">
        <v>21</v>
      </c>
      <c r="B3537" s="2">
        <v>57241</v>
      </c>
      <c r="C3537" s="3">
        <v>4.4000000000000004E-2</v>
      </c>
      <c r="D3537" s="4" t="s">
        <v>404</v>
      </c>
      <c r="E3537" s="4" t="s">
        <v>405</v>
      </c>
    </row>
    <row r="3538" spans="1:5" ht="26" hidden="1" x14ac:dyDescent="0.15">
      <c r="A3538" s="1" t="s">
        <v>22</v>
      </c>
      <c r="B3538" s="2">
        <v>11681</v>
      </c>
      <c r="C3538" s="3">
        <v>9.0000000000000011E-3</v>
      </c>
      <c r="D3538" s="4" t="s">
        <v>404</v>
      </c>
      <c r="E3538" s="4" t="s">
        <v>405</v>
      </c>
    </row>
    <row r="3539" spans="1:5" ht="26" hidden="1" x14ac:dyDescent="0.15">
      <c r="A3539" s="1" t="s">
        <v>23</v>
      </c>
      <c r="B3539" s="2">
        <v>35175</v>
      </c>
      <c r="C3539" s="3">
        <v>2.7000000000000003E-2</v>
      </c>
      <c r="D3539" s="4" t="s">
        <v>404</v>
      </c>
      <c r="E3539" s="4" t="s">
        <v>405</v>
      </c>
    </row>
    <row r="3540" spans="1:5" ht="26" hidden="1" x14ac:dyDescent="0.15">
      <c r="A3540" s="1" t="s">
        <v>24</v>
      </c>
      <c r="B3540" s="2">
        <v>13271</v>
      </c>
      <c r="C3540" s="3">
        <v>0.01</v>
      </c>
      <c r="D3540" s="4" t="s">
        <v>404</v>
      </c>
      <c r="E3540" s="4" t="s">
        <v>405</v>
      </c>
    </row>
    <row r="3541" spans="1:5" ht="26" hidden="1" x14ac:dyDescent="0.15">
      <c r="A3541" s="1" t="s">
        <v>25</v>
      </c>
      <c r="B3541" s="2">
        <v>67160</v>
      </c>
      <c r="C3541" s="3">
        <v>5.2000000000000005E-2</v>
      </c>
      <c r="D3541" s="4" t="s">
        <v>404</v>
      </c>
      <c r="E3541" s="4" t="s">
        <v>405</v>
      </c>
    </row>
    <row r="3542" spans="1:5" hidden="1" x14ac:dyDescent="0.15">
      <c r="A3542" s="1" t="s">
        <v>26</v>
      </c>
      <c r="B3542" s="2">
        <v>15897</v>
      </c>
      <c r="C3542" s="3">
        <v>1.2E-2</v>
      </c>
      <c r="D3542" s="4" t="s">
        <v>404</v>
      </c>
      <c r="E3542" s="4" t="s">
        <v>405</v>
      </c>
    </row>
    <row r="3543" spans="1:5" hidden="1" x14ac:dyDescent="0.15">
      <c r="A3543" s="1" t="s">
        <v>27</v>
      </c>
      <c r="B3543" s="2">
        <v>89555</v>
      </c>
      <c r="C3543" s="3">
        <v>6.9000000000000006E-2</v>
      </c>
      <c r="D3543" s="4" t="s">
        <v>404</v>
      </c>
      <c r="E3543" s="4" t="s">
        <v>405</v>
      </c>
    </row>
    <row r="3544" spans="1:5" hidden="1" x14ac:dyDescent="0.15">
      <c r="A3544" s="1" t="s">
        <v>28</v>
      </c>
      <c r="B3544" s="2">
        <v>133903</v>
      </c>
      <c r="C3544" s="3">
        <v>0.10300000000000001</v>
      </c>
      <c r="D3544" s="4" t="s">
        <v>404</v>
      </c>
      <c r="E3544" s="4" t="s">
        <v>405</v>
      </c>
    </row>
    <row r="3545" spans="1:5" hidden="1" x14ac:dyDescent="0.15">
      <c r="A3545" s="1" t="s">
        <v>29</v>
      </c>
      <c r="B3545" s="2">
        <v>631686</v>
      </c>
      <c r="C3545" s="3">
        <v>0.48599999999999999</v>
      </c>
      <c r="D3545" s="4" t="s">
        <v>404</v>
      </c>
      <c r="E3545" s="4" t="s">
        <v>405</v>
      </c>
    </row>
    <row r="3546" spans="1:5" hidden="1" x14ac:dyDescent="0.15">
      <c r="A3546" s="1" t="s">
        <v>30</v>
      </c>
      <c r="B3546" s="2">
        <v>9853</v>
      </c>
      <c r="C3546" s="3">
        <v>8.0000000000000002E-3</v>
      </c>
      <c r="D3546" s="4" t="s">
        <v>404</v>
      </c>
      <c r="E3546" s="4" t="s">
        <v>405</v>
      </c>
    </row>
    <row r="3547" spans="1:5" ht="39" hidden="1" x14ac:dyDescent="0.15">
      <c r="A3547" s="1" t="s">
        <v>31</v>
      </c>
      <c r="B3547" s="2">
        <v>21255</v>
      </c>
      <c r="C3547" s="3">
        <v>1.6E-2</v>
      </c>
      <c r="D3547" s="4" t="s">
        <v>404</v>
      </c>
      <c r="E3547" s="4" t="s">
        <v>405</v>
      </c>
    </row>
    <row r="3548" spans="1:5" hidden="1" x14ac:dyDescent="0.15">
      <c r="A3548" s="1" t="s">
        <v>32</v>
      </c>
      <c r="B3548" s="2">
        <v>43036</v>
      </c>
      <c r="C3548" s="3">
        <v>3.3000000000000002E-2</v>
      </c>
      <c r="D3548" s="4" t="s">
        <v>404</v>
      </c>
      <c r="E3548" s="4" t="s">
        <v>405</v>
      </c>
    </row>
    <row r="3549" spans="1:5" hidden="1" x14ac:dyDescent="0.15">
      <c r="A3549" s="1" t="s">
        <v>33</v>
      </c>
      <c r="B3549" s="2">
        <v>341136</v>
      </c>
      <c r="C3549" s="3">
        <v>0.26300000000000001</v>
      </c>
      <c r="D3549" s="4" t="s">
        <v>404</v>
      </c>
      <c r="E3549" s="4" t="s">
        <v>405</v>
      </c>
    </row>
    <row r="3550" spans="1:5" hidden="1" x14ac:dyDescent="0.15">
      <c r="A3550" s="1" t="s">
        <v>34</v>
      </c>
      <c r="B3550" s="2">
        <v>99170</v>
      </c>
      <c r="C3550" s="3">
        <v>7.5999999999999998E-2</v>
      </c>
      <c r="D3550" s="4" t="s">
        <v>404</v>
      </c>
      <c r="E3550" s="4" t="s">
        <v>405</v>
      </c>
    </row>
    <row r="3551" spans="1:5" hidden="1" x14ac:dyDescent="0.15">
      <c r="A3551" s="1" t="s">
        <v>35</v>
      </c>
      <c r="B3551" s="2">
        <v>80275</v>
      </c>
      <c r="C3551" s="3">
        <v>6.2E-2</v>
      </c>
      <c r="D3551" s="4" t="s">
        <v>404</v>
      </c>
      <c r="E3551" s="4" t="s">
        <v>405</v>
      </c>
    </row>
    <row r="3552" spans="1:5" ht="26" hidden="1" x14ac:dyDescent="0.15">
      <c r="A3552" s="1" t="s">
        <v>36</v>
      </c>
      <c r="B3552" s="2">
        <v>37063</v>
      </c>
      <c r="C3552" s="3">
        <v>2.8999999999999998E-2</v>
      </c>
      <c r="D3552" s="4" t="s">
        <v>404</v>
      </c>
      <c r="E3552" s="4" t="s">
        <v>405</v>
      </c>
    </row>
    <row r="3553" spans="1:5" hidden="1" x14ac:dyDescent="0.15">
      <c r="A3553" s="1" t="s">
        <v>37</v>
      </c>
      <c r="B3553" s="2">
        <v>22845</v>
      </c>
      <c r="C3553" s="3">
        <v>1.8000000000000002E-2</v>
      </c>
      <c r="D3553" s="4" t="s">
        <v>404</v>
      </c>
      <c r="E3553" s="4" t="s">
        <v>405</v>
      </c>
    </row>
    <row r="3554" spans="1:5" ht="39" hidden="1" x14ac:dyDescent="0.15">
      <c r="A3554" s="1" t="s">
        <v>38</v>
      </c>
      <c r="B3554" s="2">
        <v>20895</v>
      </c>
      <c r="C3554" s="3">
        <v>1.6E-2</v>
      </c>
      <c r="D3554" s="4" t="s">
        <v>404</v>
      </c>
      <c r="E3554" s="4" t="s">
        <v>405</v>
      </c>
    </row>
    <row r="3555" spans="1:5" hidden="1" x14ac:dyDescent="0.15">
      <c r="A3555" s="1" t="s">
        <v>39</v>
      </c>
      <c r="B3555" s="2">
        <v>67679</v>
      </c>
      <c r="C3555" s="3">
        <v>5.2000000000000005E-2</v>
      </c>
      <c r="D3555" s="4" t="s">
        <v>404</v>
      </c>
      <c r="E3555" s="4" t="s">
        <v>405</v>
      </c>
    </row>
    <row r="3556" spans="1:5" hidden="1" x14ac:dyDescent="0.15">
      <c r="A3556" s="1" t="s">
        <v>40</v>
      </c>
      <c r="B3556" s="2">
        <v>31197</v>
      </c>
      <c r="C3556" s="3">
        <v>2.4E-2</v>
      </c>
      <c r="D3556" s="4" t="s">
        <v>404</v>
      </c>
      <c r="E3556" s="4" t="s">
        <v>405</v>
      </c>
    </row>
    <row r="3557" spans="1:5" hidden="1" x14ac:dyDescent="0.15">
      <c r="A3557" s="1" t="s">
        <v>41</v>
      </c>
      <c r="B3557" s="2">
        <v>65964</v>
      </c>
      <c r="C3557" s="3">
        <v>5.0999999999999997E-2</v>
      </c>
      <c r="D3557" s="4" t="s">
        <v>404</v>
      </c>
      <c r="E3557" s="4" t="s">
        <v>405</v>
      </c>
    </row>
    <row r="3558" spans="1:5" hidden="1" x14ac:dyDescent="0.15">
      <c r="A3558" s="1" t="s">
        <v>42</v>
      </c>
      <c r="B3558" s="2">
        <v>102706</v>
      </c>
      <c r="C3558" s="3">
        <v>7.9000000000000001E-2</v>
      </c>
      <c r="D3558" s="4" t="s">
        <v>404</v>
      </c>
      <c r="E3558" s="4" t="s">
        <v>405</v>
      </c>
    </row>
    <row r="3559" spans="1:5" hidden="1" x14ac:dyDescent="0.15">
      <c r="A3559" s="1" t="s">
        <v>43</v>
      </c>
      <c r="B3559" s="2">
        <v>120648</v>
      </c>
      <c r="C3559" s="3">
        <v>9.3000000000000013E-2</v>
      </c>
      <c r="D3559" s="4" t="s">
        <v>404</v>
      </c>
      <c r="E3559" s="4" t="s">
        <v>405</v>
      </c>
    </row>
    <row r="3560" spans="1:5" ht="26" hidden="1" x14ac:dyDescent="0.15">
      <c r="A3560" s="1" t="s">
        <v>44</v>
      </c>
      <c r="B3560" s="2">
        <v>279441</v>
      </c>
      <c r="C3560" s="3">
        <v>0.215</v>
      </c>
      <c r="D3560" s="4" t="s">
        <v>404</v>
      </c>
      <c r="E3560" s="4" t="s">
        <v>405</v>
      </c>
    </row>
    <row r="3561" spans="1:5" hidden="1" x14ac:dyDescent="0.15">
      <c r="A3561" s="1" t="s">
        <v>45</v>
      </c>
      <c r="B3561" s="2">
        <v>362270</v>
      </c>
      <c r="C3561" s="3">
        <v>0.27899999999999997</v>
      </c>
      <c r="D3561" s="4" t="s">
        <v>404</v>
      </c>
      <c r="E3561" s="4" t="s">
        <v>405</v>
      </c>
    </row>
    <row r="3562" spans="1:5" ht="26" hidden="1" x14ac:dyDescent="0.15">
      <c r="A3562" s="1" t="s">
        <v>46</v>
      </c>
      <c r="B3562" s="2">
        <v>367596</v>
      </c>
      <c r="C3562" s="3">
        <v>0.28300000000000003</v>
      </c>
      <c r="D3562" s="4" t="s">
        <v>404</v>
      </c>
      <c r="E3562" s="4" t="s">
        <v>405</v>
      </c>
    </row>
    <row r="3563" spans="1:5" hidden="1" x14ac:dyDescent="0.15">
      <c r="A3563" s="1" t="s">
        <v>47</v>
      </c>
      <c r="B3563" s="2">
        <v>715221</v>
      </c>
      <c r="C3563" s="3">
        <v>0.55000000000000004</v>
      </c>
      <c r="D3563" s="4" t="s">
        <v>404</v>
      </c>
      <c r="E3563" s="4" t="s">
        <v>405</v>
      </c>
    </row>
    <row r="3564" spans="1:5" hidden="1" x14ac:dyDescent="0.15">
      <c r="A3564" s="1" t="s">
        <v>48</v>
      </c>
      <c r="B3564" s="2">
        <v>71375</v>
      </c>
      <c r="C3564" s="3">
        <v>5.5E-2</v>
      </c>
      <c r="D3564" s="4" t="s">
        <v>404</v>
      </c>
      <c r="E3564" s="4" t="s">
        <v>405</v>
      </c>
    </row>
    <row r="3565" spans="1:5" hidden="1" x14ac:dyDescent="0.15">
      <c r="A3565" s="1" t="s">
        <v>49</v>
      </c>
      <c r="B3565" s="2">
        <v>120176</v>
      </c>
      <c r="C3565" s="3">
        <v>9.1999999999999998E-2</v>
      </c>
      <c r="D3565" s="4" t="s">
        <v>404</v>
      </c>
      <c r="E3565" s="4" t="s">
        <v>405</v>
      </c>
    </row>
    <row r="3566" spans="1:5" ht="26" hidden="1" x14ac:dyDescent="0.15">
      <c r="A3566" s="1" t="s">
        <v>50</v>
      </c>
      <c r="B3566" s="2">
        <v>234445</v>
      </c>
      <c r="C3566" s="3">
        <v>0.18</v>
      </c>
      <c r="D3566" s="4" t="s">
        <v>404</v>
      </c>
      <c r="E3566" s="4" t="s">
        <v>405</v>
      </c>
    </row>
    <row r="3567" spans="1:5" hidden="1" x14ac:dyDescent="0.15">
      <c r="A3567" s="1" t="s">
        <v>51</v>
      </c>
      <c r="B3567" s="2">
        <v>323666</v>
      </c>
      <c r="C3567" s="3">
        <v>0.249</v>
      </c>
      <c r="D3567" s="4" t="s">
        <v>404</v>
      </c>
      <c r="E3567" s="4" t="s">
        <v>405</v>
      </c>
    </row>
    <row r="3568" spans="1:5" hidden="1" x14ac:dyDescent="0.15">
      <c r="A3568" s="1" t="s">
        <v>52</v>
      </c>
      <c r="B3568" s="2">
        <v>122833</v>
      </c>
      <c r="C3568" s="3">
        <v>9.5000000000000001E-2</v>
      </c>
      <c r="D3568" s="4" t="s">
        <v>404</v>
      </c>
      <c r="E3568" s="4" t="s">
        <v>405</v>
      </c>
    </row>
    <row r="3569" spans="1:5" ht="26" hidden="1" x14ac:dyDescent="0.15">
      <c r="A3569" s="1" t="s">
        <v>53</v>
      </c>
      <c r="B3569" s="2">
        <v>85419</v>
      </c>
      <c r="C3569" s="3">
        <v>6.6000000000000003E-2</v>
      </c>
      <c r="D3569" s="4" t="s">
        <v>404</v>
      </c>
      <c r="E3569" s="4" t="s">
        <v>405</v>
      </c>
    </row>
    <row r="3570" spans="1:5" hidden="1" x14ac:dyDescent="0.15">
      <c r="A3570" s="1" t="s">
        <v>54</v>
      </c>
      <c r="B3570" s="2">
        <v>455630</v>
      </c>
      <c r="C3570" s="3">
        <v>0.35100000000000003</v>
      </c>
      <c r="D3570" s="4" t="s">
        <v>404</v>
      </c>
      <c r="E3570" s="4" t="s">
        <v>405</v>
      </c>
    </row>
    <row r="3571" spans="1:5" ht="26" hidden="1" x14ac:dyDescent="0.15">
      <c r="A3571" s="1" t="s">
        <v>55</v>
      </c>
      <c r="B3571" s="2">
        <v>391614</v>
      </c>
      <c r="C3571" s="3">
        <v>0.30099999999999999</v>
      </c>
      <c r="D3571" s="4" t="s">
        <v>404</v>
      </c>
      <c r="E3571" s="4" t="s">
        <v>405</v>
      </c>
    </row>
    <row r="3572" spans="1:5" hidden="1" x14ac:dyDescent="0.15">
      <c r="A3572" s="1" t="s">
        <v>56</v>
      </c>
      <c r="B3572" s="2">
        <v>268280</v>
      </c>
      <c r="C3572" s="3">
        <v>0.20600000000000002</v>
      </c>
      <c r="D3572" s="4" t="s">
        <v>404</v>
      </c>
      <c r="E3572" s="4" t="s">
        <v>405</v>
      </c>
    </row>
    <row r="3573" spans="1:5" hidden="1" x14ac:dyDescent="0.15">
      <c r="A3573" s="1" t="s">
        <v>57</v>
      </c>
      <c r="B3573" s="2">
        <v>149357</v>
      </c>
      <c r="C3573" s="3">
        <v>0.115</v>
      </c>
      <c r="D3573" s="4" t="s">
        <v>404</v>
      </c>
      <c r="E3573" s="4" t="s">
        <v>405</v>
      </c>
    </row>
    <row r="3574" spans="1:5" hidden="1" x14ac:dyDescent="0.15">
      <c r="A3574" s="1" t="s">
        <v>58</v>
      </c>
      <c r="B3574" s="2">
        <v>133737</v>
      </c>
      <c r="C3574" s="3">
        <v>0.10300000000000001</v>
      </c>
      <c r="D3574" s="4" t="s">
        <v>404</v>
      </c>
      <c r="E3574" s="4" t="s">
        <v>405</v>
      </c>
    </row>
    <row r="3575" spans="1:5" hidden="1" x14ac:dyDescent="0.15">
      <c r="A3575" s="1" t="s">
        <v>59</v>
      </c>
      <c r="B3575" s="2">
        <v>443638</v>
      </c>
      <c r="C3575" s="3">
        <v>0.34100000000000003</v>
      </c>
      <c r="D3575" s="4" t="s">
        <v>404</v>
      </c>
      <c r="E3575" s="4" t="s">
        <v>405</v>
      </c>
    </row>
    <row r="3576" spans="1:5" hidden="1" x14ac:dyDescent="0.15">
      <c r="A3576" s="1" t="s">
        <v>60</v>
      </c>
      <c r="B3576" s="2">
        <v>161847</v>
      </c>
      <c r="C3576" s="3">
        <v>0.125</v>
      </c>
      <c r="D3576" s="4" t="s">
        <v>404</v>
      </c>
      <c r="E3576" s="4" t="s">
        <v>405</v>
      </c>
    </row>
    <row r="3577" spans="1:5" ht="26" hidden="1" x14ac:dyDescent="0.15">
      <c r="A3577" s="1" t="s">
        <v>61</v>
      </c>
      <c r="B3577" s="2">
        <v>217290</v>
      </c>
      <c r="C3577" s="3">
        <v>0.16699999999999998</v>
      </c>
      <c r="D3577" s="4" t="s">
        <v>404</v>
      </c>
      <c r="E3577" s="4" t="s">
        <v>405</v>
      </c>
    </row>
    <row r="3578" spans="1:5" hidden="1" x14ac:dyDescent="0.15">
      <c r="A3578" s="1" t="s">
        <v>62</v>
      </c>
      <c r="B3578" s="2">
        <v>85665</v>
      </c>
      <c r="C3578" s="3">
        <v>6.6000000000000003E-2</v>
      </c>
      <c r="D3578" s="4" t="s">
        <v>404</v>
      </c>
      <c r="E3578" s="4" t="s">
        <v>405</v>
      </c>
    </row>
    <row r="3579" spans="1:5" ht="26" hidden="1" x14ac:dyDescent="0.15">
      <c r="A3579" s="1" t="s">
        <v>63</v>
      </c>
      <c r="B3579" s="2">
        <v>206274</v>
      </c>
      <c r="C3579" s="3">
        <v>0.159</v>
      </c>
      <c r="D3579" s="4" t="s">
        <v>404</v>
      </c>
      <c r="E3579" s="4" t="s">
        <v>405</v>
      </c>
    </row>
    <row r="3580" spans="1:5" ht="26" hidden="1" x14ac:dyDescent="0.15">
      <c r="A3580" s="1" t="s">
        <v>64</v>
      </c>
      <c r="B3580" s="2">
        <v>65047</v>
      </c>
      <c r="C3580" s="3">
        <v>0.05</v>
      </c>
      <c r="D3580" s="4" t="s">
        <v>404</v>
      </c>
      <c r="E3580" s="4" t="s">
        <v>405</v>
      </c>
    </row>
    <row r="3581" spans="1:5" hidden="1" x14ac:dyDescent="0.15">
      <c r="A3581" s="1" t="s">
        <v>65</v>
      </c>
      <c r="B3581" s="2">
        <v>271126</v>
      </c>
      <c r="C3581" s="3">
        <v>0.20899999999999999</v>
      </c>
      <c r="D3581" s="4" t="s">
        <v>404</v>
      </c>
      <c r="E3581" s="4" t="s">
        <v>405</v>
      </c>
    </row>
    <row r="3582" spans="1:5" hidden="1" x14ac:dyDescent="0.15">
      <c r="A3582" s="1" t="s">
        <v>66</v>
      </c>
      <c r="B3582" s="2">
        <v>108290</v>
      </c>
      <c r="C3582" s="3">
        <v>8.3000000000000004E-2</v>
      </c>
      <c r="D3582" s="4" t="s">
        <v>404</v>
      </c>
      <c r="E3582" s="4" t="s">
        <v>405</v>
      </c>
    </row>
    <row r="3583" spans="1:5" hidden="1" x14ac:dyDescent="0.15">
      <c r="A3583" s="1" t="s">
        <v>67</v>
      </c>
      <c r="B3583" s="2">
        <v>290243</v>
      </c>
      <c r="C3583" s="3">
        <v>0.223</v>
      </c>
      <c r="D3583" s="4" t="s">
        <v>404</v>
      </c>
      <c r="E3583" s="4" t="s">
        <v>405</v>
      </c>
    </row>
    <row r="3584" spans="1:5" hidden="1" x14ac:dyDescent="0.15">
      <c r="A3584" s="1" t="s">
        <v>68</v>
      </c>
      <c r="B3584" s="2">
        <v>436541</v>
      </c>
      <c r="C3584" s="3">
        <v>0.33600000000000002</v>
      </c>
      <c r="D3584" s="4" t="s">
        <v>404</v>
      </c>
      <c r="E3584" s="4" t="s">
        <v>405</v>
      </c>
    </row>
    <row r="3585" spans="1:5" hidden="1" x14ac:dyDescent="0.15">
      <c r="A3585" s="1" t="s">
        <v>69</v>
      </c>
      <c r="B3585" s="2">
        <v>1045044</v>
      </c>
      <c r="C3585" s="3">
        <v>0.80400000000000005</v>
      </c>
      <c r="D3585" s="4" t="s">
        <v>404</v>
      </c>
      <c r="E3585" s="4" t="s">
        <v>405</v>
      </c>
    </row>
    <row r="3586" spans="1:5" hidden="1" x14ac:dyDescent="0.15">
      <c r="A3586" s="1" t="s">
        <v>70</v>
      </c>
      <c r="B3586" s="2">
        <v>141244</v>
      </c>
      <c r="C3586" s="3">
        <v>0.109</v>
      </c>
      <c r="D3586" s="4" t="s">
        <v>404</v>
      </c>
      <c r="E3586" s="4" t="s">
        <v>405</v>
      </c>
    </row>
    <row r="3587" spans="1:5" ht="26" hidden="1" x14ac:dyDescent="0.15">
      <c r="A3587" s="1" t="s">
        <v>71</v>
      </c>
      <c r="B3587" s="2">
        <v>108884</v>
      </c>
      <c r="C3587" s="3">
        <v>8.4000000000000005E-2</v>
      </c>
      <c r="D3587" s="4" t="s">
        <v>404</v>
      </c>
      <c r="E3587" s="4" t="s">
        <v>405</v>
      </c>
    </row>
    <row r="3588" spans="1:5" hidden="1" x14ac:dyDescent="0.15">
      <c r="A3588" s="1" t="s">
        <v>72</v>
      </c>
      <c r="B3588" s="2">
        <v>167953</v>
      </c>
      <c r="C3588" s="3">
        <v>0.129</v>
      </c>
      <c r="D3588" s="4" t="s">
        <v>404</v>
      </c>
      <c r="E3588" s="4" t="s">
        <v>405</v>
      </c>
    </row>
    <row r="3589" spans="1:5" hidden="1" x14ac:dyDescent="0.15">
      <c r="A3589" s="1" t="s">
        <v>73</v>
      </c>
      <c r="B3589" s="2">
        <v>756546</v>
      </c>
      <c r="C3589" s="3">
        <v>0.58200000000000007</v>
      </c>
      <c r="D3589" s="4" t="s">
        <v>404</v>
      </c>
      <c r="E3589" s="4" t="s">
        <v>405</v>
      </c>
    </row>
    <row r="3590" spans="1:5" hidden="1" x14ac:dyDescent="0.15">
      <c r="A3590" s="1" t="s">
        <v>74</v>
      </c>
      <c r="B3590" s="2">
        <v>275072</v>
      </c>
      <c r="C3590" s="3">
        <v>0.21199999999999999</v>
      </c>
      <c r="D3590" s="4" t="s">
        <v>404</v>
      </c>
      <c r="E3590" s="4" t="s">
        <v>405</v>
      </c>
    </row>
    <row r="3591" spans="1:5" hidden="1" x14ac:dyDescent="0.15">
      <c r="A3591" s="1" t="s">
        <v>75</v>
      </c>
      <c r="B3591" s="2">
        <v>308503</v>
      </c>
      <c r="C3591" s="3">
        <v>0.23699999999999999</v>
      </c>
      <c r="D3591" s="4" t="s">
        <v>404</v>
      </c>
      <c r="E3591" s="4" t="s">
        <v>405</v>
      </c>
    </row>
    <row r="3592" spans="1:5" hidden="1" x14ac:dyDescent="0.15">
      <c r="A3592" s="1" t="s">
        <v>76</v>
      </c>
      <c r="B3592" s="2">
        <v>174420</v>
      </c>
      <c r="C3592" s="3">
        <v>0.13400000000000001</v>
      </c>
      <c r="D3592" s="4" t="s">
        <v>404</v>
      </c>
      <c r="E3592" s="4" t="s">
        <v>405</v>
      </c>
    </row>
    <row r="3593" spans="1:5" hidden="1" x14ac:dyDescent="0.15">
      <c r="A3593" s="1" t="s">
        <v>77</v>
      </c>
      <c r="B3593" s="2">
        <v>144950</v>
      </c>
      <c r="C3593" s="3">
        <v>0.11199999999999999</v>
      </c>
      <c r="D3593" s="4" t="s">
        <v>404</v>
      </c>
      <c r="E3593" s="4" t="s">
        <v>405</v>
      </c>
    </row>
    <row r="3594" spans="1:5" ht="26" hidden="1" x14ac:dyDescent="0.15">
      <c r="A3594" s="1" t="s">
        <v>78</v>
      </c>
      <c r="B3594" s="2">
        <v>155538</v>
      </c>
      <c r="C3594" s="3">
        <v>0.12</v>
      </c>
      <c r="D3594" s="4" t="s">
        <v>404</v>
      </c>
      <c r="E3594" s="4" t="s">
        <v>405</v>
      </c>
    </row>
    <row r="3595" spans="1:5" hidden="1" x14ac:dyDescent="0.15">
      <c r="A3595" s="1" t="s">
        <v>79</v>
      </c>
      <c r="B3595" s="2">
        <v>234433</v>
      </c>
      <c r="C3595" s="3">
        <v>0.18</v>
      </c>
      <c r="D3595" s="4" t="s">
        <v>404</v>
      </c>
      <c r="E3595" s="4" t="s">
        <v>405</v>
      </c>
    </row>
    <row r="3596" spans="1:5" hidden="1" x14ac:dyDescent="0.15">
      <c r="A3596" s="1" t="s">
        <v>80</v>
      </c>
      <c r="B3596" s="2">
        <v>199906</v>
      </c>
      <c r="C3596" s="3">
        <v>0.154</v>
      </c>
      <c r="D3596" s="4" t="s">
        <v>404</v>
      </c>
      <c r="E3596" s="4" t="s">
        <v>405</v>
      </c>
    </row>
    <row r="3597" spans="1:5" ht="26" hidden="1" x14ac:dyDescent="0.15">
      <c r="A3597" s="1" t="s">
        <v>81</v>
      </c>
      <c r="B3597" s="2">
        <v>247738</v>
      </c>
      <c r="C3597" s="3">
        <v>0.191</v>
      </c>
      <c r="D3597" s="4" t="s">
        <v>404</v>
      </c>
      <c r="E3597" s="4" t="s">
        <v>405</v>
      </c>
    </row>
    <row r="3598" spans="1:5" hidden="1" x14ac:dyDescent="0.15">
      <c r="A3598" s="1" t="s">
        <v>82</v>
      </c>
      <c r="B3598" s="2">
        <v>257698</v>
      </c>
      <c r="C3598" s="3">
        <v>0.19800000000000001</v>
      </c>
      <c r="D3598" s="4" t="s">
        <v>404</v>
      </c>
      <c r="E3598" s="4" t="s">
        <v>405</v>
      </c>
    </row>
    <row r="3599" spans="1:5" hidden="1" x14ac:dyDescent="0.15">
      <c r="A3599" s="4"/>
      <c r="B3599" s="4"/>
      <c r="C3599" s="4"/>
      <c r="D3599" s="4" t="s">
        <v>404</v>
      </c>
      <c r="E3599" s="4" t="s">
        <v>405</v>
      </c>
    </row>
    <row r="3600" spans="1:5" hidden="1" x14ac:dyDescent="0.15">
      <c r="A3600" s="5"/>
      <c r="B3600" s="5"/>
      <c r="C3600" s="5"/>
      <c r="D3600" s="4" t="s">
        <v>404</v>
      </c>
      <c r="E3600" s="4" t="s">
        <v>405</v>
      </c>
    </row>
    <row r="3601" spans="1:5" ht="26" hidden="1" x14ac:dyDescent="0.15">
      <c r="A3601" s="1" t="s">
        <v>406</v>
      </c>
      <c r="B3601" s="2">
        <v>394169</v>
      </c>
      <c r="C3601" s="3">
        <v>0.30299999999999999</v>
      </c>
      <c r="D3601" s="4" t="s">
        <v>404</v>
      </c>
      <c r="E3601" s="4" t="s">
        <v>405</v>
      </c>
    </row>
    <row r="3602" spans="1:5" hidden="1" x14ac:dyDescent="0.15">
      <c r="A3602" s="4"/>
      <c r="B3602" s="4"/>
      <c r="C3602" s="4"/>
      <c r="D3602" s="4" t="s">
        <v>404</v>
      </c>
      <c r="E3602" s="4" t="s">
        <v>405</v>
      </c>
    </row>
    <row r="3603" spans="1:5" hidden="1" x14ac:dyDescent="0.15">
      <c r="A3603" s="5"/>
      <c r="B3603" s="5"/>
      <c r="C3603" s="5"/>
      <c r="D3603" s="4" t="s">
        <v>404</v>
      </c>
      <c r="E3603" s="4" t="s">
        <v>405</v>
      </c>
    </row>
    <row r="3604" spans="1:5" ht="26" hidden="1" x14ac:dyDescent="0.15">
      <c r="A3604" s="1" t="s">
        <v>407</v>
      </c>
      <c r="B3604" s="2">
        <v>1050276</v>
      </c>
      <c r="C3604" s="3">
        <v>0.80799999999999994</v>
      </c>
      <c r="D3604" s="4" t="s">
        <v>404</v>
      </c>
      <c r="E3604" s="4" t="s">
        <v>405</v>
      </c>
    </row>
    <row r="3605" spans="1:5" hidden="1" x14ac:dyDescent="0.15">
      <c r="A3605" s="4"/>
      <c r="B3605" s="4"/>
      <c r="C3605" s="4"/>
      <c r="D3605" s="4" t="s">
        <v>404</v>
      </c>
      <c r="E3605" s="4" t="s">
        <v>405</v>
      </c>
    </row>
    <row r="3606" spans="1:5" hidden="1" x14ac:dyDescent="0.15">
      <c r="A3606" s="5"/>
      <c r="B3606" s="5"/>
      <c r="C3606" s="5"/>
      <c r="D3606" s="4" t="s">
        <v>404</v>
      </c>
      <c r="E3606" s="4" t="s">
        <v>405</v>
      </c>
    </row>
    <row r="3607" spans="1:5" ht="26" hidden="1" x14ac:dyDescent="0.15">
      <c r="A3607" s="1" t="s">
        <v>408</v>
      </c>
      <c r="B3607" s="2">
        <v>88746</v>
      </c>
      <c r="C3607" s="3">
        <v>6.8000000000000005E-2</v>
      </c>
      <c r="D3607" s="4" t="s">
        <v>404</v>
      </c>
      <c r="E3607" s="4" t="s">
        <v>405</v>
      </c>
    </row>
    <row r="3608" spans="1:5" hidden="1" x14ac:dyDescent="0.15">
      <c r="A3608" s="1" t="s">
        <v>409</v>
      </c>
      <c r="B3608" s="2">
        <v>319304</v>
      </c>
      <c r="C3608" s="3">
        <v>0.24600000000000002</v>
      </c>
      <c r="D3608" s="4" t="s">
        <v>404</v>
      </c>
      <c r="E3608" s="4" t="s">
        <v>405</v>
      </c>
    </row>
    <row r="3609" spans="1:5" ht="26" hidden="1" x14ac:dyDescent="0.15">
      <c r="A3609" s="1" t="s">
        <v>410</v>
      </c>
      <c r="B3609" s="2">
        <v>376738</v>
      </c>
      <c r="C3609" s="3">
        <v>0.28999999999999998</v>
      </c>
      <c r="D3609" s="4" t="s">
        <v>404</v>
      </c>
      <c r="E3609" s="4" t="s">
        <v>405</v>
      </c>
    </row>
    <row r="3610" spans="1:5" hidden="1" x14ac:dyDescent="0.15">
      <c r="A3610" s="1" t="s">
        <v>411</v>
      </c>
      <c r="B3610" s="2">
        <v>640808</v>
      </c>
      <c r="C3610" s="3">
        <v>0.49299999999999999</v>
      </c>
      <c r="D3610" s="4" t="s">
        <v>404</v>
      </c>
      <c r="E3610" s="4" t="s">
        <v>405</v>
      </c>
    </row>
    <row r="3611" spans="1:5" ht="26" hidden="1" x14ac:dyDescent="0.15">
      <c r="A3611" s="1" t="s">
        <v>412</v>
      </c>
      <c r="B3611" s="2">
        <v>82312</v>
      </c>
      <c r="C3611" s="3">
        <v>6.3E-2</v>
      </c>
      <c r="D3611" s="4" t="s">
        <v>404</v>
      </c>
      <c r="E3611" s="4" t="s">
        <v>405</v>
      </c>
    </row>
    <row r="3612" spans="1:5" ht="26" hidden="1" x14ac:dyDescent="0.15">
      <c r="A3612" s="1" t="s">
        <v>413</v>
      </c>
      <c r="B3612" s="2">
        <v>46476</v>
      </c>
      <c r="C3612" s="3">
        <v>3.6000000000000004E-2</v>
      </c>
      <c r="D3612" s="4" t="s">
        <v>404</v>
      </c>
      <c r="E3612" s="4" t="s">
        <v>405</v>
      </c>
    </row>
    <row r="3613" spans="1:5" ht="26" hidden="1" x14ac:dyDescent="0.15">
      <c r="A3613" s="1" t="s">
        <v>414</v>
      </c>
      <c r="B3613" s="2">
        <v>67485</v>
      </c>
      <c r="C3613" s="3">
        <v>5.2000000000000005E-2</v>
      </c>
      <c r="D3613" s="4" t="s">
        <v>404</v>
      </c>
      <c r="E3613" s="4" t="s">
        <v>405</v>
      </c>
    </row>
    <row r="3614" spans="1:5" ht="26" hidden="1" x14ac:dyDescent="0.15">
      <c r="A3614" s="1" t="s">
        <v>415</v>
      </c>
      <c r="B3614" s="2">
        <v>111393</v>
      </c>
      <c r="C3614" s="3">
        <v>8.5999999999999993E-2</v>
      </c>
      <c r="D3614" s="4" t="s">
        <v>404</v>
      </c>
      <c r="E3614" s="4" t="s">
        <v>405</v>
      </c>
    </row>
    <row r="3615" spans="1:5" hidden="1" x14ac:dyDescent="0.15">
      <c r="A3615" s="1" t="s">
        <v>416</v>
      </c>
      <c r="B3615" s="2">
        <v>159095</v>
      </c>
      <c r="C3615" s="3">
        <v>0.122</v>
      </c>
      <c r="D3615" s="4" t="s">
        <v>404</v>
      </c>
      <c r="E3615" s="4" t="s">
        <v>405</v>
      </c>
    </row>
    <row r="3616" spans="1:5" hidden="1" x14ac:dyDescent="0.15">
      <c r="A3616" s="1" t="s">
        <v>0</v>
      </c>
      <c r="B3616" s="2">
        <v>2037048</v>
      </c>
      <c r="C3616" s="3">
        <v>1</v>
      </c>
      <c r="D3616" s="4" t="s">
        <v>417</v>
      </c>
      <c r="E3616" s="4" t="s">
        <v>418</v>
      </c>
    </row>
    <row r="3617" spans="1:5" ht="26" hidden="1" x14ac:dyDescent="0.15">
      <c r="A3617" s="1" t="s">
        <v>3</v>
      </c>
      <c r="B3617" s="2">
        <v>16392</v>
      </c>
      <c r="C3617" s="3">
        <v>8.0000000000000002E-3</v>
      </c>
      <c r="D3617" s="4" t="s">
        <v>417</v>
      </c>
      <c r="E3617" s="4" t="s">
        <v>418</v>
      </c>
    </row>
    <row r="3618" spans="1:5" hidden="1" x14ac:dyDescent="0.15">
      <c r="A3618" s="1" t="s">
        <v>4</v>
      </c>
      <c r="B3618" s="2">
        <v>11940</v>
      </c>
      <c r="C3618" s="3">
        <v>6.0000000000000001E-3</v>
      </c>
      <c r="D3618" s="4" t="s">
        <v>417</v>
      </c>
      <c r="E3618" s="4" t="s">
        <v>418</v>
      </c>
    </row>
    <row r="3619" spans="1:5" ht="26" hidden="1" x14ac:dyDescent="0.15">
      <c r="A3619" s="1" t="s">
        <v>5</v>
      </c>
      <c r="B3619" s="2">
        <v>78136</v>
      </c>
      <c r="C3619" s="3">
        <v>3.7999999999999999E-2</v>
      </c>
      <c r="D3619" s="4" t="s">
        <v>417</v>
      </c>
      <c r="E3619" s="4" t="s">
        <v>418</v>
      </c>
    </row>
    <row r="3620" spans="1:5" ht="26" hidden="1" x14ac:dyDescent="0.15">
      <c r="A3620" s="1" t="s">
        <v>6</v>
      </c>
      <c r="B3620" s="2">
        <v>305964</v>
      </c>
      <c r="C3620" s="3">
        <v>0.15</v>
      </c>
      <c r="D3620" s="4" t="s">
        <v>417</v>
      </c>
      <c r="E3620" s="4" t="s">
        <v>418</v>
      </c>
    </row>
    <row r="3621" spans="1:5" ht="26" hidden="1" x14ac:dyDescent="0.15">
      <c r="A3621" s="1" t="s">
        <v>7</v>
      </c>
      <c r="B3621" s="2">
        <v>560318</v>
      </c>
      <c r="C3621" s="3">
        <v>0.27500000000000002</v>
      </c>
      <c r="D3621" s="4" t="s">
        <v>417</v>
      </c>
      <c r="E3621" s="4" t="s">
        <v>418</v>
      </c>
    </row>
    <row r="3622" spans="1:5" ht="26" hidden="1" x14ac:dyDescent="0.15">
      <c r="A3622" s="1" t="s">
        <v>8</v>
      </c>
      <c r="B3622" s="2">
        <v>16742</v>
      </c>
      <c r="C3622" s="3">
        <v>8.0000000000000002E-3</v>
      </c>
      <c r="D3622" s="4" t="s">
        <v>417</v>
      </c>
      <c r="E3622" s="4" t="s">
        <v>418</v>
      </c>
    </row>
    <row r="3623" spans="1:5" ht="26" hidden="1" x14ac:dyDescent="0.15">
      <c r="A3623" s="1" t="s">
        <v>9</v>
      </c>
      <c r="B3623" s="2">
        <v>14498</v>
      </c>
      <c r="C3623" s="3">
        <v>6.9999999999999993E-3</v>
      </c>
      <c r="D3623" s="4" t="s">
        <v>417</v>
      </c>
      <c r="E3623" s="4" t="s">
        <v>418</v>
      </c>
    </row>
    <row r="3624" spans="1:5" ht="26" hidden="1" x14ac:dyDescent="0.15">
      <c r="A3624" s="1" t="s">
        <v>10</v>
      </c>
      <c r="B3624" s="2">
        <v>32666</v>
      </c>
      <c r="C3624" s="3">
        <v>1.6E-2</v>
      </c>
      <c r="D3624" s="4" t="s">
        <v>417</v>
      </c>
      <c r="E3624" s="4" t="s">
        <v>418</v>
      </c>
    </row>
    <row r="3625" spans="1:5" ht="26" hidden="1" x14ac:dyDescent="0.15">
      <c r="A3625" s="1" t="s">
        <v>11</v>
      </c>
      <c r="B3625" s="2">
        <v>89054</v>
      </c>
      <c r="C3625" s="3">
        <v>4.4000000000000004E-2</v>
      </c>
      <c r="D3625" s="4" t="s">
        <v>417</v>
      </c>
      <c r="E3625" s="4" t="s">
        <v>418</v>
      </c>
    </row>
    <row r="3626" spans="1:5" ht="26" hidden="1" x14ac:dyDescent="0.15">
      <c r="A3626" s="1" t="s">
        <v>12</v>
      </c>
      <c r="B3626" s="2">
        <v>31921</v>
      </c>
      <c r="C3626" s="3">
        <v>1.6E-2</v>
      </c>
      <c r="D3626" s="4" t="s">
        <v>417</v>
      </c>
      <c r="E3626" s="4" t="s">
        <v>418</v>
      </c>
    </row>
    <row r="3627" spans="1:5" ht="26" hidden="1" x14ac:dyDescent="0.15">
      <c r="A3627" s="1" t="s">
        <v>13</v>
      </c>
      <c r="B3627" s="2">
        <v>15588</v>
      </c>
      <c r="C3627" s="3">
        <v>8.0000000000000002E-3</v>
      </c>
      <c r="D3627" s="4" t="s">
        <v>417</v>
      </c>
      <c r="E3627" s="4" t="s">
        <v>418</v>
      </c>
    </row>
    <row r="3628" spans="1:5" hidden="1" x14ac:dyDescent="0.15">
      <c r="A3628" s="1" t="s">
        <v>14</v>
      </c>
      <c r="B3628" s="2">
        <v>85847</v>
      </c>
      <c r="C3628" s="3">
        <v>4.2000000000000003E-2</v>
      </c>
      <c r="D3628" s="4" t="s">
        <v>417</v>
      </c>
      <c r="E3628" s="4" t="s">
        <v>418</v>
      </c>
    </row>
    <row r="3629" spans="1:5" ht="26" hidden="1" x14ac:dyDescent="0.15">
      <c r="A3629" s="1" t="s">
        <v>15</v>
      </c>
      <c r="B3629" s="2">
        <v>137968</v>
      </c>
      <c r="C3629" s="3">
        <v>6.8000000000000005E-2</v>
      </c>
      <c r="D3629" s="4" t="s">
        <v>417</v>
      </c>
      <c r="E3629" s="4" t="s">
        <v>418</v>
      </c>
    </row>
    <row r="3630" spans="1:5" ht="26" hidden="1" x14ac:dyDescent="0.15">
      <c r="A3630" s="1" t="s">
        <v>16</v>
      </c>
      <c r="B3630" s="2">
        <v>34901</v>
      </c>
      <c r="C3630" s="3">
        <v>1.7000000000000001E-2</v>
      </c>
      <c r="D3630" s="4" t="s">
        <v>417</v>
      </c>
      <c r="E3630" s="4" t="s">
        <v>418</v>
      </c>
    </row>
    <row r="3631" spans="1:5" ht="26" hidden="1" x14ac:dyDescent="0.15">
      <c r="A3631" s="1" t="s">
        <v>17</v>
      </c>
      <c r="B3631" s="2">
        <v>55663</v>
      </c>
      <c r="C3631" s="3">
        <v>2.7000000000000003E-2</v>
      </c>
      <c r="D3631" s="4" t="s">
        <v>417</v>
      </c>
      <c r="E3631" s="4" t="s">
        <v>418</v>
      </c>
    </row>
    <row r="3632" spans="1:5" hidden="1" x14ac:dyDescent="0.15">
      <c r="A3632" s="1" t="s">
        <v>18</v>
      </c>
      <c r="B3632" s="2">
        <v>36893</v>
      </c>
      <c r="C3632" s="3">
        <v>1.8000000000000002E-2</v>
      </c>
      <c r="D3632" s="4" t="s">
        <v>417</v>
      </c>
      <c r="E3632" s="4" t="s">
        <v>418</v>
      </c>
    </row>
    <row r="3633" spans="1:5" hidden="1" x14ac:dyDescent="0.15">
      <c r="A3633" s="1" t="s">
        <v>19</v>
      </c>
      <c r="B3633" s="2">
        <v>215329</v>
      </c>
      <c r="C3633" s="3">
        <v>0.106</v>
      </c>
      <c r="D3633" s="4" t="s">
        <v>417</v>
      </c>
      <c r="E3633" s="4" t="s">
        <v>418</v>
      </c>
    </row>
    <row r="3634" spans="1:5" hidden="1" x14ac:dyDescent="0.15">
      <c r="A3634" s="1" t="s">
        <v>20</v>
      </c>
      <c r="B3634" s="2">
        <v>18815</v>
      </c>
      <c r="C3634" s="3">
        <v>9.0000000000000011E-3</v>
      </c>
      <c r="D3634" s="4" t="s">
        <v>417</v>
      </c>
      <c r="E3634" s="4" t="s">
        <v>418</v>
      </c>
    </row>
    <row r="3635" spans="1:5" ht="26" hidden="1" x14ac:dyDescent="0.15">
      <c r="A3635" s="1" t="s">
        <v>21</v>
      </c>
      <c r="B3635" s="2">
        <v>39702</v>
      </c>
      <c r="C3635" s="3">
        <v>1.9E-2</v>
      </c>
      <c r="D3635" s="4" t="s">
        <v>417</v>
      </c>
      <c r="E3635" s="4" t="s">
        <v>418</v>
      </c>
    </row>
    <row r="3636" spans="1:5" ht="26" hidden="1" x14ac:dyDescent="0.15">
      <c r="A3636" s="1" t="s">
        <v>22</v>
      </c>
      <c r="B3636" s="2">
        <v>1836</v>
      </c>
      <c r="C3636" s="3">
        <v>1E-3</v>
      </c>
      <c r="D3636" s="4" t="s">
        <v>417</v>
      </c>
      <c r="E3636" s="4" t="s">
        <v>418</v>
      </c>
    </row>
    <row r="3637" spans="1:5" ht="26" hidden="1" x14ac:dyDescent="0.15">
      <c r="A3637" s="1" t="s">
        <v>23</v>
      </c>
      <c r="B3637" s="2">
        <v>27512</v>
      </c>
      <c r="C3637" s="3">
        <v>1.3999999999999999E-2</v>
      </c>
      <c r="D3637" s="4" t="s">
        <v>417</v>
      </c>
      <c r="E3637" s="4" t="s">
        <v>418</v>
      </c>
    </row>
    <row r="3638" spans="1:5" ht="26" hidden="1" x14ac:dyDescent="0.15">
      <c r="A3638" s="1" t="s">
        <v>24</v>
      </c>
      <c r="B3638" s="2">
        <v>2198</v>
      </c>
      <c r="C3638" s="3">
        <v>1E-3</v>
      </c>
      <c r="D3638" s="4" t="s">
        <v>417</v>
      </c>
      <c r="E3638" s="4" t="s">
        <v>418</v>
      </c>
    </row>
    <row r="3639" spans="1:5" ht="26" hidden="1" x14ac:dyDescent="0.15">
      <c r="A3639" s="1" t="s">
        <v>25</v>
      </c>
      <c r="B3639" s="2">
        <v>30837</v>
      </c>
      <c r="C3639" s="3">
        <v>1.4999999999999999E-2</v>
      </c>
      <c r="D3639" s="4" t="s">
        <v>417</v>
      </c>
      <c r="E3639" s="4" t="s">
        <v>418</v>
      </c>
    </row>
    <row r="3640" spans="1:5" hidden="1" x14ac:dyDescent="0.15">
      <c r="A3640" s="1" t="s">
        <v>26</v>
      </c>
      <c r="B3640" s="2">
        <v>14793</v>
      </c>
      <c r="C3640" s="3">
        <v>6.9999999999999993E-3</v>
      </c>
      <c r="D3640" s="4" t="s">
        <v>417</v>
      </c>
      <c r="E3640" s="4" t="s">
        <v>418</v>
      </c>
    </row>
    <row r="3641" spans="1:5" hidden="1" x14ac:dyDescent="0.15">
      <c r="A3641" s="1" t="s">
        <v>27</v>
      </c>
      <c r="B3641" s="2">
        <v>236622</v>
      </c>
      <c r="C3641" s="3">
        <v>0.11599999999999999</v>
      </c>
      <c r="D3641" s="4" t="s">
        <v>417</v>
      </c>
      <c r="E3641" s="4" t="s">
        <v>418</v>
      </c>
    </row>
    <row r="3642" spans="1:5" hidden="1" x14ac:dyDescent="0.15">
      <c r="A3642" s="1" t="s">
        <v>28</v>
      </c>
      <c r="B3642" s="2">
        <v>125356</v>
      </c>
      <c r="C3642" s="3">
        <v>6.2E-2</v>
      </c>
      <c r="D3642" s="4" t="s">
        <v>417</v>
      </c>
      <c r="E3642" s="4" t="s">
        <v>418</v>
      </c>
    </row>
    <row r="3643" spans="1:5" hidden="1" x14ac:dyDescent="0.15">
      <c r="A3643" s="1" t="s">
        <v>29</v>
      </c>
      <c r="B3643" s="2">
        <v>630808</v>
      </c>
      <c r="C3643" s="3">
        <v>0.31</v>
      </c>
      <c r="D3643" s="4" t="s">
        <v>417</v>
      </c>
      <c r="E3643" s="4" t="s">
        <v>418</v>
      </c>
    </row>
    <row r="3644" spans="1:5" hidden="1" x14ac:dyDescent="0.15">
      <c r="A3644" s="1" t="s">
        <v>30</v>
      </c>
      <c r="B3644" s="2">
        <v>86613</v>
      </c>
      <c r="C3644" s="3">
        <v>4.2999999999999997E-2</v>
      </c>
      <c r="D3644" s="4" t="s">
        <v>417</v>
      </c>
      <c r="E3644" s="4" t="s">
        <v>418</v>
      </c>
    </row>
    <row r="3645" spans="1:5" ht="39" hidden="1" x14ac:dyDescent="0.15">
      <c r="A3645" s="1" t="s">
        <v>31</v>
      </c>
      <c r="B3645" s="2">
        <v>7177</v>
      </c>
      <c r="C3645" s="3">
        <v>4.0000000000000001E-3</v>
      </c>
      <c r="D3645" s="4" t="s">
        <v>417</v>
      </c>
      <c r="E3645" s="4" t="s">
        <v>418</v>
      </c>
    </row>
    <row r="3646" spans="1:5" hidden="1" x14ac:dyDescent="0.15">
      <c r="A3646" s="1" t="s">
        <v>32</v>
      </c>
      <c r="B3646" s="2">
        <v>44973</v>
      </c>
      <c r="C3646" s="3">
        <v>2.2000000000000002E-2</v>
      </c>
      <c r="D3646" s="4" t="s">
        <v>417</v>
      </c>
      <c r="E3646" s="4" t="s">
        <v>418</v>
      </c>
    </row>
    <row r="3647" spans="1:5" hidden="1" x14ac:dyDescent="0.15">
      <c r="A3647" s="1" t="s">
        <v>33</v>
      </c>
      <c r="B3647" s="2">
        <v>413206</v>
      </c>
      <c r="C3647" s="3">
        <v>0.20300000000000001</v>
      </c>
      <c r="D3647" s="4" t="s">
        <v>417</v>
      </c>
      <c r="E3647" s="4" t="s">
        <v>418</v>
      </c>
    </row>
    <row r="3648" spans="1:5" hidden="1" x14ac:dyDescent="0.15">
      <c r="A3648" s="1" t="s">
        <v>34</v>
      </c>
      <c r="B3648" s="2">
        <v>149829</v>
      </c>
      <c r="C3648" s="3">
        <v>7.400000000000001E-2</v>
      </c>
      <c r="D3648" s="4" t="s">
        <v>417</v>
      </c>
      <c r="E3648" s="4" t="s">
        <v>418</v>
      </c>
    </row>
    <row r="3649" spans="1:5" hidden="1" x14ac:dyDescent="0.15">
      <c r="A3649" s="1" t="s">
        <v>35</v>
      </c>
      <c r="B3649" s="2">
        <v>64827</v>
      </c>
      <c r="C3649" s="3">
        <v>3.2000000000000001E-2</v>
      </c>
      <c r="D3649" s="4" t="s">
        <v>417</v>
      </c>
      <c r="E3649" s="4" t="s">
        <v>418</v>
      </c>
    </row>
    <row r="3650" spans="1:5" ht="26" hidden="1" x14ac:dyDescent="0.15">
      <c r="A3650" s="1" t="s">
        <v>36</v>
      </c>
      <c r="B3650" s="2">
        <v>35686</v>
      </c>
      <c r="C3650" s="3">
        <v>1.8000000000000002E-2</v>
      </c>
      <c r="D3650" s="4" t="s">
        <v>417</v>
      </c>
      <c r="E3650" s="4" t="s">
        <v>418</v>
      </c>
    </row>
    <row r="3651" spans="1:5" hidden="1" x14ac:dyDescent="0.15">
      <c r="A3651" s="1" t="s">
        <v>37</v>
      </c>
      <c r="B3651" s="2">
        <v>33205</v>
      </c>
      <c r="C3651" s="3">
        <v>1.6E-2</v>
      </c>
      <c r="D3651" s="4" t="s">
        <v>417</v>
      </c>
      <c r="E3651" s="4" t="s">
        <v>418</v>
      </c>
    </row>
    <row r="3652" spans="1:5" ht="39" hidden="1" x14ac:dyDescent="0.15">
      <c r="A3652" s="1" t="s">
        <v>38</v>
      </c>
      <c r="B3652" s="2">
        <v>16825</v>
      </c>
      <c r="C3652" s="3">
        <v>8.0000000000000002E-3</v>
      </c>
      <c r="D3652" s="4" t="s">
        <v>417</v>
      </c>
      <c r="E3652" s="4" t="s">
        <v>418</v>
      </c>
    </row>
    <row r="3653" spans="1:5" hidden="1" x14ac:dyDescent="0.15">
      <c r="A3653" s="1" t="s">
        <v>39</v>
      </c>
      <c r="B3653" s="2">
        <v>95356</v>
      </c>
      <c r="C3653" s="3">
        <v>4.7E-2</v>
      </c>
      <c r="D3653" s="4" t="s">
        <v>417</v>
      </c>
      <c r="E3653" s="4" t="s">
        <v>418</v>
      </c>
    </row>
    <row r="3654" spans="1:5" hidden="1" x14ac:dyDescent="0.15">
      <c r="A3654" s="1" t="s">
        <v>40</v>
      </c>
      <c r="B3654" s="2">
        <v>34710</v>
      </c>
      <c r="C3654" s="3">
        <v>1.7000000000000001E-2</v>
      </c>
      <c r="D3654" s="4" t="s">
        <v>417</v>
      </c>
      <c r="E3654" s="4" t="s">
        <v>418</v>
      </c>
    </row>
    <row r="3655" spans="1:5" hidden="1" x14ac:dyDescent="0.15">
      <c r="A3655" s="1" t="s">
        <v>41</v>
      </c>
      <c r="B3655" s="2">
        <v>52946</v>
      </c>
      <c r="C3655" s="3">
        <v>2.6000000000000002E-2</v>
      </c>
      <c r="D3655" s="4" t="s">
        <v>417</v>
      </c>
      <c r="E3655" s="4" t="s">
        <v>418</v>
      </c>
    </row>
    <row r="3656" spans="1:5" hidden="1" x14ac:dyDescent="0.15">
      <c r="A3656" s="1" t="s">
        <v>42</v>
      </c>
      <c r="B3656" s="2">
        <v>112950</v>
      </c>
      <c r="C3656" s="3">
        <v>5.5E-2</v>
      </c>
      <c r="D3656" s="4" t="s">
        <v>417</v>
      </c>
      <c r="E3656" s="4" t="s">
        <v>418</v>
      </c>
    </row>
    <row r="3657" spans="1:5" hidden="1" x14ac:dyDescent="0.15">
      <c r="A3657" s="1" t="s">
        <v>43</v>
      </c>
      <c r="B3657" s="2">
        <v>141750</v>
      </c>
      <c r="C3657" s="3">
        <v>7.0000000000000007E-2</v>
      </c>
      <c r="D3657" s="4" t="s">
        <v>417</v>
      </c>
      <c r="E3657" s="4" t="s">
        <v>418</v>
      </c>
    </row>
    <row r="3658" spans="1:5" ht="26" hidden="1" x14ac:dyDescent="0.15">
      <c r="A3658" s="1" t="s">
        <v>44</v>
      </c>
      <c r="B3658" s="2">
        <v>215521</v>
      </c>
      <c r="C3658" s="3">
        <v>0.106</v>
      </c>
      <c r="D3658" s="4" t="s">
        <v>417</v>
      </c>
      <c r="E3658" s="4" t="s">
        <v>418</v>
      </c>
    </row>
    <row r="3659" spans="1:5" hidden="1" x14ac:dyDescent="0.15">
      <c r="A3659" s="1" t="s">
        <v>45</v>
      </c>
      <c r="B3659" s="2">
        <v>487707</v>
      </c>
      <c r="C3659" s="3">
        <v>0.23899999999999999</v>
      </c>
      <c r="D3659" s="4" t="s">
        <v>417</v>
      </c>
      <c r="E3659" s="4" t="s">
        <v>418</v>
      </c>
    </row>
    <row r="3660" spans="1:5" ht="26" hidden="1" x14ac:dyDescent="0.15">
      <c r="A3660" s="1" t="s">
        <v>46</v>
      </c>
      <c r="B3660" s="2">
        <v>800729</v>
      </c>
      <c r="C3660" s="3">
        <v>0.39299999999999996</v>
      </c>
      <c r="D3660" s="4" t="s">
        <v>417</v>
      </c>
      <c r="E3660" s="4" t="s">
        <v>418</v>
      </c>
    </row>
    <row r="3661" spans="1:5" hidden="1" x14ac:dyDescent="0.15">
      <c r="A3661" s="1" t="s">
        <v>47</v>
      </c>
      <c r="B3661" s="2">
        <v>1051157</v>
      </c>
      <c r="C3661" s="3">
        <v>0.51600000000000001</v>
      </c>
      <c r="D3661" s="4" t="s">
        <v>417</v>
      </c>
      <c r="E3661" s="4" t="s">
        <v>418</v>
      </c>
    </row>
    <row r="3662" spans="1:5" hidden="1" x14ac:dyDescent="0.15">
      <c r="A3662" s="1" t="s">
        <v>48</v>
      </c>
      <c r="B3662" s="2">
        <v>137516</v>
      </c>
      <c r="C3662" s="3">
        <v>6.8000000000000005E-2</v>
      </c>
      <c r="D3662" s="4" t="s">
        <v>417</v>
      </c>
      <c r="E3662" s="4" t="s">
        <v>418</v>
      </c>
    </row>
    <row r="3663" spans="1:5" hidden="1" x14ac:dyDescent="0.15">
      <c r="A3663" s="1" t="s">
        <v>49</v>
      </c>
      <c r="B3663" s="2">
        <v>114209</v>
      </c>
      <c r="C3663" s="3">
        <v>5.5999999999999994E-2</v>
      </c>
      <c r="D3663" s="4" t="s">
        <v>417</v>
      </c>
      <c r="E3663" s="4" t="s">
        <v>418</v>
      </c>
    </row>
    <row r="3664" spans="1:5" ht="26" hidden="1" x14ac:dyDescent="0.15">
      <c r="A3664" s="1" t="s">
        <v>50</v>
      </c>
      <c r="B3664" s="2">
        <v>286932</v>
      </c>
      <c r="C3664" s="3">
        <v>0.14099999999999999</v>
      </c>
      <c r="D3664" s="4" t="s">
        <v>417</v>
      </c>
      <c r="E3664" s="4" t="s">
        <v>418</v>
      </c>
    </row>
    <row r="3665" spans="1:5" hidden="1" x14ac:dyDescent="0.15">
      <c r="A3665" s="1" t="s">
        <v>51</v>
      </c>
      <c r="B3665" s="2">
        <v>520011</v>
      </c>
      <c r="C3665" s="3">
        <v>0.255</v>
      </c>
      <c r="D3665" s="4" t="s">
        <v>417</v>
      </c>
      <c r="E3665" s="4" t="s">
        <v>418</v>
      </c>
    </row>
    <row r="3666" spans="1:5" hidden="1" x14ac:dyDescent="0.15">
      <c r="A3666" s="1" t="s">
        <v>52</v>
      </c>
      <c r="B3666" s="2">
        <v>214679</v>
      </c>
      <c r="C3666" s="3">
        <v>0.105</v>
      </c>
      <c r="D3666" s="4" t="s">
        <v>417</v>
      </c>
      <c r="E3666" s="4" t="s">
        <v>418</v>
      </c>
    </row>
    <row r="3667" spans="1:5" ht="26" hidden="1" x14ac:dyDescent="0.15">
      <c r="A3667" s="1" t="s">
        <v>53</v>
      </c>
      <c r="B3667" s="2">
        <v>142688</v>
      </c>
      <c r="C3667" s="3">
        <v>7.0000000000000007E-2</v>
      </c>
      <c r="D3667" s="4" t="s">
        <v>417</v>
      </c>
      <c r="E3667" s="4" t="s">
        <v>418</v>
      </c>
    </row>
    <row r="3668" spans="1:5" hidden="1" x14ac:dyDescent="0.15">
      <c r="A3668" s="1" t="s">
        <v>54</v>
      </c>
      <c r="B3668" s="2">
        <v>582123</v>
      </c>
      <c r="C3668" s="3">
        <v>0.28600000000000003</v>
      </c>
      <c r="D3668" s="4" t="s">
        <v>417</v>
      </c>
      <c r="E3668" s="4" t="s">
        <v>418</v>
      </c>
    </row>
    <row r="3669" spans="1:5" ht="26" hidden="1" x14ac:dyDescent="0.15">
      <c r="A3669" s="1" t="s">
        <v>55</v>
      </c>
      <c r="B3669" s="2">
        <v>573658</v>
      </c>
      <c r="C3669" s="3">
        <v>0.28199999999999997</v>
      </c>
      <c r="D3669" s="4" t="s">
        <v>417</v>
      </c>
      <c r="E3669" s="4" t="s">
        <v>418</v>
      </c>
    </row>
    <row r="3670" spans="1:5" hidden="1" x14ac:dyDescent="0.15">
      <c r="A3670" s="1" t="s">
        <v>56</v>
      </c>
      <c r="B3670" s="2">
        <v>448644</v>
      </c>
      <c r="C3670" s="3">
        <v>0.22</v>
      </c>
      <c r="D3670" s="4" t="s">
        <v>417</v>
      </c>
      <c r="E3670" s="4" t="s">
        <v>418</v>
      </c>
    </row>
    <row r="3671" spans="1:5" hidden="1" x14ac:dyDescent="0.15">
      <c r="A3671" s="1" t="s">
        <v>57</v>
      </c>
      <c r="B3671" s="2">
        <v>299359</v>
      </c>
      <c r="C3671" s="3">
        <v>0.14699999999999999</v>
      </c>
      <c r="D3671" s="4" t="s">
        <v>417</v>
      </c>
      <c r="E3671" s="4" t="s">
        <v>418</v>
      </c>
    </row>
    <row r="3672" spans="1:5" hidden="1" x14ac:dyDescent="0.15">
      <c r="A3672" s="1" t="s">
        <v>58</v>
      </c>
      <c r="B3672" s="2">
        <v>248664</v>
      </c>
      <c r="C3672" s="3">
        <v>0.122</v>
      </c>
      <c r="D3672" s="4" t="s">
        <v>417</v>
      </c>
      <c r="E3672" s="4" t="s">
        <v>418</v>
      </c>
    </row>
    <row r="3673" spans="1:5" hidden="1" x14ac:dyDescent="0.15">
      <c r="A3673" s="1" t="s">
        <v>59</v>
      </c>
      <c r="B3673" s="2">
        <v>857518</v>
      </c>
      <c r="C3673" s="3">
        <v>0.42100000000000004</v>
      </c>
      <c r="D3673" s="4" t="s">
        <v>417</v>
      </c>
      <c r="E3673" s="4" t="s">
        <v>418</v>
      </c>
    </row>
    <row r="3674" spans="1:5" hidden="1" x14ac:dyDescent="0.15">
      <c r="A3674" s="1" t="s">
        <v>60</v>
      </c>
      <c r="B3674" s="2">
        <v>198586</v>
      </c>
      <c r="C3674" s="3">
        <v>9.6999999999999989E-2</v>
      </c>
      <c r="D3674" s="4" t="s">
        <v>417</v>
      </c>
      <c r="E3674" s="4" t="s">
        <v>418</v>
      </c>
    </row>
    <row r="3675" spans="1:5" ht="26" hidden="1" x14ac:dyDescent="0.15">
      <c r="A3675" s="1" t="s">
        <v>61</v>
      </c>
      <c r="B3675" s="2">
        <v>263231</v>
      </c>
      <c r="C3675" s="3">
        <v>0.129</v>
      </c>
      <c r="D3675" s="4" t="s">
        <v>417</v>
      </c>
      <c r="E3675" s="4" t="s">
        <v>418</v>
      </c>
    </row>
    <row r="3676" spans="1:5" hidden="1" x14ac:dyDescent="0.15">
      <c r="A3676" s="1" t="s">
        <v>62</v>
      </c>
      <c r="B3676" s="2">
        <v>70238</v>
      </c>
      <c r="C3676" s="3">
        <v>3.4000000000000002E-2</v>
      </c>
      <c r="D3676" s="4" t="s">
        <v>417</v>
      </c>
      <c r="E3676" s="4" t="s">
        <v>418</v>
      </c>
    </row>
    <row r="3677" spans="1:5" ht="26" hidden="1" x14ac:dyDescent="0.15">
      <c r="A3677" s="1" t="s">
        <v>63</v>
      </c>
      <c r="B3677" s="2">
        <v>328872</v>
      </c>
      <c r="C3677" s="3">
        <v>0.161</v>
      </c>
      <c r="D3677" s="4" t="s">
        <v>417</v>
      </c>
      <c r="E3677" s="4" t="s">
        <v>418</v>
      </c>
    </row>
    <row r="3678" spans="1:5" ht="26" hidden="1" x14ac:dyDescent="0.15">
      <c r="A3678" s="1" t="s">
        <v>64</v>
      </c>
      <c r="B3678" s="2">
        <v>62794</v>
      </c>
      <c r="C3678" s="3">
        <v>3.1E-2</v>
      </c>
      <c r="D3678" s="4" t="s">
        <v>417</v>
      </c>
      <c r="E3678" s="4" t="s">
        <v>418</v>
      </c>
    </row>
    <row r="3679" spans="1:5" hidden="1" x14ac:dyDescent="0.15">
      <c r="A3679" s="1" t="s">
        <v>65</v>
      </c>
      <c r="B3679" s="2">
        <v>285010</v>
      </c>
      <c r="C3679" s="3">
        <v>0.14000000000000001</v>
      </c>
      <c r="D3679" s="4" t="s">
        <v>417</v>
      </c>
      <c r="E3679" s="4" t="s">
        <v>418</v>
      </c>
    </row>
    <row r="3680" spans="1:5" hidden="1" x14ac:dyDescent="0.15">
      <c r="A3680" s="1" t="s">
        <v>66</v>
      </c>
      <c r="B3680" s="2">
        <v>119164</v>
      </c>
      <c r="C3680" s="3">
        <v>5.7999999999999996E-2</v>
      </c>
      <c r="D3680" s="4" t="s">
        <v>417</v>
      </c>
      <c r="E3680" s="4" t="s">
        <v>418</v>
      </c>
    </row>
    <row r="3681" spans="1:5" hidden="1" x14ac:dyDescent="0.15">
      <c r="A3681" s="1" t="s">
        <v>67</v>
      </c>
      <c r="B3681" s="2">
        <v>627852</v>
      </c>
      <c r="C3681" s="3">
        <v>0.308</v>
      </c>
      <c r="D3681" s="4" t="s">
        <v>417</v>
      </c>
      <c r="E3681" s="4" t="s">
        <v>418</v>
      </c>
    </row>
    <row r="3682" spans="1:5" hidden="1" x14ac:dyDescent="0.15">
      <c r="A3682" s="1" t="s">
        <v>68</v>
      </c>
      <c r="B3682" s="2">
        <v>554103</v>
      </c>
      <c r="C3682" s="3">
        <v>0.27200000000000002</v>
      </c>
      <c r="D3682" s="4" t="s">
        <v>417</v>
      </c>
      <c r="E3682" s="4" t="s">
        <v>418</v>
      </c>
    </row>
    <row r="3683" spans="1:5" hidden="1" x14ac:dyDescent="0.15">
      <c r="A3683" s="1" t="s">
        <v>69</v>
      </c>
      <c r="B3683" s="2">
        <v>1295528</v>
      </c>
      <c r="C3683" s="3">
        <v>0.63600000000000001</v>
      </c>
      <c r="D3683" s="4" t="s">
        <v>417</v>
      </c>
      <c r="E3683" s="4" t="s">
        <v>418</v>
      </c>
    </row>
    <row r="3684" spans="1:5" hidden="1" x14ac:dyDescent="0.15">
      <c r="A3684" s="1" t="s">
        <v>70</v>
      </c>
      <c r="B3684" s="2">
        <v>514773</v>
      </c>
      <c r="C3684" s="3">
        <v>0.253</v>
      </c>
      <c r="D3684" s="4" t="s">
        <v>417</v>
      </c>
      <c r="E3684" s="4" t="s">
        <v>418</v>
      </c>
    </row>
    <row r="3685" spans="1:5" ht="26" hidden="1" x14ac:dyDescent="0.15">
      <c r="A3685" s="1" t="s">
        <v>71</v>
      </c>
      <c r="B3685" s="2">
        <v>92937</v>
      </c>
      <c r="C3685" s="3">
        <v>4.5999999999999999E-2</v>
      </c>
      <c r="D3685" s="4" t="s">
        <v>417</v>
      </c>
      <c r="E3685" s="4" t="s">
        <v>418</v>
      </c>
    </row>
    <row r="3686" spans="1:5" hidden="1" x14ac:dyDescent="0.15">
      <c r="A3686" s="1" t="s">
        <v>72</v>
      </c>
      <c r="B3686" s="2">
        <v>234200</v>
      </c>
      <c r="C3686" s="3">
        <v>0.115</v>
      </c>
      <c r="D3686" s="4" t="s">
        <v>417</v>
      </c>
      <c r="E3686" s="4" t="s">
        <v>418</v>
      </c>
    </row>
    <row r="3687" spans="1:5" hidden="1" x14ac:dyDescent="0.15">
      <c r="A3687" s="1" t="s">
        <v>73</v>
      </c>
      <c r="B3687" s="2">
        <v>1098508</v>
      </c>
      <c r="C3687" s="3">
        <v>0.53900000000000003</v>
      </c>
      <c r="D3687" s="4" t="s">
        <v>417</v>
      </c>
      <c r="E3687" s="4" t="s">
        <v>418</v>
      </c>
    </row>
    <row r="3688" spans="1:5" hidden="1" x14ac:dyDescent="0.15">
      <c r="A3688" s="1" t="s">
        <v>74</v>
      </c>
      <c r="B3688" s="2">
        <v>514253</v>
      </c>
      <c r="C3688" s="3">
        <v>0.252</v>
      </c>
      <c r="D3688" s="4" t="s">
        <v>417</v>
      </c>
      <c r="E3688" s="4" t="s">
        <v>418</v>
      </c>
    </row>
    <row r="3689" spans="1:5" hidden="1" x14ac:dyDescent="0.15">
      <c r="A3689" s="1" t="s">
        <v>75</v>
      </c>
      <c r="B3689" s="2">
        <v>344780</v>
      </c>
      <c r="C3689" s="3">
        <v>0.16899999999999998</v>
      </c>
      <c r="D3689" s="4" t="s">
        <v>417</v>
      </c>
      <c r="E3689" s="4" t="s">
        <v>418</v>
      </c>
    </row>
    <row r="3690" spans="1:5" hidden="1" x14ac:dyDescent="0.15">
      <c r="A3690" s="1" t="s">
        <v>76</v>
      </c>
      <c r="B3690" s="2">
        <v>299731</v>
      </c>
      <c r="C3690" s="3">
        <v>0.14699999999999999</v>
      </c>
      <c r="D3690" s="4" t="s">
        <v>417</v>
      </c>
      <c r="E3690" s="4" t="s">
        <v>418</v>
      </c>
    </row>
    <row r="3691" spans="1:5" hidden="1" x14ac:dyDescent="0.15">
      <c r="A3691" s="1" t="s">
        <v>77</v>
      </c>
      <c r="B3691" s="2">
        <v>257380</v>
      </c>
      <c r="C3691" s="3">
        <v>0.126</v>
      </c>
      <c r="D3691" s="4" t="s">
        <v>417</v>
      </c>
      <c r="E3691" s="4" t="s">
        <v>418</v>
      </c>
    </row>
    <row r="3692" spans="1:5" ht="26" hidden="1" x14ac:dyDescent="0.15">
      <c r="A3692" s="1" t="s">
        <v>78</v>
      </c>
      <c r="B3692" s="2">
        <v>171280</v>
      </c>
      <c r="C3692" s="3">
        <v>8.4000000000000005E-2</v>
      </c>
      <c r="D3692" s="4" t="s">
        <v>417</v>
      </c>
      <c r="E3692" s="4" t="s">
        <v>418</v>
      </c>
    </row>
    <row r="3693" spans="1:5" hidden="1" x14ac:dyDescent="0.15">
      <c r="A3693" s="1" t="s">
        <v>79</v>
      </c>
      <c r="B3693" s="2">
        <v>336945</v>
      </c>
      <c r="C3693" s="3">
        <v>0.16500000000000001</v>
      </c>
      <c r="D3693" s="4" t="s">
        <v>417</v>
      </c>
      <c r="E3693" s="4" t="s">
        <v>418</v>
      </c>
    </row>
    <row r="3694" spans="1:5" hidden="1" x14ac:dyDescent="0.15">
      <c r="A3694" s="1" t="s">
        <v>80</v>
      </c>
      <c r="B3694" s="2">
        <v>270707</v>
      </c>
      <c r="C3694" s="3">
        <v>0.13300000000000001</v>
      </c>
      <c r="D3694" s="4" t="s">
        <v>417</v>
      </c>
      <c r="E3694" s="4" t="s">
        <v>418</v>
      </c>
    </row>
    <row r="3695" spans="1:5" ht="26" hidden="1" x14ac:dyDescent="0.15">
      <c r="A3695" s="1" t="s">
        <v>81</v>
      </c>
      <c r="B3695" s="2">
        <v>283575</v>
      </c>
      <c r="C3695" s="3">
        <v>0.13900000000000001</v>
      </c>
      <c r="D3695" s="4" t="s">
        <v>417</v>
      </c>
      <c r="E3695" s="4" t="s">
        <v>418</v>
      </c>
    </row>
    <row r="3696" spans="1:5" hidden="1" x14ac:dyDescent="0.15">
      <c r="A3696" s="1" t="s">
        <v>82</v>
      </c>
      <c r="B3696" s="2">
        <v>300987</v>
      </c>
      <c r="C3696" s="3">
        <v>0.14800000000000002</v>
      </c>
      <c r="D3696" s="4" t="s">
        <v>417</v>
      </c>
      <c r="E3696" s="4" t="s">
        <v>418</v>
      </c>
    </row>
    <row r="3697" spans="1:5" hidden="1" x14ac:dyDescent="0.15">
      <c r="A3697" s="4"/>
      <c r="B3697" s="4"/>
      <c r="C3697" s="4"/>
      <c r="D3697" s="4" t="s">
        <v>417</v>
      </c>
      <c r="E3697" s="4" t="s">
        <v>418</v>
      </c>
    </row>
    <row r="3698" spans="1:5" hidden="1" x14ac:dyDescent="0.15">
      <c r="A3698" s="16"/>
      <c r="B3698" s="16"/>
      <c r="C3698" s="16"/>
      <c r="D3698" s="4" t="s">
        <v>417</v>
      </c>
      <c r="E3698" s="4" t="s">
        <v>418</v>
      </c>
    </row>
    <row r="3699" spans="1:5" ht="26" hidden="1" x14ac:dyDescent="0.15">
      <c r="A3699" s="1" t="s">
        <v>419</v>
      </c>
      <c r="B3699" s="2">
        <v>0</v>
      </c>
      <c r="C3699" s="3">
        <v>0</v>
      </c>
      <c r="D3699" s="4" t="s">
        <v>417</v>
      </c>
      <c r="E3699" s="4" t="s">
        <v>418</v>
      </c>
    </row>
    <row r="3700" spans="1:5" hidden="1" x14ac:dyDescent="0.15">
      <c r="A3700" s="4"/>
      <c r="B3700" s="4"/>
      <c r="C3700" s="4"/>
      <c r="D3700" s="4" t="s">
        <v>417</v>
      </c>
      <c r="E3700" s="4" t="s">
        <v>418</v>
      </c>
    </row>
    <row r="3701" spans="1:5" hidden="1" x14ac:dyDescent="0.15">
      <c r="A3701" s="16"/>
      <c r="B3701" s="16"/>
      <c r="C3701" s="16"/>
      <c r="D3701" s="4" t="s">
        <v>417</v>
      </c>
      <c r="E3701" s="4" t="s">
        <v>418</v>
      </c>
    </row>
    <row r="3702" spans="1:5" ht="26" hidden="1" x14ac:dyDescent="0.15">
      <c r="A3702" s="1" t="s">
        <v>420</v>
      </c>
      <c r="B3702" s="2">
        <v>1107675</v>
      </c>
      <c r="C3702" s="3">
        <v>0.54400000000000004</v>
      </c>
      <c r="D3702" s="4" t="s">
        <v>417</v>
      </c>
      <c r="E3702" s="4" t="s">
        <v>418</v>
      </c>
    </row>
    <row r="3703" spans="1:5" hidden="1" x14ac:dyDescent="0.15">
      <c r="A3703" s="4"/>
      <c r="B3703" s="4"/>
      <c r="C3703" s="4"/>
      <c r="D3703" s="4" t="s">
        <v>417</v>
      </c>
      <c r="E3703" s="4" t="s">
        <v>418</v>
      </c>
    </row>
    <row r="3704" spans="1:5" hidden="1" x14ac:dyDescent="0.15">
      <c r="A3704" s="16"/>
      <c r="B3704" s="16"/>
      <c r="C3704" s="16"/>
      <c r="D3704" s="4" t="s">
        <v>417</v>
      </c>
      <c r="E3704" s="4" t="s">
        <v>418</v>
      </c>
    </row>
    <row r="3705" spans="1:5" ht="26" hidden="1" x14ac:dyDescent="0.15">
      <c r="A3705" s="1" t="s">
        <v>421</v>
      </c>
      <c r="B3705" s="2">
        <v>424493</v>
      </c>
      <c r="C3705" s="3">
        <v>0.20800000000000002</v>
      </c>
      <c r="D3705" s="4" t="s">
        <v>417</v>
      </c>
      <c r="E3705" s="4" t="s">
        <v>418</v>
      </c>
    </row>
    <row r="3706" spans="1:5" hidden="1" x14ac:dyDescent="0.15">
      <c r="A3706" s="4"/>
      <c r="B3706" s="4"/>
      <c r="C3706" s="4"/>
      <c r="D3706" s="4" t="s">
        <v>417</v>
      </c>
      <c r="E3706" s="4" t="s">
        <v>418</v>
      </c>
    </row>
    <row r="3707" spans="1:5" hidden="1" x14ac:dyDescent="0.15">
      <c r="A3707" s="16"/>
      <c r="B3707" s="16"/>
      <c r="C3707" s="16"/>
      <c r="D3707" s="4" t="s">
        <v>417</v>
      </c>
      <c r="E3707" s="4" t="s">
        <v>418</v>
      </c>
    </row>
    <row r="3708" spans="1:5" ht="26" hidden="1" x14ac:dyDescent="0.15">
      <c r="A3708" s="1" t="s">
        <v>422</v>
      </c>
      <c r="B3708" s="2">
        <v>533283</v>
      </c>
      <c r="C3708" s="3">
        <v>0.26200000000000001</v>
      </c>
      <c r="D3708" s="4" t="s">
        <v>417</v>
      </c>
      <c r="E3708" s="4" t="s">
        <v>418</v>
      </c>
    </row>
    <row r="3709" spans="1:5" ht="26" hidden="1" x14ac:dyDescent="0.15">
      <c r="A3709" s="1" t="s">
        <v>423</v>
      </c>
      <c r="B3709" s="2">
        <v>397310</v>
      </c>
      <c r="C3709" s="3">
        <v>0.19500000000000001</v>
      </c>
      <c r="D3709" s="4" t="s">
        <v>417</v>
      </c>
      <c r="E3709" s="4" t="s">
        <v>418</v>
      </c>
    </row>
    <row r="3710" spans="1:5" ht="26" hidden="1" x14ac:dyDescent="0.15">
      <c r="A3710" s="1" t="s">
        <v>424</v>
      </c>
      <c r="B3710" s="2">
        <v>169150</v>
      </c>
      <c r="C3710" s="3">
        <v>8.3000000000000004E-2</v>
      </c>
      <c r="D3710" s="4" t="s">
        <v>417</v>
      </c>
      <c r="E3710" s="4" t="s">
        <v>418</v>
      </c>
    </row>
    <row r="3711" spans="1:5" ht="39" hidden="1" x14ac:dyDescent="0.15">
      <c r="A3711" s="1" t="s">
        <v>425</v>
      </c>
      <c r="B3711" s="2">
        <v>390214</v>
      </c>
      <c r="C3711" s="3">
        <v>0.192</v>
      </c>
      <c r="D3711" s="4" t="s">
        <v>417</v>
      </c>
      <c r="E3711" s="4" t="s">
        <v>418</v>
      </c>
    </row>
    <row r="3712" spans="1:5" ht="26" hidden="1" x14ac:dyDescent="0.15">
      <c r="A3712" s="1" t="s">
        <v>426</v>
      </c>
      <c r="B3712" s="2">
        <v>640037</v>
      </c>
      <c r="C3712" s="3">
        <v>0.314</v>
      </c>
      <c r="D3712" s="4" t="s">
        <v>417</v>
      </c>
      <c r="E3712" s="4" t="s">
        <v>418</v>
      </c>
    </row>
    <row r="3713" spans="1:5" hidden="1" x14ac:dyDescent="0.15">
      <c r="A3713" s="1" t="s">
        <v>0</v>
      </c>
      <c r="B3713" s="2">
        <v>1072440</v>
      </c>
      <c r="C3713" s="3">
        <v>1</v>
      </c>
      <c r="D3713" s="4" t="s">
        <v>427</v>
      </c>
      <c r="E3713" s="4" t="s">
        <v>106</v>
      </c>
    </row>
    <row r="3714" spans="1:5" ht="26" hidden="1" x14ac:dyDescent="0.15">
      <c r="A3714" s="1" t="s">
        <v>3</v>
      </c>
      <c r="B3714" s="2">
        <v>17436</v>
      </c>
      <c r="C3714" s="3">
        <v>1.6E-2</v>
      </c>
      <c r="D3714" s="4" t="s">
        <v>427</v>
      </c>
      <c r="E3714" s="4" t="s">
        <v>106</v>
      </c>
    </row>
    <row r="3715" spans="1:5" hidden="1" x14ac:dyDescent="0.15">
      <c r="A3715" s="1" t="s">
        <v>4</v>
      </c>
      <c r="B3715" s="2">
        <v>27712</v>
      </c>
      <c r="C3715" s="3">
        <v>2.6000000000000002E-2</v>
      </c>
      <c r="D3715" s="4" t="s">
        <v>427</v>
      </c>
      <c r="E3715" s="4" t="s">
        <v>106</v>
      </c>
    </row>
    <row r="3716" spans="1:5" ht="26" hidden="1" x14ac:dyDescent="0.15">
      <c r="A3716" s="1" t="s">
        <v>5</v>
      </c>
      <c r="B3716" s="2">
        <v>60058</v>
      </c>
      <c r="C3716" s="3">
        <v>5.5999999999999994E-2</v>
      </c>
      <c r="D3716" s="4" t="s">
        <v>427</v>
      </c>
      <c r="E3716" s="4" t="s">
        <v>106</v>
      </c>
    </row>
    <row r="3717" spans="1:5" ht="26" hidden="1" x14ac:dyDescent="0.15">
      <c r="A3717" s="1" t="s">
        <v>6</v>
      </c>
      <c r="B3717" s="2">
        <v>85410</v>
      </c>
      <c r="C3717" s="3">
        <v>0.08</v>
      </c>
      <c r="D3717" s="4" t="s">
        <v>427</v>
      </c>
      <c r="E3717" s="4" t="s">
        <v>106</v>
      </c>
    </row>
    <row r="3718" spans="1:5" ht="26" hidden="1" x14ac:dyDescent="0.15">
      <c r="A3718" s="1" t="s">
        <v>7</v>
      </c>
      <c r="B3718" s="2">
        <v>393782</v>
      </c>
      <c r="C3718" s="3">
        <v>0.36700000000000005</v>
      </c>
      <c r="D3718" s="4" t="s">
        <v>427</v>
      </c>
      <c r="E3718" s="4" t="s">
        <v>106</v>
      </c>
    </row>
    <row r="3719" spans="1:5" ht="26" hidden="1" x14ac:dyDescent="0.15">
      <c r="A3719" s="1" t="s">
        <v>8</v>
      </c>
      <c r="B3719" s="2">
        <v>14090</v>
      </c>
      <c r="C3719" s="3">
        <v>1.3000000000000001E-2</v>
      </c>
      <c r="D3719" s="4" t="s">
        <v>427</v>
      </c>
      <c r="E3719" s="4" t="s">
        <v>106</v>
      </c>
    </row>
    <row r="3720" spans="1:5" ht="26" hidden="1" x14ac:dyDescent="0.15">
      <c r="A3720" s="1" t="s">
        <v>9</v>
      </c>
      <c r="B3720" s="2">
        <v>26336</v>
      </c>
      <c r="C3720" s="3">
        <v>2.5000000000000001E-2</v>
      </c>
      <c r="D3720" s="4" t="s">
        <v>427</v>
      </c>
      <c r="E3720" s="4" t="s">
        <v>106</v>
      </c>
    </row>
    <row r="3721" spans="1:5" ht="26" hidden="1" x14ac:dyDescent="0.15">
      <c r="A3721" s="1" t="s">
        <v>10</v>
      </c>
      <c r="B3721" s="2">
        <v>42802</v>
      </c>
      <c r="C3721" s="3">
        <v>0.04</v>
      </c>
      <c r="D3721" s="4" t="s">
        <v>427</v>
      </c>
      <c r="E3721" s="4" t="s">
        <v>106</v>
      </c>
    </row>
    <row r="3722" spans="1:5" ht="26" hidden="1" x14ac:dyDescent="0.15">
      <c r="A3722" s="1" t="s">
        <v>11</v>
      </c>
      <c r="B3722" s="2">
        <v>53636</v>
      </c>
      <c r="C3722" s="3">
        <v>0.05</v>
      </c>
      <c r="D3722" s="4" t="s">
        <v>427</v>
      </c>
      <c r="E3722" s="4" t="s">
        <v>106</v>
      </c>
    </row>
    <row r="3723" spans="1:5" ht="26" hidden="1" x14ac:dyDescent="0.15">
      <c r="A3723" s="1" t="s">
        <v>12</v>
      </c>
      <c r="B3723" s="2">
        <v>19425</v>
      </c>
      <c r="C3723" s="3">
        <v>1.8000000000000002E-2</v>
      </c>
      <c r="D3723" s="4" t="s">
        <v>427</v>
      </c>
      <c r="E3723" s="4" t="s">
        <v>106</v>
      </c>
    </row>
    <row r="3724" spans="1:5" ht="26" hidden="1" x14ac:dyDescent="0.15">
      <c r="A3724" s="1" t="s">
        <v>13</v>
      </c>
      <c r="B3724" s="2">
        <v>12244</v>
      </c>
      <c r="C3724" s="3">
        <v>1.1000000000000001E-2</v>
      </c>
      <c r="D3724" s="4" t="s">
        <v>427</v>
      </c>
      <c r="E3724" s="4" t="s">
        <v>106</v>
      </c>
    </row>
    <row r="3725" spans="1:5" hidden="1" x14ac:dyDescent="0.15">
      <c r="A3725" s="1" t="s">
        <v>14</v>
      </c>
      <c r="B3725" s="2">
        <v>82951</v>
      </c>
      <c r="C3725" s="3">
        <v>7.6999999999999999E-2</v>
      </c>
      <c r="D3725" s="4" t="s">
        <v>427</v>
      </c>
      <c r="E3725" s="4" t="s">
        <v>106</v>
      </c>
    </row>
    <row r="3726" spans="1:5" ht="26" hidden="1" x14ac:dyDescent="0.15">
      <c r="A3726" s="1" t="s">
        <v>15</v>
      </c>
      <c r="B3726" s="2">
        <v>97799</v>
      </c>
      <c r="C3726" s="3">
        <v>9.0999999999999998E-2</v>
      </c>
      <c r="D3726" s="4" t="s">
        <v>427</v>
      </c>
      <c r="E3726" s="4" t="s">
        <v>106</v>
      </c>
    </row>
    <row r="3727" spans="1:5" ht="26" hidden="1" x14ac:dyDescent="0.15">
      <c r="A3727" s="1" t="s">
        <v>16</v>
      </c>
      <c r="B3727" s="2">
        <v>39810</v>
      </c>
      <c r="C3727" s="3">
        <v>3.7000000000000005E-2</v>
      </c>
      <c r="D3727" s="4" t="s">
        <v>427</v>
      </c>
      <c r="E3727" s="4" t="s">
        <v>106</v>
      </c>
    </row>
    <row r="3728" spans="1:5" ht="26" hidden="1" x14ac:dyDescent="0.15">
      <c r="A3728" s="1" t="s">
        <v>17</v>
      </c>
      <c r="B3728" s="2">
        <v>21819</v>
      </c>
      <c r="C3728" s="3">
        <v>0.02</v>
      </c>
      <c r="D3728" s="4" t="s">
        <v>427</v>
      </c>
      <c r="E3728" s="4" t="s">
        <v>106</v>
      </c>
    </row>
    <row r="3729" spans="1:5" hidden="1" x14ac:dyDescent="0.15">
      <c r="A3729" s="1" t="s">
        <v>18</v>
      </c>
      <c r="B3729" s="2">
        <v>22224</v>
      </c>
      <c r="C3729" s="3">
        <v>2.1000000000000001E-2</v>
      </c>
      <c r="D3729" s="4" t="s">
        <v>427</v>
      </c>
      <c r="E3729" s="4" t="s">
        <v>106</v>
      </c>
    </row>
    <row r="3730" spans="1:5" hidden="1" x14ac:dyDescent="0.15">
      <c r="A3730" s="1" t="s">
        <v>19</v>
      </c>
      <c r="B3730" s="2">
        <v>102875</v>
      </c>
      <c r="C3730" s="3">
        <v>9.6000000000000002E-2</v>
      </c>
      <c r="D3730" s="4" t="s">
        <v>427</v>
      </c>
      <c r="E3730" s="4" t="s">
        <v>106</v>
      </c>
    </row>
    <row r="3731" spans="1:5" hidden="1" x14ac:dyDescent="0.15">
      <c r="A3731" s="1" t="s">
        <v>20</v>
      </c>
      <c r="B3731" s="2">
        <v>23885</v>
      </c>
      <c r="C3731" s="3">
        <v>2.2000000000000002E-2</v>
      </c>
      <c r="D3731" s="4" t="s">
        <v>427</v>
      </c>
      <c r="E3731" s="4" t="s">
        <v>106</v>
      </c>
    </row>
    <row r="3732" spans="1:5" ht="26" hidden="1" x14ac:dyDescent="0.15">
      <c r="A3732" s="1" t="s">
        <v>21</v>
      </c>
      <c r="B3732" s="2">
        <v>21075</v>
      </c>
      <c r="C3732" s="3">
        <v>0.02</v>
      </c>
      <c r="D3732" s="4" t="s">
        <v>427</v>
      </c>
      <c r="E3732" s="4" t="s">
        <v>106</v>
      </c>
    </row>
    <row r="3733" spans="1:5" ht="26" hidden="1" x14ac:dyDescent="0.15">
      <c r="A3733" s="1" t="s">
        <v>22</v>
      </c>
      <c r="B3733" s="2">
        <v>13446</v>
      </c>
      <c r="C3733" s="3">
        <v>1.3000000000000001E-2</v>
      </c>
      <c r="D3733" s="4" t="s">
        <v>427</v>
      </c>
      <c r="E3733" s="4" t="s">
        <v>106</v>
      </c>
    </row>
    <row r="3734" spans="1:5" ht="26" hidden="1" x14ac:dyDescent="0.15">
      <c r="A3734" s="1" t="s">
        <v>23</v>
      </c>
      <c r="B3734" s="2">
        <v>27273</v>
      </c>
      <c r="C3734" s="3">
        <v>2.5000000000000001E-2</v>
      </c>
      <c r="D3734" s="4" t="s">
        <v>427</v>
      </c>
      <c r="E3734" s="4" t="s">
        <v>106</v>
      </c>
    </row>
    <row r="3735" spans="1:5" ht="26" hidden="1" x14ac:dyDescent="0.15">
      <c r="A3735" s="1" t="s">
        <v>24</v>
      </c>
      <c r="B3735" s="2">
        <v>9565</v>
      </c>
      <c r="C3735" s="3">
        <v>9.0000000000000011E-3</v>
      </c>
      <c r="D3735" s="4" t="s">
        <v>427</v>
      </c>
      <c r="E3735" s="4" t="s">
        <v>106</v>
      </c>
    </row>
    <row r="3736" spans="1:5" ht="26" hidden="1" x14ac:dyDescent="0.15">
      <c r="A3736" s="1" t="s">
        <v>25</v>
      </c>
      <c r="B3736" s="2">
        <v>28873</v>
      </c>
      <c r="C3736" s="3">
        <v>2.7000000000000003E-2</v>
      </c>
      <c r="D3736" s="4" t="s">
        <v>427</v>
      </c>
      <c r="E3736" s="4" t="s">
        <v>106</v>
      </c>
    </row>
    <row r="3737" spans="1:5" hidden="1" x14ac:dyDescent="0.15">
      <c r="A3737" s="1" t="s">
        <v>26</v>
      </c>
      <c r="B3737" s="2">
        <v>10633</v>
      </c>
      <c r="C3737" s="3">
        <v>0.01</v>
      </c>
      <c r="D3737" s="4" t="s">
        <v>427</v>
      </c>
      <c r="E3737" s="4" t="s">
        <v>106</v>
      </c>
    </row>
    <row r="3738" spans="1:5" hidden="1" x14ac:dyDescent="0.15">
      <c r="A3738" s="1" t="s">
        <v>27</v>
      </c>
      <c r="B3738" s="2">
        <v>125720</v>
      </c>
      <c r="C3738" s="3">
        <v>0.11699999999999999</v>
      </c>
      <c r="D3738" s="4" t="s">
        <v>427</v>
      </c>
      <c r="E3738" s="4" t="s">
        <v>106</v>
      </c>
    </row>
    <row r="3739" spans="1:5" hidden="1" x14ac:dyDescent="0.15">
      <c r="A3739" s="1" t="s">
        <v>28</v>
      </c>
      <c r="B3739" s="2">
        <v>67870</v>
      </c>
      <c r="C3739" s="3">
        <v>6.3E-2</v>
      </c>
      <c r="D3739" s="4" t="s">
        <v>427</v>
      </c>
      <c r="E3739" s="4" t="s">
        <v>106</v>
      </c>
    </row>
    <row r="3740" spans="1:5" hidden="1" x14ac:dyDescent="0.15">
      <c r="A3740" s="1" t="s">
        <v>29</v>
      </c>
      <c r="B3740" s="2">
        <v>301119</v>
      </c>
      <c r="C3740" s="3">
        <v>0.28100000000000003</v>
      </c>
      <c r="D3740" s="4" t="s">
        <v>427</v>
      </c>
      <c r="E3740" s="4" t="s">
        <v>106</v>
      </c>
    </row>
    <row r="3741" spans="1:5" hidden="1" x14ac:dyDescent="0.15">
      <c r="A3741" s="1" t="s">
        <v>30</v>
      </c>
      <c r="B3741" s="2">
        <v>29392</v>
      </c>
      <c r="C3741" s="3">
        <v>2.7000000000000003E-2</v>
      </c>
      <c r="D3741" s="4" t="s">
        <v>427</v>
      </c>
      <c r="E3741" s="4" t="s">
        <v>106</v>
      </c>
    </row>
    <row r="3742" spans="1:5" ht="39" hidden="1" x14ac:dyDescent="0.15">
      <c r="A3742" s="1" t="s">
        <v>31</v>
      </c>
      <c r="B3742" s="2">
        <v>21224</v>
      </c>
      <c r="C3742" s="3">
        <v>0.02</v>
      </c>
      <c r="D3742" s="4" t="s">
        <v>427</v>
      </c>
      <c r="E3742" s="4" t="s">
        <v>106</v>
      </c>
    </row>
    <row r="3743" spans="1:5" hidden="1" x14ac:dyDescent="0.15">
      <c r="A3743" s="1" t="s">
        <v>32</v>
      </c>
      <c r="B3743" s="2">
        <v>45565</v>
      </c>
      <c r="C3743" s="3">
        <v>4.2000000000000003E-2</v>
      </c>
      <c r="D3743" s="4" t="s">
        <v>427</v>
      </c>
      <c r="E3743" s="4" t="s">
        <v>106</v>
      </c>
    </row>
    <row r="3744" spans="1:5" hidden="1" x14ac:dyDescent="0.15">
      <c r="A3744" s="1" t="s">
        <v>33</v>
      </c>
      <c r="B3744" s="2">
        <v>281570</v>
      </c>
      <c r="C3744" s="3">
        <v>0.26300000000000001</v>
      </c>
      <c r="D3744" s="4" t="s">
        <v>427</v>
      </c>
      <c r="E3744" s="4" t="s">
        <v>106</v>
      </c>
    </row>
    <row r="3745" spans="1:5" hidden="1" x14ac:dyDescent="0.15">
      <c r="A3745" s="1" t="s">
        <v>34</v>
      </c>
      <c r="B3745" s="2">
        <v>66920</v>
      </c>
      <c r="C3745" s="3">
        <v>6.2E-2</v>
      </c>
      <c r="D3745" s="4" t="s">
        <v>427</v>
      </c>
      <c r="E3745" s="4" t="s">
        <v>106</v>
      </c>
    </row>
    <row r="3746" spans="1:5" hidden="1" x14ac:dyDescent="0.15">
      <c r="A3746" s="1" t="s">
        <v>35</v>
      </c>
      <c r="B3746" s="2">
        <v>55422</v>
      </c>
      <c r="C3746" s="3">
        <v>5.2000000000000005E-2</v>
      </c>
      <c r="D3746" s="4" t="s">
        <v>427</v>
      </c>
      <c r="E3746" s="4" t="s">
        <v>106</v>
      </c>
    </row>
    <row r="3747" spans="1:5" ht="26" hidden="1" x14ac:dyDescent="0.15">
      <c r="A3747" s="1" t="s">
        <v>36</v>
      </c>
      <c r="B3747" s="2">
        <v>46962</v>
      </c>
      <c r="C3747" s="3">
        <v>4.4000000000000004E-2</v>
      </c>
      <c r="D3747" s="4" t="s">
        <v>427</v>
      </c>
      <c r="E3747" s="4" t="s">
        <v>106</v>
      </c>
    </row>
    <row r="3748" spans="1:5" hidden="1" x14ac:dyDescent="0.15">
      <c r="A3748" s="1" t="s">
        <v>37</v>
      </c>
      <c r="B3748" s="2">
        <v>21789</v>
      </c>
      <c r="C3748" s="3">
        <v>0.02</v>
      </c>
      <c r="D3748" s="4" t="s">
        <v>427</v>
      </c>
      <c r="E3748" s="4" t="s">
        <v>106</v>
      </c>
    </row>
    <row r="3749" spans="1:5" ht="39" hidden="1" x14ac:dyDescent="0.15">
      <c r="A3749" s="1" t="s">
        <v>38</v>
      </c>
      <c r="B3749" s="2">
        <v>23810</v>
      </c>
      <c r="C3749" s="3">
        <v>2.2000000000000002E-2</v>
      </c>
      <c r="D3749" s="4" t="s">
        <v>427</v>
      </c>
      <c r="E3749" s="4" t="s">
        <v>106</v>
      </c>
    </row>
    <row r="3750" spans="1:5" hidden="1" x14ac:dyDescent="0.15">
      <c r="A3750" s="1" t="s">
        <v>39</v>
      </c>
      <c r="B3750" s="2">
        <v>70719</v>
      </c>
      <c r="C3750" s="3">
        <v>6.6000000000000003E-2</v>
      </c>
      <c r="D3750" s="4" t="s">
        <v>427</v>
      </c>
      <c r="E3750" s="4" t="s">
        <v>106</v>
      </c>
    </row>
    <row r="3751" spans="1:5" hidden="1" x14ac:dyDescent="0.15">
      <c r="A3751" s="1" t="s">
        <v>40</v>
      </c>
      <c r="B3751" s="2">
        <v>17691</v>
      </c>
      <c r="C3751" s="3">
        <v>1.6E-2</v>
      </c>
      <c r="D3751" s="4" t="s">
        <v>427</v>
      </c>
      <c r="E3751" s="4" t="s">
        <v>106</v>
      </c>
    </row>
    <row r="3752" spans="1:5" hidden="1" x14ac:dyDescent="0.15">
      <c r="A3752" s="1" t="s">
        <v>41</v>
      </c>
      <c r="B3752" s="2">
        <v>38323</v>
      </c>
      <c r="C3752" s="3">
        <v>3.6000000000000004E-2</v>
      </c>
      <c r="D3752" s="4" t="s">
        <v>427</v>
      </c>
      <c r="E3752" s="4" t="s">
        <v>106</v>
      </c>
    </row>
    <row r="3753" spans="1:5" hidden="1" x14ac:dyDescent="0.15">
      <c r="A3753" s="1" t="s">
        <v>42</v>
      </c>
      <c r="B3753" s="2">
        <v>51562</v>
      </c>
      <c r="C3753" s="3">
        <v>4.8000000000000001E-2</v>
      </c>
      <c r="D3753" s="4" t="s">
        <v>427</v>
      </c>
      <c r="E3753" s="4" t="s">
        <v>106</v>
      </c>
    </row>
    <row r="3754" spans="1:5" hidden="1" x14ac:dyDescent="0.15">
      <c r="A3754" s="1" t="s">
        <v>43</v>
      </c>
      <c r="B3754" s="2">
        <v>112288</v>
      </c>
      <c r="C3754" s="3">
        <v>0.105</v>
      </c>
      <c r="D3754" s="4" t="s">
        <v>427</v>
      </c>
      <c r="E3754" s="4" t="s">
        <v>106</v>
      </c>
    </row>
    <row r="3755" spans="1:5" ht="26" hidden="1" x14ac:dyDescent="0.15">
      <c r="A3755" s="1" t="s">
        <v>44</v>
      </c>
      <c r="B3755" s="2">
        <v>150740</v>
      </c>
      <c r="C3755" s="3">
        <v>0.14099999999999999</v>
      </c>
      <c r="D3755" s="4" t="s">
        <v>427</v>
      </c>
      <c r="E3755" s="4" t="s">
        <v>106</v>
      </c>
    </row>
    <row r="3756" spans="1:5" hidden="1" x14ac:dyDescent="0.15">
      <c r="A3756" s="1" t="s">
        <v>45</v>
      </c>
      <c r="B3756" s="2">
        <v>279771</v>
      </c>
      <c r="C3756" s="3">
        <v>0.26100000000000001</v>
      </c>
      <c r="D3756" s="4" t="s">
        <v>427</v>
      </c>
      <c r="E3756" s="4" t="s">
        <v>106</v>
      </c>
    </row>
    <row r="3757" spans="1:5" ht="26" hidden="1" x14ac:dyDescent="0.15">
      <c r="A3757" s="1" t="s">
        <v>46</v>
      </c>
      <c r="B3757" s="2">
        <v>330683</v>
      </c>
      <c r="C3757" s="3">
        <v>0.308</v>
      </c>
      <c r="D3757" s="4" t="s">
        <v>427</v>
      </c>
      <c r="E3757" s="4" t="s">
        <v>106</v>
      </c>
    </row>
    <row r="3758" spans="1:5" hidden="1" x14ac:dyDescent="0.15">
      <c r="A3758" s="1" t="s">
        <v>47</v>
      </c>
      <c r="B3758" s="2">
        <v>663741</v>
      </c>
      <c r="C3758" s="3">
        <v>0.61899999999999999</v>
      </c>
      <c r="D3758" s="4" t="s">
        <v>427</v>
      </c>
      <c r="E3758" s="4" t="s">
        <v>106</v>
      </c>
    </row>
    <row r="3759" spans="1:5" hidden="1" x14ac:dyDescent="0.15">
      <c r="A3759" s="1" t="s">
        <v>48</v>
      </c>
      <c r="B3759" s="2">
        <v>81256</v>
      </c>
      <c r="C3759" s="3">
        <v>7.5999999999999998E-2</v>
      </c>
      <c r="D3759" s="4" t="s">
        <v>427</v>
      </c>
      <c r="E3759" s="4" t="s">
        <v>106</v>
      </c>
    </row>
    <row r="3760" spans="1:5" hidden="1" x14ac:dyDescent="0.15">
      <c r="A3760" s="1" t="s">
        <v>49</v>
      </c>
      <c r="B3760" s="2">
        <v>91738</v>
      </c>
      <c r="C3760" s="3">
        <v>8.5999999999999993E-2</v>
      </c>
      <c r="D3760" s="4" t="s">
        <v>427</v>
      </c>
      <c r="E3760" s="4" t="s">
        <v>106</v>
      </c>
    </row>
    <row r="3761" spans="1:5" ht="26" hidden="1" x14ac:dyDescent="0.15">
      <c r="A3761" s="1" t="s">
        <v>50</v>
      </c>
      <c r="B3761" s="2">
        <v>183926</v>
      </c>
      <c r="C3761" s="3">
        <v>0.17199999999999999</v>
      </c>
      <c r="D3761" s="4" t="s">
        <v>427</v>
      </c>
      <c r="E3761" s="4" t="s">
        <v>106</v>
      </c>
    </row>
    <row r="3762" spans="1:5" hidden="1" x14ac:dyDescent="0.15">
      <c r="A3762" s="1" t="s">
        <v>51</v>
      </c>
      <c r="B3762" s="2">
        <v>314850</v>
      </c>
      <c r="C3762" s="3">
        <v>0.29399999999999998</v>
      </c>
      <c r="D3762" s="4" t="s">
        <v>427</v>
      </c>
      <c r="E3762" s="4" t="s">
        <v>106</v>
      </c>
    </row>
    <row r="3763" spans="1:5" hidden="1" x14ac:dyDescent="0.15">
      <c r="A3763" s="1" t="s">
        <v>52</v>
      </c>
      <c r="B3763" s="2">
        <v>133091</v>
      </c>
      <c r="C3763" s="3">
        <v>0.124</v>
      </c>
      <c r="D3763" s="4" t="s">
        <v>427</v>
      </c>
      <c r="E3763" s="4" t="s">
        <v>106</v>
      </c>
    </row>
    <row r="3764" spans="1:5" ht="26" hidden="1" x14ac:dyDescent="0.15">
      <c r="A3764" s="1" t="s">
        <v>53</v>
      </c>
      <c r="B3764" s="2">
        <v>92926</v>
      </c>
      <c r="C3764" s="3">
        <v>8.6999999999999994E-2</v>
      </c>
      <c r="D3764" s="4" t="s">
        <v>427</v>
      </c>
      <c r="E3764" s="4" t="s">
        <v>106</v>
      </c>
    </row>
    <row r="3765" spans="1:5" hidden="1" x14ac:dyDescent="0.15">
      <c r="A3765" s="1" t="s">
        <v>54</v>
      </c>
      <c r="B3765" s="2">
        <v>401869</v>
      </c>
      <c r="C3765" s="3">
        <v>0.375</v>
      </c>
      <c r="D3765" s="4" t="s">
        <v>427</v>
      </c>
      <c r="E3765" s="4" t="s">
        <v>106</v>
      </c>
    </row>
    <row r="3766" spans="1:5" ht="26" hidden="1" x14ac:dyDescent="0.15">
      <c r="A3766" s="1" t="s">
        <v>55</v>
      </c>
      <c r="B3766" s="2">
        <v>384888</v>
      </c>
      <c r="C3766" s="3">
        <v>0.35899999999999999</v>
      </c>
      <c r="D3766" s="4" t="s">
        <v>427</v>
      </c>
      <c r="E3766" s="4" t="s">
        <v>106</v>
      </c>
    </row>
    <row r="3767" spans="1:5" hidden="1" x14ac:dyDescent="0.15">
      <c r="A3767" s="1" t="s">
        <v>56</v>
      </c>
      <c r="B3767" s="2">
        <v>245410</v>
      </c>
      <c r="C3767" s="3">
        <v>0.22899999999999998</v>
      </c>
      <c r="D3767" s="4" t="s">
        <v>427</v>
      </c>
      <c r="E3767" s="4" t="s">
        <v>106</v>
      </c>
    </row>
    <row r="3768" spans="1:5" hidden="1" x14ac:dyDescent="0.15">
      <c r="A3768" s="1" t="s">
        <v>57</v>
      </c>
      <c r="B3768" s="2">
        <v>156709</v>
      </c>
      <c r="C3768" s="3">
        <v>0.14599999999999999</v>
      </c>
      <c r="D3768" s="4" t="s">
        <v>427</v>
      </c>
      <c r="E3768" s="4" t="s">
        <v>106</v>
      </c>
    </row>
    <row r="3769" spans="1:5" hidden="1" x14ac:dyDescent="0.15">
      <c r="A3769" s="1" t="s">
        <v>58</v>
      </c>
      <c r="B3769" s="2">
        <v>128884</v>
      </c>
      <c r="C3769" s="3">
        <v>0.12</v>
      </c>
      <c r="D3769" s="4" t="s">
        <v>427</v>
      </c>
      <c r="E3769" s="4" t="s">
        <v>106</v>
      </c>
    </row>
    <row r="3770" spans="1:5" hidden="1" x14ac:dyDescent="0.15">
      <c r="A3770" s="1" t="s">
        <v>59</v>
      </c>
      <c r="B3770" s="2">
        <v>435339</v>
      </c>
      <c r="C3770" s="3">
        <v>0.40600000000000003</v>
      </c>
      <c r="D3770" s="4" t="s">
        <v>427</v>
      </c>
      <c r="E3770" s="4" t="s">
        <v>106</v>
      </c>
    </row>
    <row r="3771" spans="1:5" hidden="1" x14ac:dyDescent="0.15">
      <c r="A3771" s="1" t="s">
        <v>60</v>
      </c>
      <c r="B3771" s="2">
        <v>133084</v>
      </c>
      <c r="C3771" s="3">
        <v>0.124</v>
      </c>
      <c r="D3771" s="4" t="s">
        <v>427</v>
      </c>
      <c r="E3771" s="4" t="s">
        <v>106</v>
      </c>
    </row>
    <row r="3772" spans="1:5" ht="26" hidden="1" x14ac:dyDescent="0.15">
      <c r="A3772" s="1" t="s">
        <v>61</v>
      </c>
      <c r="B3772" s="2">
        <v>165509</v>
      </c>
      <c r="C3772" s="3">
        <v>0.154</v>
      </c>
      <c r="D3772" s="4" t="s">
        <v>427</v>
      </c>
      <c r="E3772" s="4" t="s">
        <v>106</v>
      </c>
    </row>
    <row r="3773" spans="1:5" hidden="1" x14ac:dyDescent="0.15">
      <c r="A3773" s="1" t="s">
        <v>62</v>
      </c>
      <c r="B3773" s="2">
        <v>52660</v>
      </c>
      <c r="C3773" s="3">
        <v>4.9000000000000002E-2</v>
      </c>
      <c r="D3773" s="4" t="s">
        <v>427</v>
      </c>
      <c r="E3773" s="4" t="s">
        <v>106</v>
      </c>
    </row>
    <row r="3774" spans="1:5" ht="26" hidden="1" x14ac:dyDescent="0.15">
      <c r="A3774" s="1" t="s">
        <v>63</v>
      </c>
      <c r="B3774" s="2">
        <v>209272</v>
      </c>
      <c r="C3774" s="3">
        <v>0.19500000000000001</v>
      </c>
      <c r="D3774" s="4" t="s">
        <v>427</v>
      </c>
      <c r="E3774" s="4" t="s">
        <v>106</v>
      </c>
    </row>
    <row r="3775" spans="1:5" ht="26" hidden="1" x14ac:dyDescent="0.15">
      <c r="A3775" s="1" t="s">
        <v>64</v>
      </c>
      <c r="B3775" s="2">
        <v>71480</v>
      </c>
      <c r="C3775" s="3">
        <v>6.7000000000000004E-2</v>
      </c>
      <c r="D3775" s="4" t="s">
        <v>427</v>
      </c>
      <c r="E3775" s="4" t="s">
        <v>106</v>
      </c>
    </row>
    <row r="3776" spans="1:5" hidden="1" x14ac:dyDescent="0.15">
      <c r="A3776" s="1" t="s">
        <v>65</v>
      </c>
      <c r="B3776" s="2">
        <v>166366</v>
      </c>
      <c r="C3776" s="3">
        <v>0.155</v>
      </c>
      <c r="D3776" s="4" t="s">
        <v>427</v>
      </c>
      <c r="E3776" s="4" t="s">
        <v>106</v>
      </c>
    </row>
    <row r="3777" spans="1:5" hidden="1" x14ac:dyDescent="0.15">
      <c r="A3777" s="1" t="s">
        <v>66</v>
      </c>
      <c r="B3777" s="2">
        <v>90144</v>
      </c>
      <c r="C3777" s="3">
        <v>8.4000000000000005E-2</v>
      </c>
      <c r="D3777" s="4" t="s">
        <v>427</v>
      </c>
      <c r="E3777" s="4" t="s">
        <v>106</v>
      </c>
    </row>
    <row r="3778" spans="1:5" hidden="1" x14ac:dyDescent="0.15">
      <c r="A3778" s="1" t="s">
        <v>67</v>
      </c>
      <c r="B3778" s="2">
        <v>353681</v>
      </c>
      <c r="C3778" s="3">
        <v>0.33</v>
      </c>
      <c r="D3778" s="4" t="s">
        <v>427</v>
      </c>
      <c r="E3778" s="4" t="s">
        <v>106</v>
      </c>
    </row>
    <row r="3779" spans="1:5" hidden="1" x14ac:dyDescent="0.15">
      <c r="A3779" s="1" t="s">
        <v>68</v>
      </c>
      <c r="B3779" s="2">
        <v>283652</v>
      </c>
      <c r="C3779" s="3">
        <v>0.26400000000000001</v>
      </c>
      <c r="D3779" s="4" t="s">
        <v>427</v>
      </c>
      <c r="E3779" s="4" t="s">
        <v>106</v>
      </c>
    </row>
    <row r="3780" spans="1:5" hidden="1" x14ac:dyDescent="0.15">
      <c r="A3780" s="1" t="s">
        <v>69</v>
      </c>
      <c r="B3780" s="2">
        <v>679279</v>
      </c>
      <c r="C3780" s="3">
        <v>0.63300000000000001</v>
      </c>
      <c r="D3780" s="4" t="s">
        <v>427</v>
      </c>
      <c r="E3780" s="4" t="s">
        <v>106</v>
      </c>
    </row>
    <row r="3781" spans="1:5" hidden="1" x14ac:dyDescent="0.15">
      <c r="A3781" s="1" t="s">
        <v>70</v>
      </c>
      <c r="B3781" s="2">
        <v>171745</v>
      </c>
      <c r="C3781" s="3">
        <v>0.16</v>
      </c>
      <c r="D3781" s="4" t="s">
        <v>427</v>
      </c>
      <c r="E3781" s="4" t="s">
        <v>106</v>
      </c>
    </row>
    <row r="3782" spans="1:5" ht="26" hidden="1" x14ac:dyDescent="0.15">
      <c r="A3782" s="1" t="s">
        <v>71</v>
      </c>
      <c r="B3782" s="2">
        <v>66937</v>
      </c>
      <c r="C3782" s="3">
        <v>6.2E-2</v>
      </c>
      <c r="D3782" s="4" t="s">
        <v>427</v>
      </c>
      <c r="E3782" s="4" t="s">
        <v>106</v>
      </c>
    </row>
    <row r="3783" spans="1:5" hidden="1" x14ac:dyDescent="0.15">
      <c r="A3783" s="1" t="s">
        <v>72</v>
      </c>
      <c r="B3783" s="2">
        <v>172893</v>
      </c>
      <c r="C3783" s="3">
        <v>0.161</v>
      </c>
      <c r="D3783" s="4" t="s">
        <v>427</v>
      </c>
      <c r="E3783" s="4" t="s">
        <v>106</v>
      </c>
    </row>
    <row r="3784" spans="1:5" hidden="1" x14ac:dyDescent="0.15">
      <c r="A3784" s="1" t="s">
        <v>73</v>
      </c>
      <c r="B3784" s="2">
        <v>614966</v>
      </c>
      <c r="C3784" s="3">
        <v>0.57299999999999995</v>
      </c>
      <c r="D3784" s="4" t="s">
        <v>427</v>
      </c>
      <c r="E3784" s="4" t="s">
        <v>106</v>
      </c>
    </row>
    <row r="3785" spans="1:5" hidden="1" x14ac:dyDescent="0.15">
      <c r="A3785" s="1" t="s">
        <v>74</v>
      </c>
      <c r="B3785" s="2">
        <v>267878</v>
      </c>
      <c r="C3785" s="3">
        <v>0.25</v>
      </c>
      <c r="D3785" s="4" t="s">
        <v>427</v>
      </c>
      <c r="E3785" s="4" t="s">
        <v>106</v>
      </c>
    </row>
    <row r="3786" spans="1:5" hidden="1" x14ac:dyDescent="0.15">
      <c r="A3786" s="1" t="s">
        <v>75</v>
      </c>
      <c r="B3786" s="2">
        <v>237627</v>
      </c>
      <c r="C3786" s="3">
        <v>0.222</v>
      </c>
      <c r="D3786" s="4" t="s">
        <v>427</v>
      </c>
      <c r="E3786" s="4" t="s">
        <v>106</v>
      </c>
    </row>
    <row r="3787" spans="1:5" hidden="1" x14ac:dyDescent="0.15">
      <c r="A3787" s="1" t="s">
        <v>76</v>
      </c>
      <c r="B3787" s="2">
        <v>183372</v>
      </c>
      <c r="C3787" s="3">
        <v>0.17100000000000001</v>
      </c>
      <c r="D3787" s="4" t="s">
        <v>427</v>
      </c>
      <c r="E3787" s="4" t="s">
        <v>106</v>
      </c>
    </row>
    <row r="3788" spans="1:5" hidden="1" x14ac:dyDescent="0.15">
      <c r="A3788" s="1" t="s">
        <v>77</v>
      </c>
      <c r="B3788" s="2">
        <v>147929</v>
      </c>
      <c r="C3788" s="3">
        <v>0.13800000000000001</v>
      </c>
      <c r="D3788" s="4" t="s">
        <v>427</v>
      </c>
      <c r="E3788" s="4" t="s">
        <v>106</v>
      </c>
    </row>
    <row r="3789" spans="1:5" ht="26" hidden="1" x14ac:dyDescent="0.15">
      <c r="A3789" s="1" t="s">
        <v>78</v>
      </c>
      <c r="B3789" s="2">
        <v>131302</v>
      </c>
      <c r="C3789" s="3">
        <v>0.122</v>
      </c>
      <c r="D3789" s="4" t="s">
        <v>427</v>
      </c>
      <c r="E3789" s="4" t="s">
        <v>106</v>
      </c>
    </row>
    <row r="3790" spans="1:5" hidden="1" x14ac:dyDescent="0.15">
      <c r="A3790" s="1" t="s">
        <v>79</v>
      </c>
      <c r="B3790" s="2">
        <v>224653</v>
      </c>
      <c r="C3790" s="3">
        <v>0.20899999999999999</v>
      </c>
      <c r="D3790" s="4" t="s">
        <v>427</v>
      </c>
      <c r="E3790" s="4" t="s">
        <v>106</v>
      </c>
    </row>
    <row r="3791" spans="1:5" hidden="1" x14ac:dyDescent="0.15">
      <c r="A3791" s="1" t="s">
        <v>80</v>
      </c>
      <c r="B3791" s="2">
        <v>105020</v>
      </c>
      <c r="C3791" s="3">
        <v>9.8000000000000004E-2</v>
      </c>
      <c r="D3791" s="4" t="s">
        <v>427</v>
      </c>
      <c r="E3791" s="4" t="s">
        <v>106</v>
      </c>
    </row>
    <row r="3792" spans="1:5" ht="26" hidden="1" x14ac:dyDescent="0.15">
      <c r="A3792" s="1" t="s">
        <v>81</v>
      </c>
      <c r="B3792" s="2">
        <v>173554</v>
      </c>
      <c r="C3792" s="3">
        <v>0.16200000000000001</v>
      </c>
      <c r="D3792" s="4" t="s">
        <v>427</v>
      </c>
      <c r="E3792" s="4" t="s">
        <v>106</v>
      </c>
    </row>
    <row r="3793" spans="1:5" hidden="1" x14ac:dyDescent="0.15">
      <c r="A3793" s="1" t="s">
        <v>82</v>
      </c>
      <c r="B3793" s="2">
        <v>160398</v>
      </c>
      <c r="C3793" s="3">
        <v>0.15</v>
      </c>
      <c r="D3793" s="4" t="s">
        <v>427</v>
      </c>
      <c r="E3793" s="4" t="s">
        <v>106</v>
      </c>
    </row>
    <row r="3794" spans="1:5" hidden="1" x14ac:dyDescent="0.15">
      <c r="A3794" s="4"/>
      <c r="B3794" s="4"/>
      <c r="C3794" s="4"/>
      <c r="D3794" s="4" t="s">
        <v>427</v>
      </c>
      <c r="E3794" s="4" t="s">
        <v>106</v>
      </c>
    </row>
    <row r="3795" spans="1:5" hidden="1" x14ac:dyDescent="0.15">
      <c r="A3795" s="5"/>
      <c r="B3795" s="5"/>
      <c r="C3795" s="5"/>
      <c r="D3795" s="4" t="s">
        <v>427</v>
      </c>
      <c r="E3795" s="4" t="s">
        <v>106</v>
      </c>
    </row>
    <row r="3796" spans="1:5" ht="26" hidden="1" x14ac:dyDescent="0.15">
      <c r="A3796" s="1" t="s">
        <v>406</v>
      </c>
      <c r="B3796" s="2">
        <v>58943</v>
      </c>
      <c r="C3796" s="3">
        <v>5.5E-2</v>
      </c>
      <c r="D3796" s="4" t="s">
        <v>427</v>
      </c>
      <c r="E3796" s="4" t="s">
        <v>106</v>
      </c>
    </row>
    <row r="3797" spans="1:5" hidden="1" x14ac:dyDescent="0.15">
      <c r="A3797" s="4"/>
      <c r="B3797" s="4"/>
      <c r="C3797" s="4"/>
      <c r="D3797" s="4" t="s">
        <v>427</v>
      </c>
      <c r="E3797" s="4" t="s">
        <v>106</v>
      </c>
    </row>
    <row r="3798" spans="1:5" hidden="1" x14ac:dyDescent="0.15">
      <c r="A3798" s="5"/>
      <c r="B3798" s="5"/>
      <c r="C3798" s="5"/>
      <c r="D3798" s="4" t="s">
        <v>427</v>
      </c>
      <c r="E3798" s="4" t="s">
        <v>106</v>
      </c>
    </row>
    <row r="3799" spans="1:5" ht="26" hidden="1" x14ac:dyDescent="0.15">
      <c r="A3799" s="1" t="s">
        <v>407</v>
      </c>
      <c r="B3799" s="2">
        <v>463318</v>
      </c>
      <c r="C3799" s="3">
        <v>0.43200000000000005</v>
      </c>
      <c r="D3799" s="4" t="s">
        <v>427</v>
      </c>
      <c r="E3799" s="4" t="s">
        <v>106</v>
      </c>
    </row>
    <row r="3800" spans="1:5" hidden="1" x14ac:dyDescent="0.15">
      <c r="A3800" s="4"/>
      <c r="B3800" s="4"/>
      <c r="C3800" s="4"/>
      <c r="D3800" s="4" t="s">
        <v>427</v>
      </c>
      <c r="E3800" s="4" t="s">
        <v>106</v>
      </c>
    </row>
    <row r="3801" spans="1:5" hidden="1" x14ac:dyDescent="0.15">
      <c r="A3801" s="5"/>
      <c r="B3801" s="5"/>
      <c r="C3801" s="5"/>
      <c r="D3801" s="4" t="s">
        <v>427</v>
      </c>
      <c r="E3801" s="4" t="s">
        <v>106</v>
      </c>
    </row>
    <row r="3802" spans="1:5" ht="26" hidden="1" x14ac:dyDescent="0.15">
      <c r="A3802" s="1" t="s">
        <v>428</v>
      </c>
      <c r="B3802" s="2">
        <v>163394</v>
      </c>
      <c r="C3802" s="3">
        <v>0.152</v>
      </c>
      <c r="D3802" s="4" t="s">
        <v>427</v>
      </c>
      <c r="E3802" s="4" t="s">
        <v>106</v>
      </c>
    </row>
    <row r="3803" spans="1:5" ht="26" hidden="1" x14ac:dyDescent="0.15">
      <c r="A3803" s="1" t="s">
        <v>429</v>
      </c>
      <c r="B3803" s="2">
        <v>540659</v>
      </c>
      <c r="C3803" s="3">
        <v>0.504</v>
      </c>
      <c r="D3803" s="4" t="s">
        <v>427</v>
      </c>
      <c r="E3803" s="4" t="s">
        <v>106</v>
      </c>
    </row>
    <row r="3804" spans="1:5" ht="39" hidden="1" x14ac:dyDescent="0.15">
      <c r="A3804" s="1" t="s">
        <v>430</v>
      </c>
      <c r="B3804" s="2">
        <v>100015</v>
      </c>
      <c r="C3804" s="3">
        <v>9.3000000000000013E-2</v>
      </c>
      <c r="D3804" s="4" t="s">
        <v>427</v>
      </c>
      <c r="E3804" s="4" t="s">
        <v>106</v>
      </c>
    </row>
    <row r="3805" spans="1:5" ht="26" hidden="1" x14ac:dyDescent="0.15">
      <c r="A3805" s="1" t="s">
        <v>431</v>
      </c>
      <c r="B3805" s="2">
        <v>357589</v>
      </c>
      <c r="C3805" s="3">
        <v>0.33299999999999996</v>
      </c>
      <c r="D3805" s="4" t="s">
        <v>427</v>
      </c>
      <c r="E3805" s="4" t="s">
        <v>106</v>
      </c>
    </row>
    <row r="3806" spans="1:5" ht="39" hidden="1" x14ac:dyDescent="0.15">
      <c r="A3806" s="1" t="s">
        <v>432</v>
      </c>
      <c r="B3806" s="2">
        <v>95053</v>
      </c>
      <c r="C3806" s="3">
        <v>8.900000000000001E-2</v>
      </c>
      <c r="D3806" s="4" t="s">
        <v>427</v>
      </c>
      <c r="E3806" s="4" t="s">
        <v>106</v>
      </c>
    </row>
    <row r="3807" spans="1:5" ht="26" hidden="1" x14ac:dyDescent="0.15">
      <c r="A3807" s="1" t="s">
        <v>123</v>
      </c>
      <c r="B3807" s="2">
        <v>302766</v>
      </c>
      <c r="C3807" s="3">
        <v>0.28199999999999997</v>
      </c>
      <c r="D3807" s="4" t="s">
        <v>427</v>
      </c>
      <c r="E3807" s="4" t="s">
        <v>106</v>
      </c>
    </row>
    <row r="3808" spans="1:5" ht="26" hidden="1" x14ac:dyDescent="0.15">
      <c r="A3808" s="1" t="s">
        <v>124</v>
      </c>
      <c r="B3808" s="2">
        <v>0</v>
      </c>
      <c r="C3808" s="3">
        <v>0</v>
      </c>
      <c r="D3808" s="4" t="s">
        <v>427</v>
      </c>
      <c r="E3808" s="4" t="s">
        <v>106</v>
      </c>
    </row>
    <row r="3809" spans="1:5" ht="39" hidden="1" x14ac:dyDescent="0.15">
      <c r="A3809" s="1" t="s">
        <v>127</v>
      </c>
      <c r="B3809" s="2">
        <v>244037</v>
      </c>
      <c r="C3809" s="3">
        <v>0.22800000000000001</v>
      </c>
      <c r="D3809" s="4" t="s">
        <v>427</v>
      </c>
      <c r="E3809" s="4" t="s">
        <v>106</v>
      </c>
    </row>
    <row r="3810" spans="1:5" ht="39" hidden="1" x14ac:dyDescent="0.15">
      <c r="A3810" s="1" t="s">
        <v>433</v>
      </c>
      <c r="B3810" s="2">
        <v>149838</v>
      </c>
      <c r="C3810" s="3">
        <v>0.14000000000000001</v>
      </c>
      <c r="D3810" s="4" t="s">
        <v>427</v>
      </c>
      <c r="E3810" s="4" t="s">
        <v>106</v>
      </c>
    </row>
    <row r="3811" spans="1:5" ht="26" hidden="1" x14ac:dyDescent="0.15">
      <c r="A3811" s="1" t="s">
        <v>434</v>
      </c>
      <c r="B3811" s="2">
        <v>57152</v>
      </c>
      <c r="C3811" s="3">
        <v>5.2999999999999999E-2</v>
      </c>
      <c r="D3811" s="4" t="s">
        <v>427</v>
      </c>
      <c r="E3811" s="4" t="s">
        <v>106</v>
      </c>
    </row>
    <row r="3812" spans="1:5" ht="26" hidden="1" x14ac:dyDescent="0.15">
      <c r="A3812" s="1" t="s">
        <v>412</v>
      </c>
      <c r="B3812" s="2">
        <v>137544</v>
      </c>
      <c r="C3812" s="3">
        <v>0.128</v>
      </c>
      <c r="D3812" s="4" t="s">
        <v>427</v>
      </c>
      <c r="E3812" s="4" t="s">
        <v>106</v>
      </c>
    </row>
    <row r="3813" spans="1:5" ht="39" hidden="1" x14ac:dyDescent="0.15">
      <c r="A3813" s="1" t="s">
        <v>435</v>
      </c>
      <c r="B3813" s="2">
        <v>45756</v>
      </c>
      <c r="C3813" s="3">
        <v>4.2999999999999997E-2</v>
      </c>
      <c r="D3813" s="4" t="s">
        <v>427</v>
      </c>
      <c r="E3813" s="4" t="s">
        <v>106</v>
      </c>
    </row>
    <row r="3814" spans="1:5" ht="39" hidden="1" x14ac:dyDescent="0.15">
      <c r="A3814" s="1" t="s">
        <v>436</v>
      </c>
      <c r="B3814" s="2">
        <v>68919</v>
      </c>
      <c r="C3814" s="3">
        <v>6.4000000000000001E-2</v>
      </c>
      <c r="D3814" s="4" t="s">
        <v>427</v>
      </c>
      <c r="E3814" s="4" t="s">
        <v>106</v>
      </c>
    </row>
    <row r="3815" spans="1:5" ht="39" hidden="1" x14ac:dyDescent="0.15">
      <c r="A3815" s="1" t="s">
        <v>437</v>
      </c>
      <c r="B3815" s="2">
        <v>129953</v>
      </c>
      <c r="C3815" s="3">
        <v>0.121</v>
      </c>
      <c r="D3815" s="4" t="s">
        <v>427</v>
      </c>
      <c r="E3815" s="4" t="s">
        <v>106</v>
      </c>
    </row>
    <row r="3816" spans="1:5" ht="26" hidden="1" x14ac:dyDescent="0.15">
      <c r="A3816" s="1" t="s">
        <v>438</v>
      </c>
      <c r="B3816" s="2">
        <v>67059</v>
      </c>
      <c r="C3816" s="3">
        <v>6.3E-2</v>
      </c>
      <c r="D3816" s="4" t="s">
        <v>427</v>
      </c>
      <c r="E3816" s="4" t="s">
        <v>106</v>
      </c>
    </row>
    <row r="3817" spans="1:5" hidden="1" x14ac:dyDescent="0.15">
      <c r="A3817" s="1" t="s">
        <v>0</v>
      </c>
      <c r="B3817" s="2">
        <v>3475930</v>
      </c>
      <c r="C3817" s="3">
        <v>1</v>
      </c>
      <c r="D3817" s="4" t="s">
        <v>439</v>
      </c>
      <c r="E3817" s="4" t="s">
        <v>440</v>
      </c>
    </row>
    <row r="3818" spans="1:5" ht="26" hidden="1" x14ac:dyDescent="0.15">
      <c r="A3818" s="1" t="s">
        <v>3</v>
      </c>
      <c r="B3818" s="2">
        <v>47499</v>
      </c>
      <c r="C3818" s="3">
        <v>1.3999999999999999E-2</v>
      </c>
      <c r="D3818" s="4" t="s">
        <v>439</v>
      </c>
      <c r="E3818" s="4" t="s">
        <v>440</v>
      </c>
    </row>
    <row r="3819" spans="1:5" hidden="1" x14ac:dyDescent="0.15">
      <c r="A3819" s="1" t="s">
        <v>4</v>
      </c>
      <c r="B3819" s="2">
        <v>16434</v>
      </c>
      <c r="C3819" s="3">
        <v>5.0000000000000001E-3</v>
      </c>
      <c r="D3819" s="4" t="s">
        <v>439</v>
      </c>
      <c r="E3819" s="4" t="s">
        <v>440</v>
      </c>
    </row>
    <row r="3820" spans="1:5" ht="26" hidden="1" x14ac:dyDescent="0.15">
      <c r="A3820" s="1" t="s">
        <v>5</v>
      </c>
      <c r="B3820" s="2">
        <v>44839</v>
      </c>
      <c r="C3820" s="3">
        <v>1.3000000000000001E-2</v>
      </c>
      <c r="D3820" s="4" t="s">
        <v>439</v>
      </c>
      <c r="E3820" s="4" t="s">
        <v>440</v>
      </c>
    </row>
    <row r="3821" spans="1:5" ht="26" hidden="1" x14ac:dyDescent="0.15">
      <c r="A3821" s="1" t="s">
        <v>6</v>
      </c>
      <c r="B3821" s="2">
        <v>308536</v>
      </c>
      <c r="C3821" s="3">
        <v>8.900000000000001E-2</v>
      </c>
      <c r="D3821" s="4" t="s">
        <v>439</v>
      </c>
      <c r="E3821" s="4" t="s">
        <v>440</v>
      </c>
    </row>
    <row r="3822" spans="1:5" ht="26" hidden="1" x14ac:dyDescent="0.15">
      <c r="A3822" s="1" t="s">
        <v>7</v>
      </c>
      <c r="B3822" s="2">
        <v>438657</v>
      </c>
      <c r="C3822" s="3">
        <v>0.126</v>
      </c>
      <c r="D3822" s="4" t="s">
        <v>439</v>
      </c>
      <c r="E3822" s="4" t="s">
        <v>440</v>
      </c>
    </row>
    <row r="3823" spans="1:5" ht="26" hidden="1" x14ac:dyDescent="0.15">
      <c r="A3823" s="1" t="s">
        <v>8</v>
      </c>
      <c r="B3823" s="2">
        <v>251877</v>
      </c>
      <c r="C3823" s="3">
        <v>7.2000000000000008E-2</v>
      </c>
      <c r="D3823" s="4" t="s">
        <v>439</v>
      </c>
      <c r="E3823" s="4" t="s">
        <v>440</v>
      </c>
    </row>
    <row r="3824" spans="1:5" ht="26" hidden="1" x14ac:dyDescent="0.15">
      <c r="A3824" s="1" t="s">
        <v>9</v>
      </c>
      <c r="B3824" s="2">
        <v>43078</v>
      </c>
      <c r="C3824" s="3">
        <v>1.2E-2</v>
      </c>
      <c r="D3824" s="4" t="s">
        <v>439</v>
      </c>
      <c r="E3824" s="4" t="s">
        <v>440</v>
      </c>
    </row>
    <row r="3825" spans="1:5" ht="26" hidden="1" x14ac:dyDescent="0.15">
      <c r="A3825" s="1" t="s">
        <v>10</v>
      </c>
      <c r="B3825" s="2">
        <v>60824</v>
      </c>
      <c r="C3825" s="3">
        <v>1.7000000000000001E-2</v>
      </c>
      <c r="D3825" s="4" t="s">
        <v>439</v>
      </c>
      <c r="E3825" s="4" t="s">
        <v>440</v>
      </c>
    </row>
    <row r="3826" spans="1:5" ht="26" hidden="1" x14ac:dyDescent="0.15">
      <c r="A3826" s="1" t="s">
        <v>11</v>
      </c>
      <c r="B3826" s="2">
        <v>200762</v>
      </c>
      <c r="C3826" s="3">
        <v>5.7999999999999996E-2</v>
      </c>
      <c r="D3826" s="4" t="s">
        <v>439</v>
      </c>
      <c r="E3826" s="4" t="s">
        <v>440</v>
      </c>
    </row>
    <row r="3827" spans="1:5" ht="26" hidden="1" x14ac:dyDescent="0.15">
      <c r="A3827" s="1" t="s">
        <v>12</v>
      </c>
      <c r="B3827" s="2">
        <v>29304</v>
      </c>
      <c r="C3827" s="3">
        <v>8.0000000000000002E-3</v>
      </c>
      <c r="D3827" s="4" t="s">
        <v>439</v>
      </c>
      <c r="E3827" s="4" t="s">
        <v>440</v>
      </c>
    </row>
    <row r="3828" spans="1:5" ht="26" hidden="1" x14ac:dyDescent="0.15">
      <c r="A3828" s="1" t="s">
        <v>13</v>
      </c>
      <c r="B3828" s="2">
        <v>24184</v>
      </c>
      <c r="C3828" s="3">
        <v>6.9999999999999993E-3</v>
      </c>
      <c r="D3828" s="4" t="s">
        <v>439</v>
      </c>
      <c r="E3828" s="4" t="s">
        <v>440</v>
      </c>
    </row>
    <row r="3829" spans="1:5" hidden="1" x14ac:dyDescent="0.15">
      <c r="A3829" s="1" t="s">
        <v>14</v>
      </c>
      <c r="B3829" s="2">
        <v>197986</v>
      </c>
      <c r="C3829" s="3">
        <v>5.7000000000000002E-2</v>
      </c>
      <c r="D3829" s="4" t="s">
        <v>439</v>
      </c>
      <c r="E3829" s="4" t="s">
        <v>440</v>
      </c>
    </row>
    <row r="3830" spans="1:5" ht="26" hidden="1" x14ac:dyDescent="0.15">
      <c r="A3830" s="1" t="s">
        <v>15</v>
      </c>
      <c r="B3830" s="2">
        <v>269190</v>
      </c>
      <c r="C3830" s="3">
        <v>7.6999999999999999E-2</v>
      </c>
      <c r="D3830" s="4" t="s">
        <v>439</v>
      </c>
      <c r="E3830" s="4" t="s">
        <v>440</v>
      </c>
    </row>
    <row r="3831" spans="1:5" ht="26" hidden="1" x14ac:dyDescent="0.15">
      <c r="A3831" s="1" t="s">
        <v>16</v>
      </c>
      <c r="B3831" s="2">
        <v>85791</v>
      </c>
      <c r="C3831" s="3">
        <v>2.5000000000000001E-2</v>
      </c>
      <c r="D3831" s="4" t="s">
        <v>439</v>
      </c>
      <c r="E3831" s="4" t="s">
        <v>440</v>
      </c>
    </row>
    <row r="3832" spans="1:5" ht="26" hidden="1" x14ac:dyDescent="0.15">
      <c r="A3832" s="1" t="s">
        <v>17</v>
      </c>
      <c r="B3832" s="2">
        <v>34179</v>
      </c>
      <c r="C3832" s="3">
        <v>0.01</v>
      </c>
      <c r="D3832" s="4" t="s">
        <v>439</v>
      </c>
      <c r="E3832" s="4" t="s">
        <v>440</v>
      </c>
    </row>
    <row r="3833" spans="1:5" hidden="1" x14ac:dyDescent="0.15">
      <c r="A3833" s="1" t="s">
        <v>18</v>
      </c>
      <c r="B3833" s="2">
        <v>30829</v>
      </c>
      <c r="C3833" s="3">
        <v>9.0000000000000011E-3</v>
      </c>
      <c r="D3833" s="4" t="s">
        <v>439</v>
      </c>
      <c r="E3833" s="4" t="s">
        <v>440</v>
      </c>
    </row>
    <row r="3834" spans="1:5" hidden="1" x14ac:dyDescent="0.15">
      <c r="A3834" s="1" t="s">
        <v>19</v>
      </c>
      <c r="B3834" s="2">
        <v>540201</v>
      </c>
      <c r="C3834" s="3">
        <v>0.155</v>
      </c>
      <c r="D3834" s="4" t="s">
        <v>439</v>
      </c>
      <c r="E3834" s="4" t="s">
        <v>440</v>
      </c>
    </row>
    <row r="3835" spans="1:5" hidden="1" x14ac:dyDescent="0.15">
      <c r="A3835" s="1" t="s">
        <v>20</v>
      </c>
      <c r="B3835" s="2">
        <v>47307</v>
      </c>
      <c r="C3835" s="3">
        <v>1.3999999999999999E-2</v>
      </c>
      <c r="D3835" s="4" t="s">
        <v>439</v>
      </c>
      <c r="E3835" s="4" t="s">
        <v>440</v>
      </c>
    </row>
    <row r="3836" spans="1:5" ht="26" hidden="1" x14ac:dyDescent="0.15">
      <c r="A3836" s="1" t="s">
        <v>21</v>
      </c>
      <c r="B3836" s="2">
        <v>65355</v>
      </c>
      <c r="C3836" s="3">
        <v>1.9E-2</v>
      </c>
      <c r="D3836" s="4" t="s">
        <v>439</v>
      </c>
      <c r="E3836" s="4" t="s">
        <v>440</v>
      </c>
    </row>
    <row r="3837" spans="1:5" ht="26" hidden="1" x14ac:dyDescent="0.15">
      <c r="A3837" s="1" t="s">
        <v>22</v>
      </c>
      <c r="B3837" s="2">
        <v>29282</v>
      </c>
      <c r="C3837" s="3">
        <v>8.0000000000000002E-3</v>
      </c>
      <c r="D3837" s="4" t="s">
        <v>439</v>
      </c>
      <c r="E3837" s="4" t="s">
        <v>440</v>
      </c>
    </row>
    <row r="3838" spans="1:5" ht="26" hidden="1" x14ac:dyDescent="0.15">
      <c r="A3838" s="1" t="s">
        <v>23</v>
      </c>
      <c r="B3838" s="2">
        <v>42630</v>
      </c>
      <c r="C3838" s="3">
        <v>1.2E-2</v>
      </c>
      <c r="D3838" s="4" t="s">
        <v>439</v>
      </c>
      <c r="E3838" s="4" t="s">
        <v>440</v>
      </c>
    </row>
    <row r="3839" spans="1:5" ht="26" hidden="1" x14ac:dyDescent="0.15">
      <c r="A3839" s="1" t="s">
        <v>24</v>
      </c>
      <c r="B3839" s="2">
        <v>15887</v>
      </c>
      <c r="C3839" s="3">
        <v>5.0000000000000001E-3</v>
      </c>
      <c r="D3839" s="4" t="s">
        <v>439</v>
      </c>
      <c r="E3839" s="4" t="s">
        <v>440</v>
      </c>
    </row>
    <row r="3840" spans="1:5" ht="26" hidden="1" x14ac:dyDescent="0.15">
      <c r="A3840" s="1" t="s">
        <v>25</v>
      </c>
      <c r="B3840" s="2">
        <v>49719</v>
      </c>
      <c r="C3840" s="3">
        <v>1.3999999999999999E-2</v>
      </c>
      <c r="D3840" s="4" t="s">
        <v>439</v>
      </c>
      <c r="E3840" s="4" t="s">
        <v>440</v>
      </c>
    </row>
    <row r="3841" spans="1:5" hidden="1" x14ac:dyDescent="0.15">
      <c r="A3841" s="1" t="s">
        <v>26</v>
      </c>
      <c r="B3841" s="2">
        <v>30234</v>
      </c>
      <c r="C3841" s="3">
        <v>9.0000000000000011E-3</v>
      </c>
      <c r="D3841" s="4" t="s">
        <v>439</v>
      </c>
      <c r="E3841" s="4" t="s">
        <v>440</v>
      </c>
    </row>
    <row r="3842" spans="1:5" hidden="1" x14ac:dyDescent="0.15">
      <c r="A3842" s="1" t="s">
        <v>27</v>
      </c>
      <c r="B3842" s="2">
        <v>173590</v>
      </c>
      <c r="C3842" s="3">
        <v>0.05</v>
      </c>
      <c r="D3842" s="4" t="s">
        <v>439</v>
      </c>
      <c r="E3842" s="4" t="s">
        <v>440</v>
      </c>
    </row>
    <row r="3843" spans="1:5" hidden="1" x14ac:dyDescent="0.15">
      <c r="A3843" s="1" t="s">
        <v>28</v>
      </c>
      <c r="B3843" s="2">
        <v>321212</v>
      </c>
      <c r="C3843" s="3">
        <v>9.1999999999999998E-2</v>
      </c>
      <c r="D3843" s="4" t="s">
        <v>439</v>
      </c>
      <c r="E3843" s="4" t="s">
        <v>440</v>
      </c>
    </row>
    <row r="3844" spans="1:5" hidden="1" x14ac:dyDescent="0.15">
      <c r="A3844" s="1" t="s">
        <v>29</v>
      </c>
      <c r="B3844" s="2">
        <v>1163539</v>
      </c>
      <c r="C3844" s="3">
        <v>0.33500000000000002</v>
      </c>
      <c r="D3844" s="4" t="s">
        <v>439</v>
      </c>
      <c r="E3844" s="4" t="s">
        <v>440</v>
      </c>
    </row>
    <row r="3845" spans="1:5" hidden="1" x14ac:dyDescent="0.15">
      <c r="A3845" s="1" t="s">
        <v>30</v>
      </c>
      <c r="B3845" s="2">
        <v>263975</v>
      </c>
      <c r="C3845" s="3">
        <v>7.5999999999999998E-2</v>
      </c>
      <c r="D3845" s="4" t="s">
        <v>439</v>
      </c>
      <c r="E3845" s="4" t="s">
        <v>440</v>
      </c>
    </row>
    <row r="3846" spans="1:5" ht="39" hidden="1" x14ac:dyDescent="0.15">
      <c r="A3846" s="1" t="s">
        <v>31</v>
      </c>
      <c r="B3846" s="2">
        <v>28605</v>
      </c>
      <c r="C3846" s="3">
        <v>8.0000000000000002E-3</v>
      </c>
      <c r="D3846" s="4" t="s">
        <v>439</v>
      </c>
      <c r="E3846" s="4" t="s">
        <v>440</v>
      </c>
    </row>
    <row r="3847" spans="1:5" hidden="1" x14ac:dyDescent="0.15">
      <c r="A3847" s="1" t="s">
        <v>32</v>
      </c>
      <c r="B3847" s="2">
        <v>69814</v>
      </c>
      <c r="C3847" s="3">
        <v>0.02</v>
      </c>
      <c r="D3847" s="4" t="s">
        <v>439</v>
      </c>
      <c r="E3847" s="4" t="s">
        <v>440</v>
      </c>
    </row>
    <row r="3848" spans="1:5" hidden="1" x14ac:dyDescent="0.15">
      <c r="A3848" s="1" t="s">
        <v>33</v>
      </c>
      <c r="B3848" s="2">
        <v>927438</v>
      </c>
      <c r="C3848" s="3">
        <v>0.26700000000000002</v>
      </c>
      <c r="D3848" s="4" t="s">
        <v>439</v>
      </c>
      <c r="E3848" s="4" t="s">
        <v>440</v>
      </c>
    </row>
    <row r="3849" spans="1:5" hidden="1" x14ac:dyDescent="0.15">
      <c r="A3849" s="1" t="s">
        <v>34</v>
      </c>
      <c r="B3849" s="2">
        <v>252355</v>
      </c>
      <c r="C3849" s="3">
        <v>7.2999999999999995E-2</v>
      </c>
      <c r="D3849" s="4" t="s">
        <v>439</v>
      </c>
      <c r="E3849" s="4" t="s">
        <v>440</v>
      </c>
    </row>
    <row r="3850" spans="1:5" hidden="1" x14ac:dyDescent="0.15">
      <c r="A3850" s="1" t="s">
        <v>35</v>
      </c>
      <c r="B3850" s="2">
        <v>90887</v>
      </c>
      <c r="C3850" s="3">
        <v>2.6000000000000002E-2</v>
      </c>
      <c r="D3850" s="4" t="s">
        <v>439</v>
      </c>
      <c r="E3850" s="4" t="s">
        <v>440</v>
      </c>
    </row>
    <row r="3851" spans="1:5" ht="26" hidden="1" x14ac:dyDescent="0.15">
      <c r="A3851" s="1" t="s">
        <v>36</v>
      </c>
      <c r="B3851" s="2">
        <v>78339</v>
      </c>
      <c r="C3851" s="3">
        <v>2.3E-2</v>
      </c>
      <c r="D3851" s="4" t="s">
        <v>439</v>
      </c>
      <c r="E3851" s="4" t="s">
        <v>440</v>
      </c>
    </row>
    <row r="3852" spans="1:5" hidden="1" x14ac:dyDescent="0.15">
      <c r="A3852" s="1" t="s">
        <v>37</v>
      </c>
      <c r="B3852" s="2">
        <v>50288</v>
      </c>
      <c r="C3852" s="3">
        <v>1.3999999999999999E-2</v>
      </c>
      <c r="D3852" s="4" t="s">
        <v>439</v>
      </c>
      <c r="E3852" s="4" t="s">
        <v>440</v>
      </c>
    </row>
    <row r="3853" spans="1:5" ht="39" hidden="1" x14ac:dyDescent="0.15">
      <c r="A3853" s="1" t="s">
        <v>38</v>
      </c>
      <c r="B3853" s="2">
        <v>49468</v>
      </c>
      <c r="C3853" s="3">
        <v>1.3999999999999999E-2</v>
      </c>
      <c r="D3853" s="4" t="s">
        <v>439</v>
      </c>
      <c r="E3853" s="4" t="s">
        <v>440</v>
      </c>
    </row>
    <row r="3854" spans="1:5" hidden="1" x14ac:dyDescent="0.15">
      <c r="A3854" s="1" t="s">
        <v>39</v>
      </c>
      <c r="B3854" s="2">
        <v>81321</v>
      </c>
      <c r="C3854" s="3">
        <v>2.3E-2</v>
      </c>
      <c r="D3854" s="4" t="s">
        <v>439</v>
      </c>
      <c r="E3854" s="4" t="s">
        <v>440</v>
      </c>
    </row>
    <row r="3855" spans="1:5" hidden="1" x14ac:dyDescent="0.15">
      <c r="A3855" s="1" t="s">
        <v>40</v>
      </c>
      <c r="B3855" s="2">
        <v>88649</v>
      </c>
      <c r="C3855" s="3">
        <v>2.6000000000000002E-2</v>
      </c>
      <c r="D3855" s="4" t="s">
        <v>439</v>
      </c>
      <c r="E3855" s="4" t="s">
        <v>440</v>
      </c>
    </row>
    <row r="3856" spans="1:5" hidden="1" x14ac:dyDescent="0.15">
      <c r="A3856" s="1" t="s">
        <v>41</v>
      </c>
      <c r="B3856" s="2">
        <v>52979</v>
      </c>
      <c r="C3856" s="3">
        <v>1.4999999999999999E-2</v>
      </c>
      <c r="D3856" s="4" t="s">
        <v>439</v>
      </c>
      <c r="E3856" s="4" t="s">
        <v>440</v>
      </c>
    </row>
    <row r="3857" spans="1:5" hidden="1" x14ac:dyDescent="0.15">
      <c r="A3857" s="1" t="s">
        <v>42</v>
      </c>
      <c r="B3857" s="2">
        <v>93972</v>
      </c>
      <c r="C3857" s="3">
        <v>2.7000000000000003E-2</v>
      </c>
      <c r="D3857" s="4" t="s">
        <v>439</v>
      </c>
      <c r="E3857" s="4" t="s">
        <v>440</v>
      </c>
    </row>
    <row r="3858" spans="1:5" hidden="1" x14ac:dyDescent="0.15">
      <c r="A3858" s="1" t="s">
        <v>43</v>
      </c>
      <c r="B3858" s="2">
        <v>254184</v>
      </c>
      <c r="C3858" s="3">
        <v>7.2999999999999995E-2</v>
      </c>
      <c r="D3858" s="4" t="s">
        <v>439</v>
      </c>
      <c r="E3858" s="4" t="s">
        <v>440</v>
      </c>
    </row>
    <row r="3859" spans="1:5" ht="26" hidden="1" x14ac:dyDescent="0.15">
      <c r="A3859" s="1" t="s">
        <v>44</v>
      </c>
      <c r="B3859" s="2">
        <v>220594</v>
      </c>
      <c r="C3859" s="3">
        <v>6.3E-2</v>
      </c>
      <c r="D3859" s="4" t="s">
        <v>439</v>
      </c>
      <c r="E3859" s="4" t="s">
        <v>440</v>
      </c>
    </row>
    <row r="3860" spans="1:5" hidden="1" x14ac:dyDescent="0.15">
      <c r="A3860" s="1" t="s">
        <v>45</v>
      </c>
      <c r="B3860" s="2">
        <v>571886</v>
      </c>
      <c r="C3860" s="3">
        <v>0.16500000000000001</v>
      </c>
      <c r="D3860" s="4" t="s">
        <v>439</v>
      </c>
      <c r="E3860" s="4" t="s">
        <v>440</v>
      </c>
    </row>
    <row r="3861" spans="1:5" ht="26" hidden="1" x14ac:dyDescent="0.15">
      <c r="A3861" s="1" t="s">
        <v>46</v>
      </c>
      <c r="B3861" s="2">
        <v>1199001</v>
      </c>
      <c r="C3861" s="3">
        <v>0.34499999999999997</v>
      </c>
      <c r="D3861" s="4" t="s">
        <v>439</v>
      </c>
      <c r="E3861" s="4" t="s">
        <v>440</v>
      </c>
    </row>
    <row r="3862" spans="1:5" hidden="1" x14ac:dyDescent="0.15">
      <c r="A3862" s="1" t="s">
        <v>47</v>
      </c>
      <c r="B3862" s="2">
        <v>1441309</v>
      </c>
      <c r="C3862" s="3">
        <v>0.41499999999999998</v>
      </c>
      <c r="D3862" s="4" t="s">
        <v>439</v>
      </c>
      <c r="E3862" s="4" t="s">
        <v>440</v>
      </c>
    </row>
    <row r="3863" spans="1:5" hidden="1" x14ac:dyDescent="0.15">
      <c r="A3863" s="1" t="s">
        <v>48</v>
      </c>
      <c r="B3863" s="2">
        <v>971511</v>
      </c>
      <c r="C3863" s="3">
        <v>0.27899999999999997</v>
      </c>
      <c r="D3863" s="4" t="s">
        <v>439</v>
      </c>
      <c r="E3863" s="4" t="s">
        <v>440</v>
      </c>
    </row>
    <row r="3864" spans="1:5" hidden="1" x14ac:dyDescent="0.15">
      <c r="A3864" s="1" t="s">
        <v>49</v>
      </c>
      <c r="B3864" s="2">
        <v>341596</v>
      </c>
      <c r="C3864" s="3">
        <v>9.8000000000000004E-2</v>
      </c>
      <c r="D3864" s="4" t="s">
        <v>439</v>
      </c>
      <c r="E3864" s="4" t="s">
        <v>440</v>
      </c>
    </row>
    <row r="3865" spans="1:5" ht="26" hidden="1" x14ac:dyDescent="0.15">
      <c r="A3865" s="1" t="s">
        <v>50</v>
      </c>
      <c r="B3865" s="2">
        <v>530917</v>
      </c>
      <c r="C3865" s="3">
        <v>0.153</v>
      </c>
      <c r="D3865" s="4" t="s">
        <v>439</v>
      </c>
      <c r="E3865" s="4" t="s">
        <v>440</v>
      </c>
    </row>
    <row r="3866" spans="1:5" hidden="1" x14ac:dyDescent="0.15">
      <c r="A3866" s="1" t="s">
        <v>51</v>
      </c>
      <c r="B3866" s="2">
        <v>1170334</v>
      </c>
      <c r="C3866" s="3">
        <v>0.33700000000000002</v>
      </c>
      <c r="D3866" s="4" t="s">
        <v>439</v>
      </c>
      <c r="E3866" s="4" t="s">
        <v>440</v>
      </c>
    </row>
    <row r="3867" spans="1:5" hidden="1" x14ac:dyDescent="0.15">
      <c r="A3867" s="1" t="s">
        <v>52</v>
      </c>
      <c r="B3867" s="2">
        <v>281143</v>
      </c>
      <c r="C3867" s="3">
        <v>8.1000000000000003E-2</v>
      </c>
      <c r="D3867" s="4" t="s">
        <v>439</v>
      </c>
      <c r="E3867" s="4" t="s">
        <v>440</v>
      </c>
    </row>
    <row r="3868" spans="1:5" ht="26" hidden="1" x14ac:dyDescent="0.15">
      <c r="A3868" s="1" t="s">
        <v>53</v>
      </c>
      <c r="B3868" s="2">
        <v>192887</v>
      </c>
      <c r="C3868" s="3">
        <v>5.5E-2</v>
      </c>
      <c r="D3868" s="4" t="s">
        <v>439</v>
      </c>
      <c r="E3868" s="4" t="s">
        <v>440</v>
      </c>
    </row>
    <row r="3869" spans="1:5" hidden="1" x14ac:dyDescent="0.15">
      <c r="A3869" s="1" t="s">
        <v>54</v>
      </c>
      <c r="B3869" s="2">
        <v>1230639</v>
      </c>
      <c r="C3869" s="3">
        <v>0.35399999999999998</v>
      </c>
      <c r="D3869" s="4" t="s">
        <v>439</v>
      </c>
      <c r="E3869" s="4" t="s">
        <v>440</v>
      </c>
    </row>
    <row r="3870" spans="1:5" ht="26" hidden="1" x14ac:dyDescent="0.15">
      <c r="A3870" s="1" t="s">
        <v>55</v>
      </c>
      <c r="B3870" s="2">
        <v>1319668</v>
      </c>
      <c r="C3870" s="3">
        <v>0.38</v>
      </c>
      <c r="D3870" s="4" t="s">
        <v>439</v>
      </c>
      <c r="E3870" s="4" t="s">
        <v>440</v>
      </c>
    </row>
    <row r="3871" spans="1:5" hidden="1" x14ac:dyDescent="0.15">
      <c r="A3871" s="1" t="s">
        <v>56</v>
      </c>
      <c r="B3871" s="2">
        <v>765933</v>
      </c>
      <c r="C3871" s="3">
        <v>0.22</v>
      </c>
      <c r="D3871" s="4" t="s">
        <v>439</v>
      </c>
      <c r="E3871" s="4" t="s">
        <v>440</v>
      </c>
    </row>
    <row r="3872" spans="1:5" hidden="1" x14ac:dyDescent="0.15">
      <c r="A3872" s="1" t="s">
        <v>57</v>
      </c>
      <c r="B3872" s="2">
        <v>372440</v>
      </c>
      <c r="C3872" s="3">
        <v>0.107</v>
      </c>
      <c r="D3872" s="4" t="s">
        <v>439</v>
      </c>
      <c r="E3872" s="4" t="s">
        <v>440</v>
      </c>
    </row>
    <row r="3873" spans="1:5" hidden="1" x14ac:dyDescent="0.15">
      <c r="A3873" s="1" t="s">
        <v>58</v>
      </c>
      <c r="B3873" s="2">
        <v>496716</v>
      </c>
      <c r="C3873" s="3">
        <v>0.14300000000000002</v>
      </c>
      <c r="D3873" s="4" t="s">
        <v>439</v>
      </c>
      <c r="E3873" s="4" t="s">
        <v>440</v>
      </c>
    </row>
    <row r="3874" spans="1:5" hidden="1" x14ac:dyDescent="0.15">
      <c r="A3874" s="1" t="s">
        <v>59</v>
      </c>
      <c r="B3874" s="2">
        <v>2028693</v>
      </c>
      <c r="C3874" s="3">
        <v>0.58399999999999996</v>
      </c>
      <c r="D3874" s="4" t="s">
        <v>439</v>
      </c>
      <c r="E3874" s="4" t="s">
        <v>440</v>
      </c>
    </row>
    <row r="3875" spans="1:5" hidden="1" x14ac:dyDescent="0.15">
      <c r="A3875" s="1" t="s">
        <v>60</v>
      </c>
      <c r="B3875" s="2">
        <v>396859</v>
      </c>
      <c r="C3875" s="3">
        <v>0.114</v>
      </c>
      <c r="D3875" s="4" t="s">
        <v>439</v>
      </c>
      <c r="E3875" s="4" t="s">
        <v>440</v>
      </c>
    </row>
    <row r="3876" spans="1:5" ht="26" hidden="1" x14ac:dyDescent="0.15">
      <c r="A3876" s="1" t="s">
        <v>61</v>
      </c>
      <c r="B3876" s="2">
        <v>548163</v>
      </c>
      <c r="C3876" s="3">
        <v>0.158</v>
      </c>
      <c r="D3876" s="4" t="s">
        <v>439</v>
      </c>
      <c r="E3876" s="4" t="s">
        <v>440</v>
      </c>
    </row>
    <row r="3877" spans="1:5" hidden="1" x14ac:dyDescent="0.15">
      <c r="A3877" s="1" t="s">
        <v>62</v>
      </c>
      <c r="B3877" s="2">
        <v>164527</v>
      </c>
      <c r="C3877" s="3">
        <v>4.7E-2</v>
      </c>
      <c r="D3877" s="4" t="s">
        <v>439</v>
      </c>
      <c r="E3877" s="4" t="s">
        <v>440</v>
      </c>
    </row>
    <row r="3878" spans="1:5" ht="26" hidden="1" x14ac:dyDescent="0.15">
      <c r="A3878" s="1" t="s">
        <v>63</v>
      </c>
      <c r="B3878" s="2">
        <v>402243</v>
      </c>
      <c r="C3878" s="3">
        <v>0.11599999999999999</v>
      </c>
      <c r="D3878" s="4" t="s">
        <v>439</v>
      </c>
      <c r="E3878" s="4" t="s">
        <v>440</v>
      </c>
    </row>
    <row r="3879" spans="1:5" ht="26" hidden="1" x14ac:dyDescent="0.15">
      <c r="A3879" s="1" t="s">
        <v>64</v>
      </c>
      <c r="B3879" s="2">
        <v>245188</v>
      </c>
      <c r="C3879" s="3">
        <v>7.0999999999999994E-2</v>
      </c>
      <c r="D3879" s="4" t="s">
        <v>439</v>
      </c>
      <c r="E3879" s="4" t="s">
        <v>440</v>
      </c>
    </row>
    <row r="3880" spans="1:5" hidden="1" x14ac:dyDescent="0.15">
      <c r="A3880" s="1" t="s">
        <v>65</v>
      </c>
      <c r="B3880" s="2">
        <v>500214</v>
      </c>
      <c r="C3880" s="3">
        <v>0.14400000000000002</v>
      </c>
      <c r="D3880" s="4" t="s">
        <v>439</v>
      </c>
      <c r="E3880" s="4" t="s">
        <v>440</v>
      </c>
    </row>
    <row r="3881" spans="1:5" hidden="1" x14ac:dyDescent="0.15">
      <c r="A3881" s="1" t="s">
        <v>66</v>
      </c>
      <c r="B3881" s="2">
        <v>205632</v>
      </c>
      <c r="C3881" s="3">
        <v>5.9000000000000004E-2</v>
      </c>
      <c r="D3881" s="4" t="s">
        <v>439</v>
      </c>
      <c r="E3881" s="4" t="s">
        <v>440</v>
      </c>
    </row>
    <row r="3882" spans="1:5" hidden="1" x14ac:dyDescent="0.15">
      <c r="A3882" s="1" t="s">
        <v>67</v>
      </c>
      <c r="B3882" s="2">
        <v>817630</v>
      </c>
      <c r="C3882" s="3">
        <v>0.23499999999999999</v>
      </c>
      <c r="D3882" s="4" t="s">
        <v>439</v>
      </c>
      <c r="E3882" s="4" t="s">
        <v>440</v>
      </c>
    </row>
    <row r="3883" spans="1:5" hidden="1" x14ac:dyDescent="0.15">
      <c r="A3883" s="1" t="s">
        <v>68</v>
      </c>
      <c r="B3883" s="2">
        <v>1217686</v>
      </c>
      <c r="C3883" s="3">
        <v>0.35</v>
      </c>
      <c r="D3883" s="4" t="s">
        <v>439</v>
      </c>
      <c r="E3883" s="4" t="s">
        <v>440</v>
      </c>
    </row>
    <row r="3884" spans="1:5" hidden="1" x14ac:dyDescent="0.15">
      <c r="A3884" s="1" t="s">
        <v>69</v>
      </c>
      <c r="B3884" s="2">
        <v>2521748</v>
      </c>
      <c r="C3884" s="3">
        <v>0.72499999999999998</v>
      </c>
      <c r="D3884" s="4" t="s">
        <v>439</v>
      </c>
      <c r="E3884" s="4" t="s">
        <v>440</v>
      </c>
    </row>
    <row r="3885" spans="1:5" hidden="1" x14ac:dyDescent="0.15">
      <c r="A3885" s="1" t="s">
        <v>70</v>
      </c>
      <c r="B3885" s="2">
        <v>1312376</v>
      </c>
      <c r="C3885" s="3">
        <v>0.37799999999999995</v>
      </c>
      <c r="D3885" s="4" t="s">
        <v>439</v>
      </c>
      <c r="E3885" s="4" t="s">
        <v>440</v>
      </c>
    </row>
    <row r="3886" spans="1:5" ht="26" hidden="1" x14ac:dyDescent="0.15">
      <c r="A3886" s="1" t="s">
        <v>71</v>
      </c>
      <c r="B3886" s="2">
        <v>169174</v>
      </c>
      <c r="C3886" s="3">
        <v>4.9000000000000002E-2</v>
      </c>
      <c r="D3886" s="4" t="s">
        <v>439</v>
      </c>
      <c r="E3886" s="4" t="s">
        <v>440</v>
      </c>
    </row>
    <row r="3887" spans="1:5" hidden="1" x14ac:dyDescent="0.15">
      <c r="A3887" s="1" t="s">
        <v>72</v>
      </c>
      <c r="B3887" s="2">
        <v>334626</v>
      </c>
      <c r="C3887" s="3">
        <v>9.6000000000000002E-2</v>
      </c>
      <c r="D3887" s="4" t="s">
        <v>439</v>
      </c>
      <c r="E3887" s="4" t="s">
        <v>440</v>
      </c>
    </row>
    <row r="3888" spans="1:5" hidden="1" x14ac:dyDescent="0.15">
      <c r="A3888" s="1" t="s">
        <v>73</v>
      </c>
      <c r="B3888" s="2">
        <v>2275556</v>
      </c>
      <c r="C3888" s="3">
        <v>0.65500000000000003</v>
      </c>
      <c r="D3888" s="4" t="s">
        <v>439</v>
      </c>
      <c r="E3888" s="4" t="s">
        <v>440</v>
      </c>
    </row>
    <row r="3889" spans="1:5" hidden="1" x14ac:dyDescent="0.15">
      <c r="A3889" s="1" t="s">
        <v>74</v>
      </c>
      <c r="B3889" s="2">
        <v>1127343</v>
      </c>
      <c r="C3889" s="3">
        <v>0.32400000000000001</v>
      </c>
      <c r="D3889" s="4" t="s">
        <v>439</v>
      </c>
      <c r="E3889" s="4" t="s">
        <v>440</v>
      </c>
    </row>
    <row r="3890" spans="1:5" hidden="1" x14ac:dyDescent="0.15">
      <c r="A3890" s="1" t="s">
        <v>75</v>
      </c>
      <c r="B3890" s="2">
        <v>444609</v>
      </c>
      <c r="C3890" s="3">
        <v>0.128</v>
      </c>
      <c r="D3890" s="4" t="s">
        <v>439</v>
      </c>
      <c r="E3890" s="4" t="s">
        <v>440</v>
      </c>
    </row>
    <row r="3891" spans="1:5" hidden="1" x14ac:dyDescent="0.15">
      <c r="A3891" s="1" t="s">
        <v>76</v>
      </c>
      <c r="B3891" s="2">
        <v>437683</v>
      </c>
      <c r="C3891" s="3">
        <v>0.126</v>
      </c>
      <c r="D3891" s="4" t="s">
        <v>439</v>
      </c>
      <c r="E3891" s="4" t="s">
        <v>440</v>
      </c>
    </row>
    <row r="3892" spans="1:5" hidden="1" x14ac:dyDescent="0.15">
      <c r="A3892" s="1" t="s">
        <v>77</v>
      </c>
      <c r="B3892" s="2">
        <v>431417</v>
      </c>
      <c r="C3892" s="3">
        <v>0.124</v>
      </c>
      <c r="D3892" s="4" t="s">
        <v>439</v>
      </c>
      <c r="E3892" s="4" t="s">
        <v>440</v>
      </c>
    </row>
    <row r="3893" spans="1:5" ht="26" hidden="1" x14ac:dyDescent="0.15">
      <c r="A3893" s="1" t="s">
        <v>78</v>
      </c>
      <c r="B3893" s="2">
        <v>379070</v>
      </c>
      <c r="C3893" s="3">
        <v>0.109</v>
      </c>
      <c r="D3893" s="4" t="s">
        <v>439</v>
      </c>
      <c r="E3893" s="4" t="s">
        <v>440</v>
      </c>
    </row>
    <row r="3894" spans="1:5" hidden="1" x14ac:dyDescent="0.15">
      <c r="A3894" s="1" t="s">
        <v>79</v>
      </c>
      <c r="B3894" s="2">
        <v>547611</v>
      </c>
      <c r="C3894" s="3">
        <v>0.158</v>
      </c>
      <c r="D3894" s="4" t="s">
        <v>439</v>
      </c>
      <c r="E3894" s="4" t="s">
        <v>440</v>
      </c>
    </row>
    <row r="3895" spans="1:5" hidden="1" x14ac:dyDescent="0.15">
      <c r="A3895" s="1" t="s">
        <v>80</v>
      </c>
      <c r="B3895" s="2">
        <v>817886</v>
      </c>
      <c r="C3895" s="3">
        <v>0.23499999999999999</v>
      </c>
      <c r="D3895" s="4" t="s">
        <v>439</v>
      </c>
      <c r="E3895" s="4" t="s">
        <v>440</v>
      </c>
    </row>
    <row r="3896" spans="1:5" ht="26" hidden="1" x14ac:dyDescent="0.15">
      <c r="A3896" s="1" t="s">
        <v>81</v>
      </c>
      <c r="B3896" s="2">
        <v>486675</v>
      </c>
      <c r="C3896" s="3">
        <v>0.14000000000000001</v>
      </c>
      <c r="D3896" s="4" t="s">
        <v>439</v>
      </c>
      <c r="E3896" s="4" t="s">
        <v>440</v>
      </c>
    </row>
    <row r="3897" spans="1:5" hidden="1" x14ac:dyDescent="0.15">
      <c r="A3897" s="1" t="s">
        <v>82</v>
      </c>
      <c r="B3897" s="2">
        <v>326811</v>
      </c>
      <c r="C3897" s="3">
        <v>9.4E-2</v>
      </c>
      <c r="D3897" s="4" t="s">
        <v>439</v>
      </c>
      <c r="E3897" s="4" t="s">
        <v>440</v>
      </c>
    </row>
    <row r="3898" spans="1:5" hidden="1" x14ac:dyDescent="0.15">
      <c r="A3898" s="4"/>
      <c r="B3898" s="4"/>
      <c r="C3898" s="4"/>
      <c r="D3898" s="4" t="s">
        <v>439</v>
      </c>
      <c r="E3898" s="4" t="s">
        <v>440</v>
      </c>
    </row>
    <row r="3899" spans="1:5" hidden="1" x14ac:dyDescent="0.15">
      <c r="A3899" s="16"/>
      <c r="B3899" s="16"/>
      <c r="C3899" s="16"/>
      <c r="D3899" s="4" t="s">
        <v>439</v>
      </c>
      <c r="E3899" s="4" t="s">
        <v>440</v>
      </c>
    </row>
    <row r="3900" spans="1:5" ht="26" hidden="1" x14ac:dyDescent="0.15">
      <c r="A3900" s="1" t="s">
        <v>441</v>
      </c>
      <c r="B3900" s="2">
        <v>2138333</v>
      </c>
      <c r="C3900" s="3">
        <v>0.61499999999999999</v>
      </c>
      <c r="D3900" s="4" t="s">
        <v>439</v>
      </c>
      <c r="E3900" s="4" t="s">
        <v>440</v>
      </c>
    </row>
    <row r="3901" spans="1:5" hidden="1" x14ac:dyDescent="0.15">
      <c r="A3901" s="4"/>
      <c r="B3901" s="4"/>
      <c r="C3901" s="4"/>
      <c r="D3901" s="4" t="s">
        <v>439</v>
      </c>
      <c r="E3901" s="4" t="s">
        <v>440</v>
      </c>
    </row>
    <row r="3902" spans="1:5" hidden="1" x14ac:dyDescent="0.15">
      <c r="A3902" s="16"/>
      <c r="B3902" s="16"/>
      <c r="C3902" s="16"/>
      <c r="D3902" s="4" t="s">
        <v>439</v>
      </c>
      <c r="E3902" s="4" t="s">
        <v>440</v>
      </c>
    </row>
    <row r="3903" spans="1:5" ht="26" hidden="1" x14ac:dyDescent="0.15">
      <c r="A3903" s="1" t="s">
        <v>442</v>
      </c>
      <c r="B3903" s="2">
        <v>958138</v>
      </c>
      <c r="C3903" s="3">
        <v>0.27600000000000002</v>
      </c>
      <c r="D3903" s="4" t="s">
        <v>439</v>
      </c>
      <c r="E3903" s="4" t="s">
        <v>440</v>
      </c>
    </row>
    <row r="3904" spans="1:5" hidden="1" x14ac:dyDescent="0.15">
      <c r="A3904" s="4"/>
      <c r="B3904" s="4"/>
      <c r="C3904" s="4"/>
      <c r="D3904" s="4" t="s">
        <v>439</v>
      </c>
      <c r="E3904" s="4" t="s">
        <v>440</v>
      </c>
    </row>
    <row r="3905" spans="1:5" hidden="1" x14ac:dyDescent="0.15">
      <c r="A3905" s="16"/>
      <c r="B3905" s="16"/>
      <c r="C3905" s="16"/>
      <c r="D3905" s="4" t="s">
        <v>439</v>
      </c>
      <c r="E3905" s="4" t="s">
        <v>440</v>
      </c>
    </row>
    <row r="3906" spans="1:5" ht="26" hidden="1" x14ac:dyDescent="0.15">
      <c r="A3906" s="1" t="s">
        <v>443</v>
      </c>
      <c r="B3906" s="2">
        <v>2350563</v>
      </c>
      <c r="C3906" s="3">
        <v>0.67599999999999993</v>
      </c>
      <c r="D3906" s="4" t="s">
        <v>439</v>
      </c>
      <c r="E3906" s="4" t="s">
        <v>440</v>
      </c>
    </row>
    <row r="3907" spans="1:5" hidden="1" x14ac:dyDescent="0.15">
      <c r="A3907" s="4"/>
      <c r="B3907" s="4"/>
      <c r="C3907" s="4"/>
      <c r="D3907" s="4" t="s">
        <v>439</v>
      </c>
      <c r="E3907" s="4" t="s">
        <v>440</v>
      </c>
    </row>
    <row r="3908" spans="1:5" hidden="1" x14ac:dyDescent="0.15">
      <c r="A3908" s="16"/>
      <c r="B3908" s="16"/>
      <c r="C3908" s="16"/>
      <c r="D3908" s="4" t="s">
        <v>439</v>
      </c>
      <c r="E3908" s="4" t="s">
        <v>440</v>
      </c>
    </row>
    <row r="3909" spans="1:5" hidden="1" x14ac:dyDescent="0.15">
      <c r="A3909" s="1" t="s">
        <v>444</v>
      </c>
      <c r="B3909" s="2">
        <v>936414</v>
      </c>
      <c r="C3909" s="3">
        <v>0.26899999999999996</v>
      </c>
      <c r="D3909" s="4" t="s">
        <v>439</v>
      </c>
      <c r="E3909" s="4" t="s">
        <v>440</v>
      </c>
    </row>
    <row r="3910" spans="1:5" hidden="1" x14ac:dyDescent="0.15">
      <c r="A3910" s="4"/>
      <c r="B3910" s="4"/>
      <c r="C3910" s="4"/>
      <c r="D3910" s="4" t="s">
        <v>439</v>
      </c>
      <c r="E3910" s="4" t="s">
        <v>440</v>
      </c>
    </row>
    <row r="3911" spans="1:5" hidden="1" x14ac:dyDescent="0.15">
      <c r="A3911" s="16"/>
      <c r="B3911" s="16"/>
      <c r="C3911" s="16"/>
      <c r="D3911" s="4" t="s">
        <v>439</v>
      </c>
      <c r="E3911" s="4" t="s">
        <v>440</v>
      </c>
    </row>
    <row r="3912" spans="1:5" ht="26" hidden="1" x14ac:dyDescent="0.15">
      <c r="A3912" s="1" t="s">
        <v>445</v>
      </c>
      <c r="B3912" s="2">
        <v>1066475</v>
      </c>
      <c r="C3912" s="3">
        <v>0.307</v>
      </c>
      <c r="D3912" s="4" t="s">
        <v>439</v>
      </c>
      <c r="E3912" s="4" t="s">
        <v>440</v>
      </c>
    </row>
    <row r="3913" spans="1:5" ht="26" hidden="1" x14ac:dyDescent="0.15">
      <c r="A3913" s="1" t="s">
        <v>446</v>
      </c>
      <c r="B3913" s="2">
        <v>818080</v>
      </c>
      <c r="C3913" s="3">
        <v>0.23499999999999999</v>
      </c>
      <c r="D3913" s="4" t="s">
        <v>439</v>
      </c>
      <c r="E3913" s="4" t="s">
        <v>440</v>
      </c>
    </row>
    <row r="3914" spans="1:5" ht="26" hidden="1" x14ac:dyDescent="0.15">
      <c r="A3914" s="1" t="s">
        <v>447</v>
      </c>
      <c r="B3914" s="2">
        <v>286820</v>
      </c>
      <c r="C3914" s="3">
        <v>8.3000000000000004E-2</v>
      </c>
      <c r="D3914" s="4" t="s">
        <v>439</v>
      </c>
      <c r="E3914" s="4" t="s">
        <v>440</v>
      </c>
    </row>
    <row r="3915" spans="1:5" ht="26" hidden="1" x14ac:dyDescent="0.15">
      <c r="A3915" s="1" t="s">
        <v>448</v>
      </c>
      <c r="B3915" s="2">
        <v>576988</v>
      </c>
      <c r="C3915" s="3">
        <v>0.16600000000000001</v>
      </c>
      <c r="D3915" s="4" t="s">
        <v>439</v>
      </c>
      <c r="E3915" s="4" t="s">
        <v>440</v>
      </c>
    </row>
    <row r="3916" spans="1:5" hidden="1" x14ac:dyDescent="0.15">
      <c r="A3916" s="1" t="s">
        <v>0</v>
      </c>
      <c r="B3916" s="2">
        <v>1760870</v>
      </c>
      <c r="C3916" s="3">
        <v>1</v>
      </c>
      <c r="D3916" s="4" t="s">
        <v>449</v>
      </c>
      <c r="E3916" s="4" t="s">
        <v>450</v>
      </c>
    </row>
    <row r="3917" spans="1:5" ht="26" hidden="1" x14ac:dyDescent="0.15">
      <c r="A3917" s="1" t="s">
        <v>3</v>
      </c>
      <c r="B3917" s="2">
        <v>19034</v>
      </c>
      <c r="C3917" s="3">
        <v>1.1000000000000001E-2</v>
      </c>
      <c r="D3917" s="4" t="s">
        <v>449</v>
      </c>
      <c r="E3917" s="4" t="s">
        <v>450</v>
      </c>
    </row>
    <row r="3918" spans="1:5" hidden="1" x14ac:dyDescent="0.15">
      <c r="A3918" s="1" t="s">
        <v>4</v>
      </c>
      <c r="B3918" s="2">
        <v>18166</v>
      </c>
      <c r="C3918" s="3">
        <v>0.01</v>
      </c>
      <c r="D3918" s="4" t="s">
        <v>449</v>
      </c>
      <c r="E3918" s="4" t="s">
        <v>450</v>
      </c>
    </row>
    <row r="3919" spans="1:5" ht="26" hidden="1" x14ac:dyDescent="0.15">
      <c r="A3919" s="1" t="s">
        <v>5</v>
      </c>
      <c r="B3919" s="2">
        <v>33158</v>
      </c>
      <c r="C3919" s="3">
        <v>1.9E-2</v>
      </c>
      <c r="D3919" s="4" t="s">
        <v>449</v>
      </c>
      <c r="E3919" s="4" t="s">
        <v>450</v>
      </c>
    </row>
    <row r="3920" spans="1:5" ht="26" hidden="1" x14ac:dyDescent="0.15">
      <c r="A3920" s="1" t="s">
        <v>6</v>
      </c>
      <c r="B3920" s="2">
        <v>189138</v>
      </c>
      <c r="C3920" s="3">
        <v>0.107</v>
      </c>
      <c r="D3920" s="4" t="s">
        <v>449</v>
      </c>
      <c r="E3920" s="4" t="s">
        <v>450</v>
      </c>
    </row>
    <row r="3921" spans="1:5" ht="26" hidden="1" x14ac:dyDescent="0.15">
      <c r="A3921" s="1" t="s">
        <v>7</v>
      </c>
      <c r="B3921" s="2">
        <v>319503</v>
      </c>
      <c r="C3921" s="3">
        <v>0.18100000000000002</v>
      </c>
      <c r="D3921" s="4" t="s">
        <v>449</v>
      </c>
      <c r="E3921" s="4" t="s">
        <v>450</v>
      </c>
    </row>
    <row r="3922" spans="1:5" ht="26" hidden="1" x14ac:dyDescent="0.15">
      <c r="A3922" s="1" t="s">
        <v>8</v>
      </c>
      <c r="B3922" s="2">
        <v>33143</v>
      </c>
      <c r="C3922" s="3">
        <v>1.9E-2</v>
      </c>
      <c r="D3922" s="4" t="s">
        <v>449</v>
      </c>
      <c r="E3922" s="4" t="s">
        <v>450</v>
      </c>
    </row>
    <row r="3923" spans="1:5" ht="26" hidden="1" x14ac:dyDescent="0.15">
      <c r="A3923" s="1" t="s">
        <v>9</v>
      </c>
      <c r="B3923" s="2">
        <v>37823</v>
      </c>
      <c r="C3923" s="3">
        <v>2.1000000000000001E-2</v>
      </c>
      <c r="D3923" s="4" t="s">
        <v>449</v>
      </c>
      <c r="E3923" s="4" t="s">
        <v>450</v>
      </c>
    </row>
    <row r="3924" spans="1:5" ht="26" hidden="1" x14ac:dyDescent="0.15">
      <c r="A3924" s="1" t="s">
        <v>10</v>
      </c>
      <c r="B3924" s="2">
        <v>21728</v>
      </c>
      <c r="C3924" s="3">
        <v>1.2E-2</v>
      </c>
      <c r="D3924" s="4" t="s">
        <v>449</v>
      </c>
      <c r="E3924" s="4" t="s">
        <v>450</v>
      </c>
    </row>
    <row r="3925" spans="1:5" ht="26" hidden="1" x14ac:dyDescent="0.15">
      <c r="A3925" s="1" t="s">
        <v>11</v>
      </c>
      <c r="B3925" s="2">
        <v>103978</v>
      </c>
      <c r="C3925" s="3">
        <v>5.9000000000000004E-2</v>
      </c>
      <c r="D3925" s="4" t="s">
        <v>449</v>
      </c>
      <c r="E3925" s="4" t="s">
        <v>450</v>
      </c>
    </row>
    <row r="3926" spans="1:5" ht="26" hidden="1" x14ac:dyDescent="0.15">
      <c r="A3926" s="1" t="s">
        <v>12</v>
      </c>
      <c r="B3926" s="2">
        <v>22628</v>
      </c>
      <c r="C3926" s="3">
        <v>1.3000000000000001E-2</v>
      </c>
      <c r="D3926" s="4" t="s">
        <v>449</v>
      </c>
      <c r="E3926" s="4" t="s">
        <v>450</v>
      </c>
    </row>
    <row r="3927" spans="1:5" ht="26" hidden="1" x14ac:dyDescent="0.15">
      <c r="A3927" s="1" t="s">
        <v>13</v>
      </c>
      <c r="B3927" s="2">
        <v>18848</v>
      </c>
      <c r="C3927" s="3">
        <v>1.1000000000000001E-2</v>
      </c>
      <c r="D3927" s="4" t="s">
        <v>449</v>
      </c>
      <c r="E3927" s="4" t="s">
        <v>450</v>
      </c>
    </row>
    <row r="3928" spans="1:5" hidden="1" x14ac:dyDescent="0.15">
      <c r="A3928" s="1" t="s">
        <v>14</v>
      </c>
      <c r="B3928" s="2">
        <v>119079</v>
      </c>
      <c r="C3928" s="3">
        <v>6.8000000000000005E-2</v>
      </c>
      <c r="D3928" s="4" t="s">
        <v>449</v>
      </c>
      <c r="E3928" s="4" t="s">
        <v>450</v>
      </c>
    </row>
    <row r="3929" spans="1:5" ht="26" hidden="1" x14ac:dyDescent="0.15">
      <c r="A3929" s="1" t="s">
        <v>15</v>
      </c>
      <c r="B3929" s="2">
        <v>94504</v>
      </c>
      <c r="C3929" s="3">
        <v>5.4000000000000006E-2</v>
      </c>
      <c r="D3929" s="4" t="s">
        <v>449</v>
      </c>
      <c r="E3929" s="4" t="s">
        <v>450</v>
      </c>
    </row>
    <row r="3930" spans="1:5" ht="26" hidden="1" x14ac:dyDescent="0.15">
      <c r="A3930" s="1" t="s">
        <v>16</v>
      </c>
      <c r="B3930" s="2">
        <v>49722</v>
      </c>
      <c r="C3930" s="3">
        <v>2.7999999999999997E-2</v>
      </c>
      <c r="D3930" s="4" t="s">
        <v>449</v>
      </c>
      <c r="E3930" s="4" t="s">
        <v>450</v>
      </c>
    </row>
    <row r="3931" spans="1:5" ht="26" hidden="1" x14ac:dyDescent="0.15">
      <c r="A3931" s="1" t="s">
        <v>17</v>
      </c>
      <c r="B3931" s="2">
        <v>53622</v>
      </c>
      <c r="C3931" s="3">
        <v>0.03</v>
      </c>
      <c r="D3931" s="4" t="s">
        <v>449</v>
      </c>
      <c r="E3931" s="4" t="s">
        <v>450</v>
      </c>
    </row>
    <row r="3932" spans="1:5" hidden="1" x14ac:dyDescent="0.15">
      <c r="A3932" s="1" t="s">
        <v>18</v>
      </c>
      <c r="B3932" s="2">
        <v>19565</v>
      </c>
      <c r="C3932" s="3">
        <v>1.1000000000000001E-2</v>
      </c>
      <c r="D3932" s="4" t="s">
        <v>449</v>
      </c>
      <c r="E3932" s="4" t="s">
        <v>450</v>
      </c>
    </row>
    <row r="3933" spans="1:5" hidden="1" x14ac:dyDescent="0.15">
      <c r="A3933" s="1" t="s">
        <v>19</v>
      </c>
      <c r="B3933" s="2">
        <v>348515</v>
      </c>
      <c r="C3933" s="3">
        <v>0.19800000000000001</v>
      </c>
      <c r="D3933" s="4" t="s">
        <v>449</v>
      </c>
      <c r="E3933" s="4" t="s">
        <v>450</v>
      </c>
    </row>
    <row r="3934" spans="1:5" hidden="1" x14ac:dyDescent="0.15">
      <c r="A3934" s="1" t="s">
        <v>20</v>
      </c>
      <c r="B3934" s="2">
        <v>39271</v>
      </c>
      <c r="C3934" s="3">
        <v>2.2000000000000002E-2</v>
      </c>
      <c r="D3934" s="4" t="s">
        <v>449</v>
      </c>
      <c r="E3934" s="4" t="s">
        <v>450</v>
      </c>
    </row>
    <row r="3935" spans="1:5" ht="26" hidden="1" x14ac:dyDescent="0.15">
      <c r="A3935" s="1" t="s">
        <v>21</v>
      </c>
      <c r="B3935" s="2">
        <v>56961</v>
      </c>
      <c r="C3935" s="3">
        <v>3.2000000000000001E-2</v>
      </c>
      <c r="D3935" s="4" t="s">
        <v>449</v>
      </c>
      <c r="E3935" s="4" t="s">
        <v>450</v>
      </c>
    </row>
    <row r="3936" spans="1:5" ht="26" hidden="1" x14ac:dyDescent="0.15">
      <c r="A3936" s="1" t="s">
        <v>22</v>
      </c>
      <c r="B3936" s="2">
        <v>18691</v>
      </c>
      <c r="C3936" s="3">
        <v>1.1000000000000001E-2</v>
      </c>
      <c r="D3936" s="4" t="s">
        <v>449</v>
      </c>
      <c r="E3936" s="4" t="s">
        <v>450</v>
      </c>
    </row>
    <row r="3937" spans="1:5" ht="26" hidden="1" x14ac:dyDescent="0.15">
      <c r="A3937" s="1" t="s">
        <v>23</v>
      </c>
      <c r="B3937" s="2">
        <v>22051</v>
      </c>
      <c r="C3937" s="3">
        <v>1.3000000000000001E-2</v>
      </c>
      <c r="D3937" s="4" t="s">
        <v>449</v>
      </c>
      <c r="E3937" s="4" t="s">
        <v>450</v>
      </c>
    </row>
    <row r="3938" spans="1:5" ht="26" hidden="1" x14ac:dyDescent="0.15">
      <c r="A3938" s="1" t="s">
        <v>24</v>
      </c>
      <c r="B3938" s="2">
        <v>16728</v>
      </c>
      <c r="C3938" s="3">
        <v>9.0000000000000011E-3</v>
      </c>
      <c r="D3938" s="4" t="s">
        <v>449</v>
      </c>
      <c r="E3938" s="4" t="s">
        <v>450</v>
      </c>
    </row>
    <row r="3939" spans="1:5" ht="26" hidden="1" x14ac:dyDescent="0.15">
      <c r="A3939" s="1" t="s">
        <v>25</v>
      </c>
      <c r="B3939" s="2">
        <v>30557</v>
      </c>
      <c r="C3939" s="3">
        <v>1.7000000000000001E-2</v>
      </c>
      <c r="D3939" s="4" t="s">
        <v>449</v>
      </c>
      <c r="E3939" s="4" t="s">
        <v>450</v>
      </c>
    </row>
    <row r="3940" spans="1:5" hidden="1" x14ac:dyDescent="0.15">
      <c r="A3940" s="1" t="s">
        <v>26</v>
      </c>
      <c r="B3940" s="2">
        <v>22987</v>
      </c>
      <c r="C3940" s="3">
        <v>1.3000000000000001E-2</v>
      </c>
      <c r="D3940" s="4" t="s">
        <v>449</v>
      </c>
      <c r="E3940" s="4" t="s">
        <v>450</v>
      </c>
    </row>
    <row r="3941" spans="1:5" hidden="1" x14ac:dyDescent="0.15">
      <c r="A3941" s="1" t="s">
        <v>27</v>
      </c>
      <c r="B3941" s="2">
        <v>152876</v>
      </c>
      <c r="C3941" s="3">
        <v>8.6999999999999994E-2</v>
      </c>
      <c r="D3941" s="4" t="s">
        <v>449</v>
      </c>
      <c r="E3941" s="4" t="s">
        <v>450</v>
      </c>
    </row>
    <row r="3942" spans="1:5" hidden="1" x14ac:dyDescent="0.15">
      <c r="A3942" s="1" t="s">
        <v>28</v>
      </c>
      <c r="B3942" s="2">
        <v>132256</v>
      </c>
      <c r="C3942" s="3">
        <v>7.4999999999999997E-2</v>
      </c>
      <c r="D3942" s="4" t="s">
        <v>449</v>
      </c>
      <c r="E3942" s="4" t="s">
        <v>450</v>
      </c>
    </row>
    <row r="3943" spans="1:5" hidden="1" x14ac:dyDescent="0.15">
      <c r="A3943" s="1" t="s">
        <v>29</v>
      </c>
      <c r="B3943" s="2">
        <v>807776</v>
      </c>
      <c r="C3943" s="3">
        <v>0.45899999999999996</v>
      </c>
      <c r="D3943" s="4" t="s">
        <v>449</v>
      </c>
      <c r="E3943" s="4" t="s">
        <v>450</v>
      </c>
    </row>
    <row r="3944" spans="1:5" hidden="1" x14ac:dyDescent="0.15">
      <c r="A3944" s="1" t="s">
        <v>30</v>
      </c>
      <c r="B3944" s="2">
        <v>56285</v>
      </c>
      <c r="C3944" s="3">
        <v>3.2000000000000001E-2</v>
      </c>
      <c r="D3944" s="4" t="s">
        <v>449</v>
      </c>
      <c r="E3944" s="4" t="s">
        <v>450</v>
      </c>
    </row>
    <row r="3945" spans="1:5" ht="39" hidden="1" x14ac:dyDescent="0.15">
      <c r="A3945" s="1" t="s">
        <v>31</v>
      </c>
      <c r="B3945" s="2">
        <v>12886</v>
      </c>
      <c r="C3945" s="3">
        <v>6.9999999999999993E-3</v>
      </c>
      <c r="D3945" s="4" t="s">
        <v>449</v>
      </c>
      <c r="E3945" s="4" t="s">
        <v>450</v>
      </c>
    </row>
    <row r="3946" spans="1:5" hidden="1" x14ac:dyDescent="0.15">
      <c r="A3946" s="1" t="s">
        <v>32</v>
      </c>
      <c r="B3946" s="2">
        <v>43657</v>
      </c>
      <c r="C3946" s="3">
        <v>2.5000000000000001E-2</v>
      </c>
      <c r="D3946" s="4" t="s">
        <v>449</v>
      </c>
      <c r="E3946" s="4" t="s">
        <v>450</v>
      </c>
    </row>
    <row r="3947" spans="1:5" hidden="1" x14ac:dyDescent="0.15">
      <c r="A3947" s="1" t="s">
        <v>33</v>
      </c>
      <c r="B3947" s="2">
        <v>500909</v>
      </c>
      <c r="C3947" s="3">
        <v>0.28399999999999997</v>
      </c>
      <c r="D3947" s="4" t="s">
        <v>449</v>
      </c>
      <c r="E3947" s="4" t="s">
        <v>450</v>
      </c>
    </row>
    <row r="3948" spans="1:5" hidden="1" x14ac:dyDescent="0.15">
      <c r="A3948" s="1" t="s">
        <v>34</v>
      </c>
      <c r="B3948" s="2">
        <v>121903</v>
      </c>
      <c r="C3948" s="3">
        <v>6.9000000000000006E-2</v>
      </c>
      <c r="D3948" s="4" t="s">
        <v>449</v>
      </c>
      <c r="E3948" s="4" t="s">
        <v>450</v>
      </c>
    </row>
    <row r="3949" spans="1:5" hidden="1" x14ac:dyDescent="0.15">
      <c r="A3949" s="1" t="s">
        <v>35</v>
      </c>
      <c r="B3949" s="2">
        <v>78165</v>
      </c>
      <c r="C3949" s="3">
        <v>4.4000000000000004E-2</v>
      </c>
      <c r="D3949" s="4" t="s">
        <v>449</v>
      </c>
      <c r="E3949" s="4" t="s">
        <v>450</v>
      </c>
    </row>
    <row r="3950" spans="1:5" ht="26" hidden="1" x14ac:dyDescent="0.15">
      <c r="A3950" s="1" t="s">
        <v>36</v>
      </c>
      <c r="B3950" s="2">
        <v>26495</v>
      </c>
      <c r="C3950" s="3">
        <v>1.4999999999999999E-2</v>
      </c>
      <c r="D3950" s="4" t="s">
        <v>449</v>
      </c>
      <c r="E3950" s="4" t="s">
        <v>450</v>
      </c>
    </row>
    <row r="3951" spans="1:5" hidden="1" x14ac:dyDescent="0.15">
      <c r="A3951" s="1" t="s">
        <v>37</v>
      </c>
      <c r="B3951" s="2">
        <v>12623</v>
      </c>
      <c r="C3951" s="3">
        <v>6.9999999999999993E-3</v>
      </c>
      <c r="D3951" s="4" t="s">
        <v>449</v>
      </c>
      <c r="E3951" s="4" t="s">
        <v>450</v>
      </c>
    </row>
    <row r="3952" spans="1:5" ht="39" hidden="1" x14ac:dyDescent="0.15">
      <c r="A3952" s="1" t="s">
        <v>38</v>
      </c>
      <c r="B3952" s="2">
        <v>23793</v>
      </c>
      <c r="C3952" s="3">
        <v>1.3999999999999999E-2</v>
      </c>
      <c r="D3952" s="4" t="s">
        <v>449</v>
      </c>
      <c r="E3952" s="4" t="s">
        <v>450</v>
      </c>
    </row>
    <row r="3953" spans="1:5" hidden="1" x14ac:dyDescent="0.15">
      <c r="A3953" s="1" t="s">
        <v>39</v>
      </c>
      <c r="B3953" s="2">
        <v>86880</v>
      </c>
      <c r="C3953" s="3">
        <v>4.9000000000000002E-2</v>
      </c>
      <c r="D3953" s="4" t="s">
        <v>449</v>
      </c>
      <c r="E3953" s="4" t="s">
        <v>450</v>
      </c>
    </row>
    <row r="3954" spans="1:5" hidden="1" x14ac:dyDescent="0.15">
      <c r="A3954" s="1" t="s">
        <v>40</v>
      </c>
      <c r="B3954" s="2">
        <v>12127</v>
      </c>
      <c r="C3954" s="3">
        <v>6.9999999999999993E-3</v>
      </c>
      <c r="D3954" s="4" t="s">
        <v>449</v>
      </c>
      <c r="E3954" s="4" t="s">
        <v>450</v>
      </c>
    </row>
    <row r="3955" spans="1:5" hidden="1" x14ac:dyDescent="0.15">
      <c r="A3955" s="1" t="s">
        <v>41</v>
      </c>
      <c r="B3955" s="2">
        <v>39042</v>
      </c>
      <c r="C3955" s="3">
        <v>2.2000000000000002E-2</v>
      </c>
      <c r="D3955" s="4" t="s">
        <v>449</v>
      </c>
      <c r="E3955" s="4" t="s">
        <v>450</v>
      </c>
    </row>
    <row r="3956" spans="1:5" hidden="1" x14ac:dyDescent="0.15">
      <c r="A3956" s="1" t="s">
        <v>42</v>
      </c>
      <c r="B3956" s="2">
        <v>57082</v>
      </c>
      <c r="C3956" s="3">
        <v>3.2000000000000001E-2</v>
      </c>
      <c r="D3956" s="4" t="s">
        <v>449</v>
      </c>
      <c r="E3956" s="4" t="s">
        <v>450</v>
      </c>
    </row>
    <row r="3957" spans="1:5" hidden="1" x14ac:dyDescent="0.15">
      <c r="A3957" s="1" t="s">
        <v>43</v>
      </c>
      <c r="B3957" s="2">
        <v>134353</v>
      </c>
      <c r="C3957" s="3">
        <v>7.5999999999999998E-2</v>
      </c>
      <c r="D3957" s="4" t="s">
        <v>449</v>
      </c>
      <c r="E3957" s="4" t="s">
        <v>450</v>
      </c>
    </row>
    <row r="3958" spans="1:5" ht="26" hidden="1" x14ac:dyDescent="0.15">
      <c r="A3958" s="1" t="s">
        <v>44</v>
      </c>
      <c r="B3958" s="2">
        <v>234160</v>
      </c>
      <c r="C3958" s="3">
        <v>0.13300000000000001</v>
      </c>
      <c r="D3958" s="4" t="s">
        <v>449</v>
      </c>
      <c r="E3958" s="4" t="s">
        <v>450</v>
      </c>
    </row>
    <row r="3959" spans="1:5" hidden="1" x14ac:dyDescent="0.15">
      <c r="A3959" s="1" t="s">
        <v>45</v>
      </c>
      <c r="B3959" s="2">
        <v>260625</v>
      </c>
      <c r="C3959" s="3">
        <v>0.14800000000000002</v>
      </c>
      <c r="D3959" s="4" t="s">
        <v>449</v>
      </c>
      <c r="E3959" s="4" t="s">
        <v>450</v>
      </c>
    </row>
    <row r="3960" spans="1:5" ht="26" hidden="1" x14ac:dyDescent="0.15">
      <c r="A3960" s="1" t="s">
        <v>46</v>
      </c>
      <c r="B3960" s="2">
        <v>632029</v>
      </c>
      <c r="C3960" s="3">
        <v>0.35899999999999999</v>
      </c>
      <c r="D3960" s="4" t="s">
        <v>449</v>
      </c>
      <c r="E3960" s="4" t="s">
        <v>450</v>
      </c>
    </row>
    <row r="3961" spans="1:5" hidden="1" x14ac:dyDescent="0.15">
      <c r="A3961" s="1" t="s">
        <v>47</v>
      </c>
      <c r="B3961" s="2">
        <v>847779</v>
      </c>
      <c r="C3961" s="3">
        <v>0.48100000000000004</v>
      </c>
      <c r="D3961" s="4" t="s">
        <v>449</v>
      </c>
      <c r="E3961" s="4" t="s">
        <v>450</v>
      </c>
    </row>
    <row r="3962" spans="1:5" hidden="1" x14ac:dyDescent="0.15">
      <c r="A3962" s="1" t="s">
        <v>48</v>
      </c>
      <c r="B3962" s="2">
        <v>243998</v>
      </c>
      <c r="C3962" s="3">
        <v>0.13900000000000001</v>
      </c>
      <c r="D3962" s="4" t="s">
        <v>449</v>
      </c>
      <c r="E3962" s="4" t="s">
        <v>450</v>
      </c>
    </row>
    <row r="3963" spans="1:5" hidden="1" x14ac:dyDescent="0.15">
      <c r="A3963" s="1" t="s">
        <v>49</v>
      </c>
      <c r="B3963" s="2">
        <v>184373</v>
      </c>
      <c r="C3963" s="3">
        <v>0.105</v>
      </c>
      <c r="D3963" s="4" t="s">
        <v>449</v>
      </c>
      <c r="E3963" s="4" t="s">
        <v>450</v>
      </c>
    </row>
    <row r="3964" spans="1:5" ht="26" hidden="1" x14ac:dyDescent="0.15">
      <c r="A3964" s="1" t="s">
        <v>50</v>
      </c>
      <c r="B3964" s="2">
        <v>310213</v>
      </c>
      <c r="C3964" s="3">
        <v>0.17600000000000002</v>
      </c>
      <c r="D3964" s="4" t="s">
        <v>449</v>
      </c>
      <c r="E3964" s="4" t="s">
        <v>450</v>
      </c>
    </row>
    <row r="3965" spans="1:5" hidden="1" x14ac:dyDescent="0.15">
      <c r="A3965" s="1" t="s">
        <v>51</v>
      </c>
      <c r="B3965" s="2">
        <v>531528</v>
      </c>
      <c r="C3965" s="3">
        <v>0.30199999999999999</v>
      </c>
      <c r="D3965" s="4" t="s">
        <v>449</v>
      </c>
      <c r="E3965" s="4" t="s">
        <v>450</v>
      </c>
    </row>
    <row r="3966" spans="1:5" hidden="1" x14ac:dyDescent="0.15">
      <c r="A3966" s="1" t="s">
        <v>52</v>
      </c>
      <c r="B3966" s="2">
        <v>226300</v>
      </c>
      <c r="C3966" s="3">
        <v>0.129</v>
      </c>
      <c r="D3966" s="4" t="s">
        <v>449</v>
      </c>
      <c r="E3966" s="4" t="s">
        <v>450</v>
      </c>
    </row>
    <row r="3967" spans="1:5" ht="26" hidden="1" x14ac:dyDescent="0.15">
      <c r="A3967" s="1" t="s">
        <v>53</v>
      </c>
      <c r="B3967" s="2">
        <v>157209</v>
      </c>
      <c r="C3967" s="3">
        <v>8.900000000000001E-2</v>
      </c>
      <c r="D3967" s="4" t="s">
        <v>449</v>
      </c>
      <c r="E3967" s="4" t="s">
        <v>450</v>
      </c>
    </row>
    <row r="3968" spans="1:5" hidden="1" x14ac:dyDescent="0.15">
      <c r="A3968" s="1" t="s">
        <v>54</v>
      </c>
      <c r="B3968" s="2">
        <v>639089</v>
      </c>
      <c r="C3968" s="3">
        <v>0.36299999999999999</v>
      </c>
      <c r="D3968" s="4" t="s">
        <v>449</v>
      </c>
      <c r="E3968" s="4" t="s">
        <v>450</v>
      </c>
    </row>
    <row r="3969" spans="1:5" ht="26" hidden="1" x14ac:dyDescent="0.15">
      <c r="A3969" s="1" t="s">
        <v>55</v>
      </c>
      <c r="B3969" s="2">
        <v>522908</v>
      </c>
      <c r="C3969" s="3">
        <v>0.29699999999999999</v>
      </c>
      <c r="D3969" s="4" t="s">
        <v>449</v>
      </c>
      <c r="E3969" s="4" t="s">
        <v>450</v>
      </c>
    </row>
    <row r="3970" spans="1:5" hidden="1" x14ac:dyDescent="0.15">
      <c r="A3970" s="1" t="s">
        <v>56</v>
      </c>
      <c r="B3970" s="2">
        <v>413025</v>
      </c>
      <c r="C3970" s="3">
        <v>0.23499999999999999</v>
      </c>
      <c r="D3970" s="4" t="s">
        <v>449</v>
      </c>
      <c r="E3970" s="4" t="s">
        <v>450</v>
      </c>
    </row>
    <row r="3971" spans="1:5" hidden="1" x14ac:dyDescent="0.15">
      <c r="A3971" s="1" t="s">
        <v>57</v>
      </c>
      <c r="B3971" s="2">
        <v>339248</v>
      </c>
      <c r="C3971" s="3">
        <v>0.193</v>
      </c>
      <c r="D3971" s="4" t="s">
        <v>449</v>
      </c>
      <c r="E3971" s="4" t="s">
        <v>450</v>
      </c>
    </row>
    <row r="3972" spans="1:5" hidden="1" x14ac:dyDescent="0.15">
      <c r="A3972" s="1" t="s">
        <v>58</v>
      </c>
      <c r="B3972" s="2">
        <v>238964</v>
      </c>
      <c r="C3972" s="3">
        <v>0.13600000000000001</v>
      </c>
      <c r="D3972" s="4" t="s">
        <v>449</v>
      </c>
      <c r="E3972" s="4" t="s">
        <v>450</v>
      </c>
    </row>
    <row r="3973" spans="1:5" hidden="1" x14ac:dyDescent="0.15">
      <c r="A3973" s="1" t="s">
        <v>59</v>
      </c>
      <c r="B3973" s="2">
        <v>1117410</v>
      </c>
      <c r="C3973" s="3">
        <v>0.63500000000000001</v>
      </c>
      <c r="D3973" s="4" t="s">
        <v>449</v>
      </c>
      <c r="E3973" s="4" t="s">
        <v>450</v>
      </c>
    </row>
    <row r="3974" spans="1:5" hidden="1" x14ac:dyDescent="0.15">
      <c r="A3974" s="1" t="s">
        <v>60</v>
      </c>
      <c r="B3974" s="2">
        <v>243091</v>
      </c>
      <c r="C3974" s="3">
        <v>0.13800000000000001</v>
      </c>
      <c r="D3974" s="4" t="s">
        <v>449</v>
      </c>
      <c r="E3974" s="4" t="s">
        <v>450</v>
      </c>
    </row>
    <row r="3975" spans="1:5" ht="26" hidden="1" x14ac:dyDescent="0.15">
      <c r="A3975" s="1" t="s">
        <v>61</v>
      </c>
      <c r="B3975" s="2">
        <v>296178</v>
      </c>
      <c r="C3975" s="3">
        <v>0.16800000000000001</v>
      </c>
      <c r="D3975" s="4" t="s">
        <v>449</v>
      </c>
      <c r="E3975" s="4" t="s">
        <v>450</v>
      </c>
    </row>
    <row r="3976" spans="1:5" hidden="1" x14ac:dyDescent="0.15">
      <c r="A3976" s="1" t="s">
        <v>62</v>
      </c>
      <c r="B3976" s="2">
        <v>130916</v>
      </c>
      <c r="C3976" s="3">
        <v>7.400000000000001E-2</v>
      </c>
      <c r="D3976" s="4" t="s">
        <v>449</v>
      </c>
      <c r="E3976" s="4" t="s">
        <v>450</v>
      </c>
    </row>
    <row r="3977" spans="1:5" ht="26" hidden="1" x14ac:dyDescent="0.15">
      <c r="A3977" s="1" t="s">
        <v>63</v>
      </c>
      <c r="B3977" s="2">
        <v>223447</v>
      </c>
      <c r="C3977" s="3">
        <v>0.127</v>
      </c>
      <c r="D3977" s="4" t="s">
        <v>449</v>
      </c>
      <c r="E3977" s="4" t="s">
        <v>450</v>
      </c>
    </row>
    <row r="3978" spans="1:5" ht="26" hidden="1" x14ac:dyDescent="0.15">
      <c r="A3978" s="1" t="s">
        <v>64</v>
      </c>
      <c r="B3978" s="2">
        <v>107051</v>
      </c>
      <c r="C3978" s="3">
        <v>6.0999999999999999E-2</v>
      </c>
      <c r="D3978" s="4" t="s">
        <v>449</v>
      </c>
      <c r="E3978" s="4" t="s">
        <v>450</v>
      </c>
    </row>
    <row r="3979" spans="1:5" hidden="1" x14ac:dyDescent="0.15">
      <c r="A3979" s="1" t="s">
        <v>65</v>
      </c>
      <c r="B3979" s="2">
        <v>255962</v>
      </c>
      <c r="C3979" s="3">
        <v>0.14499999999999999</v>
      </c>
      <c r="D3979" s="4" t="s">
        <v>449</v>
      </c>
      <c r="E3979" s="4" t="s">
        <v>450</v>
      </c>
    </row>
    <row r="3980" spans="1:5" hidden="1" x14ac:dyDescent="0.15">
      <c r="A3980" s="1" t="s">
        <v>66</v>
      </c>
      <c r="B3980" s="2">
        <v>124172</v>
      </c>
      <c r="C3980" s="3">
        <v>7.0999999999999994E-2</v>
      </c>
      <c r="D3980" s="4" t="s">
        <v>449</v>
      </c>
      <c r="E3980" s="4" t="s">
        <v>450</v>
      </c>
    </row>
    <row r="3981" spans="1:5" hidden="1" x14ac:dyDescent="0.15">
      <c r="A3981" s="1" t="s">
        <v>67</v>
      </c>
      <c r="B3981" s="2">
        <v>480845</v>
      </c>
      <c r="C3981" s="3">
        <v>0.27300000000000002</v>
      </c>
      <c r="D3981" s="4" t="s">
        <v>449</v>
      </c>
      <c r="E3981" s="4" t="s">
        <v>450</v>
      </c>
    </row>
    <row r="3982" spans="1:5" hidden="1" x14ac:dyDescent="0.15">
      <c r="A3982" s="1" t="s">
        <v>68</v>
      </c>
      <c r="B3982" s="2">
        <v>628276</v>
      </c>
      <c r="C3982" s="3">
        <v>0.35700000000000004</v>
      </c>
      <c r="D3982" s="4" t="s">
        <v>449</v>
      </c>
      <c r="E3982" s="4" t="s">
        <v>450</v>
      </c>
    </row>
    <row r="3983" spans="1:5" hidden="1" x14ac:dyDescent="0.15">
      <c r="A3983" s="1" t="s">
        <v>69</v>
      </c>
      <c r="B3983" s="2">
        <v>1367839</v>
      </c>
      <c r="C3983" s="3">
        <v>0.77700000000000002</v>
      </c>
      <c r="D3983" s="4" t="s">
        <v>449</v>
      </c>
      <c r="E3983" s="4" t="s">
        <v>450</v>
      </c>
    </row>
    <row r="3984" spans="1:5" hidden="1" x14ac:dyDescent="0.15">
      <c r="A3984" s="1" t="s">
        <v>70</v>
      </c>
      <c r="B3984" s="2">
        <v>376970</v>
      </c>
      <c r="C3984" s="3">
        <v>0.214</v>
      </c>
      <c r="D3984" s="4" t="s">
        <v>449</v>
      </c>
      <c r="E3984" s="4" t="s">
        <v>450</v>
      </c>
    </row>
    <row r="3985" spans="1:5" ht="26" hidden="1" x14ac:dyDescent="0.15">
      <c r="A3985" s="1" t="s">
        <v>71</v>
      </c>
      <c r="B3985" s="2">
        <v>81515</v>
      </c>
      <c r="C3985" s="3">
        <v>4.5999999999999999E-2</v>
      </c>
      <c r="D3985" s="4" t="s">
        <v>449</v>
      </c>
      <c r="E3985" s="4" t="s">
        <v>450</v>
      </c>
    </row>
    <row r="3986" spans="1:5" hidden="1" x14ac:dyDescent="0.15">
      <c r="A3986" s="1" t="s">
        <v>72</v>
      </c>
      <c r="B3986" s="2">
        <v>206800</v>
      </c>
      <c r="C3986" s="3">
        <v>0.11699999999999999</v>
      </c>
      <c r="D3986" s="4" t="s">
        <v>449</v>
      </c>
      <c r="E3986" s="4" t="s">
        <v>450</v>
      </c>
    </row>
    <row r="3987" spans="1:5" hidden="1" x14ac:dyDescent="0.15">
      <c r="A3987" s="1" t="s">
        <v>73</v>
      </c>
      <c r="B3987" s="2">
        <v>1094698</v>
      </c>
      <c r="C3987" s="3">
        <v>0.622</v>
      </c>
      <c r="D3987" s="4" t="s">
        <v>449</v>
      </c>
      <c r="E3987" s="4" t="s">
        <v>450</v>
      </c>
    </row>
    <row r="3988" spans="1:5" hidden="1" x14ac:dyDescent="0.15">
      <c r="A3988" s="1" t="s">
        <v>74</v>
      </c>
      <c r="B3988" s="2">
        <v>494668</v>
      </c>
      <c r="C3988" s="3">
        <v>0.28100000000000003</v>
      </c>
      <c r="D3988" s="4" t="s">
        <v>449</v>
      </c>
      <c r="E3988" s="4" t="s">
        <v>450</v>
      </c>
    </row>
    <row r="3989" spans="1:5" hidden="1" x14ac:dyDescent="0.15">
      <c r="A3989" s="1" t="s">
        <v>75</v>
      </c>
      <c r="B3989" s="2">
        <v>293380</v>
      </c>
      <c r="C3989" s="3">
        <v>0.16699999999999998</v>
      </c>
      <c r="D3989" s="4" t="s">
        <v>449</v>
      </c>
      <c r="E3989" s="4" t="s">
        <v>450</v>
      </c>
    </row>
    <row r="3990" spans="1:5" hidden="1" x14ac:dyDescent="0.15">
      <c r="A3990" s="1" t="s">
        <v>76</v>
      </c>
      <c r="B3990" s="2">
        <v>212993</v>
      </c>
      <c r="C3990" s="3">
        <v>0.121</v>
      </c>
      <c r="D3990" s="4" t="s">
        <v>449</v>
      </c>
      <c r="E3990" s="4" t="s">
        <v>450</v>
      </c>
    </row>
    <row r="3991" spans="1:5" hidden="1" x14ac:dyDescent="0.15">
      <c r="A3991" s="1" t="s">
        <v>77</v>
      </c>
      <c r="B3991" s="2">
        <v>176181</v>
      </c>
      <c r="C3991" s="3">
        <v>0.1</v>
      </c>
      <c r="D3991" s="4" t="s">
        <v>449</v>
      </c>
      <c r="E3991" s="4" t="s">
        <v>450</v>
      </c>
    </row>
    <row r="3992" spans="1:5" ht="26" hidden="1" x14ac:dyDescent="0.15">
      <c r="A3992" s="1" t="s">
        <v>78</v>
      </c>
      <c r="B3992" s="2">
        <v>186425</v>
      </c>
      <c r="C3992" s="3">
        <v>0.106</v>
      </c>
      <c r="D3992" s="4" t="s">
        <v>449</v>
      </c>
      <c r="E3992" s="4" t="s">
        <v>450</v>
      </c>
    </row>
    <row r="3993" spans="1:5" hidden="1" x14ac:dyDescent="0.15">
      <c r="A3993" s="1" t="s">
        <v>79</v>
      </c>
      <c r="B3993" s="2">
        <v>275271</v>
      </c>
      <c r="C3993" s="3">
        <v>0.156</v>
      </c>
      <c r="D3993" s="4" t="s">
        <v>449</v>
      </c>
      <c r="E3993" s="4" t="s">
        <v>450</v>
      </c>
    </row>
    <row r="3994" spans="1:5" hidden="1" x14ac:dyDescent="0.15">
      <c r="A3994" s="1" t="s">
        <v>80</v>
      </c>
      <c r="B3994" s="2">
        <v>145388</v>
      </c>
      <c r="C3994" s="3">
        <v>8.3000000000000004E-2</v>
      </c>
      <c r="D3994" s="4" t="s">
        <v>449</v>
      </c>
      <c r="E3994" s="4" t="s">
        <v>450</v>
      </c>
    </row>
    <row r="3995" spans="1:5" ht="26" hidden="1" x14ac:dyDescent="0.15">
      <c r="A3995" s="1" t="s">
        <v>81</v>
      </c>
      <c r="B3995" s="2">
        <v>302093</v>
      </c>
      <c r="C3995" s="3">
        <v>0.17199999999999999</v>
      </c>
      <c r="D3995" s="4" t="s">
        <v>449</v>
      </c>
      <c r="E3995" s="4" t="s">
        <v>450</v>
      </c>
    </row>
    <row r="3996" spans="1:5" hidden="1" x14ac:dyDescent="0.15">
      <c r="A3996" s="1" t="s">
        <v>82</v>
      </c>
      <c r="B3996" s="2">
        <v>217603</v>
      </c>
      <c r="C3996" s="3">
        <v>0.124</v>
      </c>
      <c r="D3996" s="4" t="s">
        <v>449</v>
      </c>
      <c r="E3996" s="4" t="s">
        <v>450</v>
      </c>
    </row>
    <row r="3997" spans="1:5" hidden="1" x14ac:dyDescent="0.15">
      <c r="A3997" s="4"/>
      <c r="B3997" s="4"/>
      <c r="C3997" s="4"/>
      <c r="D3997" s="4" t="s">
        <v>449</v>
      </c>
      <c r="E3997" s="4" t="s">
        <v>450</v>
      </c>
    </row>
    <row r="3998" spans="1:5" hidden="1" x14ac:dyDescent="0.15">
      <c r="A3998" s="16"/>
      <c r="B3998" s="16"/>
      <c r="C3998" s="16"/>
      <c r="D3998" s="4" t="s">
        <v>449</v>
      </c>
      <c r="E3998" s="4" t="s">
        <v>450</v>
      </c>
    </row>
    <row r="3999" spans="1:5" ht="26" hidden="1" x14ac:dyDescent="0.15">
      <c r="A3999" s="1" t="s">
        <v>451</v>
      </c>
      <c r="B3999" s="2">
        <v>1144770</v>
      </c>
      <c r="C3999" s="3">
        <v>0.65</v>
      </c>
      <c r="D3999" s="4" t="s">
        <v>449</v>
      </c>
      <c r="E3999" s="4" t="s">
        <v>450</v>
      </c>
    </row>
    <row r="4000" spans="1:5" ht="26" hidden="1" x14ac:dyDescent="0.15">
      <c r="A4000" s="1" t="s">
        <v>441</v>
      </c>
      <c r="B4000" s="2">
        <v>0</v>
      </c>
      <c r="C4000" s="3">
        <v>0</v>
      </c>
      <c r="D4000" s="4" t="s">
        <v>449</v>
      </c>
      <c r="E4000" s="4" t="s">
        <v>450</v>
      </c>
    </row>
    <row r="4001" spans="1:5" hidden="1" x14ac:dyDescent="0.15">
      <c r="A4001" s="1" t="s">
        <v>452</v>
      </c>
      <c r="B4001" s="2">
        <v>0</v>
      </c>
      <c r="C4001" s="3">
        <v>0</v>
      </c>
      <c r="D4001" s="4" t="s">
        <v>449</v>
      </c>
      <c r="E4001" s="4" t="s">
        <v>450</v>
      </c>
    </row>
    <row r="4002" spans="1:5" ht="26" hidden="1" x14ac:dyDescent="0.15">
      <c r="A4002" s="1" t="s">
        <v>453</v>
      </c>
      <c r="B4002" s="2">
        <v>0</v>
      </c>
      <c r="C4002" s="3">
        <v>0</v>
      </c>
      <c r="D4002" s="4" t="s">
        <v>449</v>
      </c>
      <c r="E4002" s="4" t="s">
        <v>450</v>
      </c>
    </row>
    <row r="4003" spans="1:5" hidden="1" x14ac:dyDescent="0.15">
      <c r="A4003" s="4"/>
      <c r="B4003" s="4"/>
      <c r="C4003" s="4"/>
      <c r="D4003" s="4" t="s">
        <v>449</v>
      </c>
      <c r="E4003" s="4" t="s">
        <v>450</v>
      </c>
    </row>
    <row r="4004" spans="1:5" hidden="1" x14ac:dyDescent="0.15">
      <c r="A4004" s="16"/>
      <c r="B4004" s="16"/>
      <c r="C4004" s="16"/>
      <c r="D4004" s="4" t="s">
        <v>449</v>
      </c>
      <c r="E4004" s="4" t="s">
        <v>450</v>
      </c>
    </row>
    <row r="4005" spans="1:5" ht="26" hidden="1" x14ac:dyDescent="0.15">
      <c r="A4005" s="1" t="s">
        <v>454</v>
      </c>
      <c r="B4005" s="2">
        <v>534950</v>
      </c>
      <c r="C4005" s="3">
        <v>0.30399999999999999</v>
      </c>
      <c r="D4005" s="4" t="s">
        <v>449</v>
      </c>
      <c r="E4005" s="4" t="s">
        <v>450</v>
      </c>
    </row>
    <row r="4006" spans="1:5" ht="26" hidden="1" x14ac:dyDescent="0.15">
      <c r="A4006" s="1" t="s">
        <v>442</v>
      </c>
      <c r="B4006" s="2">
        <v>0</v>
      </c>
      <c r="C4006" s="3">
        <v>0</v>
      </c>
      <c r="D4006" s="4" t="s">
        <v>449</v>
      </c>
      <c r="E4006" s="4" t="s">
        <v>450</v>
      </c>
    </row>
    <row r="4007" spans="1:5" hidden="1" x14ac:dyDescent="0.15">
      <c r="A4007" s="1" t="s">
        <v>455</v>
      </c>
      <c r="B4007" s="2">
        <v>0</v>
      </c>
      <c r="C4007" s="3">
        <v>0</v>
      </c>
      <c r="D4007" s="4" t="s">
        <v>449</v>
      </c>
      <c r="E4007" s="4" t="s">
        <v>450</v>
      </c>
    </row>
    <row r="4008" spans="1:5" hidden="1" x14ac:dyDescent="0.15">
      <c r="A4008" s="4"/>
      <c r="B4008" s="4"/>
      <c r="C4008" s="4"/>
      <c r="D4008" s="4" t="s">
        <v>449</v>
      </c>
      <c r="E4008" s="4" t="s">
        <v>450</v>
      </c>
    </row>
    <row r="4009" spans="1:5" hidden="1" x14ac:dyDescent="0.15">
      <c r="A4009" s="16"/>
      <c r="B4009" s="16"/>
      <c r="C4009" s="16"/>
      <c r="D4009" s="4" t="s">
        <v>449</v>
      </c>
      <c r="E4009" s="4" t="s">
        <v>450</v>
      </c>
    </row>
    <row r="4010" spans="1:5" ht="26" hidden="1" x14ac:dyDescent="0.15">
      <c r="A4010" s="1" t="s">
        <v>456</v>
      </c>
      <c r="B4010" s="2">
        <v>1350396</v>
      </c>
      <c r="C4010" s="3">
        <v>0.76700000000000002</v>
      </c>
      <c r="D4010" s="4" t="s">
        <v>449</v>
      </c>
      <c r="E4010" s="4" t="s">
        <v>450</v>
      </c>
    </row>
    <row r="4011" spans="1:5" ht="26" hidden="1" x14ac:dyDescent="0.15">
      <c r="A4011" s="1" t="s">
        <v>443</v>
      </c>
      <c r="B4011" s="2">
        <v>0</v>
      </c>
      <c r="C4011" s="3">
        <v>0</v>
      </c>
      <c r="D4011" s="4" t="s">
        <v>449</v>
      </c>
      <c r="E4011" s="4" t="s">
        <v>450</v>
      </c>
    </row>
    <row r="4012" spans="1:5" hidden="1" x14ac:dyDescent="0.15">
      <c r="A4012" s="1" t="s">
        <v>457</v>
      </c>
      <c r="B4012" s="2">
        <v>0</v>
      </c>
      <c r="C4012" s="3">
        <v>0</v>
      </c>
      <c r="D4012" s="4" t="s">
        <v>449</v>
      </c>
      <c r="E4012" s="4" t="s">
        <v>450</v>
      </c>
    </row>
    <row r="4013" spans="1:5" hidden="1" x14ac:dyDescent="0.15">
      <c r="A4013" s="4"/>
      <c r="B4013" s="4"/>
      <c r="C4013" s="4"/>
      <c r="D4013" s="4" t="s">
        <v>449</v>
      </c>
      <c r="E4013" s="4" t="s">
        <v>450</v>
      </c>
    </row>
    <row r="4014" spans="1:5" hidden="1" x14ac:dyDescent="0.15">
      <c r="A4014" s="16"/>
      <c r="B4014" s="16"/>
      <c r="C4014" s="16"/>
      <c r="D4014" s="4" t="s">
        <v>449</v>
      </c>
      <c r="E4014" s="4" t="s">
        <v>450</v>
      </c>
    </row>
    <row r="4015" spans="1:5" ht="26" hidden="1" x14ac:dyDescent="0.15">
      <c r="A4015" s="1" t="s">
        <v>458</v>
      </c>
      <c r="B4015" s="2">
        <v>0</v>
      </c>
      <c r="C4015" s="3">
        <v>0</v>
      </c>
      <c r="D4015" s="4" t="s">
        <v>449</v>
      </c>
      <c r="E4015" s="4" t="s">
        <v>450</v>
      </c>
    </row>
    <row r="4016" spans="1:5" hidden="1" x14ac:dyDescent="0.15">
      <c r="A4016" s="1" t="s">
        <v>444</v>
      </c>
      <c r="B4016" s="2">
        <v>0</v>
      </c>
      <c r="C4016" s="3">
        <v>0</v>
      </c>
      <c r="D4016" s="4" t="s">
        <v>449</v>
      </c>
      <c r="E4016" s="4" t="s">
        <v>450</v>
      </c>
    </row>
    <row r="4017" spans="1:5" hidden="1" x14ac:dyDescent="0.15">
      <c r="A4017" s="4"/>
      <c r="B4017" s="4"/>
      <c r="C4017" s="4"/>
      <c r="D4017" s="4" t="s">
        <v>449</v>
      </c>
      <c r="E4017" s="4" t="s">
        <v>450</v>
      </c>
    </row>
    <row r="4018" spans="1:5" hidden="1" x14ac:dyDescent="0.15">
      <c r="A4018" s="16"/>
      <c r="B4018" s="16"/>
      <c r="C4018" s="16"/>
      <c r="D4018" s="4" t="s">
        <v>449</v>
      </c>
      <c r="E4018" s="4" t="s">
        <v>450</v>
      </c>
    </row>
    <row r="4019" spans="1:5" ht="26" hidden="1" x14ac:dyDescent="0.15">
      <c r="A4019" s="1" t="s">
        <v>459</v>
      </c>
      <c r="B4019" s="2">
        <v>348371</v>
      </c>
      <c r="C4019" s="3">
        <v>0.19800000000000001</v>
      </c>
      <c r="D4019" s="4" t="s">
        <v>449</v>
      </c>
      <c r="E4019" s="4" t="s">
        <v>450</v>
      </c>
    </row>
    <row r="4020" spans="1:5" ht="26" hidden="1" x14ac:dyDescent="0.15">
      <c r="A4020" s="1" t="s">
        <v>460</v>
      </c>
      <c r="B4020" s="2">
        <v>428166</v>
      </c>
      <c r="C4020" s="3">
        <v>0.24299999999999999</v>
      </c>
      <c r="D4020" s="4" t="s">
        <v>449</v>
      </c>
      <c r="E4020" s="4" t="s">
        <v>450</v>
      </c>
    </row>
    <row r="4021" spans="1:5" ht="26" hidden="1" x14ac:dyDescent="0.15">
      <c r="A4021" s="1" t="s">
        <v>461</v>
      </c>
      <c r="B4021" s="2">
        <v>868961</v>
      </c>
      <c r="C4021" s="3">
        <v>0.49299999999999999</v>
      </c>
      <c r="D4021" s="4" t="s">
        <v>449</v>
      </c>
      <c r="E4021" s="4" t="s">
        <v>450</v>
      </c>
    </row>
    <row r="4022" spans="1:5" ht="26" hidden="1" x14ac:dyDescent="0.15">
      <c r="A4022" s="1" t="s">
        <v>462</v>
      </c>
      <c r="B4022" s="2">
        <v>137810</v>
      </c>
      <c r="C4022" s="3">
        <v>7.8E-2</v>
      </c>
      <c r="D4022" s="4" t="s">
        <v>449</v>
      </c>
      <c r="E4022" s="4" t="s">
        <v>450</v>
      </c>
    </row>
    <row r="4023" spans="1:5" ht="26" hidden="1" x14ac:dyDescent="0.15">
      <c r="A4023" s="1" t="s">
        <v>463</v>
      </c>
      <c r="B4023" s="2">
        <v>52849</v>
      </c>
      <c r="C4023" s="3">
        <v>0.03</v>
      </c>
      <c r="D4023" s="4" t="s">
        <v>449</v>
      </c>
      <c r="E4023" s="4" t="s">
        <v>450</v>
      </c>
    </row>
    <row r="4024" spans="1:5" ht="26" hidden="1" x14ac:dyDescent="0.15">
      <c r="A4024" s="1" t="s">
        <v>464</v>
      </c>
      <c r="B4024" s="2">
        <v>138487</v>
      </c>
      <c r="C4024" s="3">
        <v>7.9000000000000001E-2</v>
      </c>
      <c r="D4024" s="4" t="s">
        <v>449</v>
      </c>
      <c r="E4024" s="4" t="s">
        <v>450</v>
      </c>
    </row>
    <row r="4025" spans="1:5" hidden="1" x14ac:dyDescent="0.15">
      <c r="A4025" s="1" t="s">
        <v>0</v>
      </c>
      <c r="B4025" s="2">
        <v>3435987</v>
      </c>
      <c r="C4025" s="3">
        <v>1</v>
      </c>
      <c r="D4025" s="4" t="s">
        <v>465</v>
      </c>
      <c r="E4025" s="4" t="s">
        <v>106</v>
      </c>
    </row>
    <row r="4026" spans="1:5" ht="26" hidden="1" x14ac:dyDescent="0.15">
      <c r="A4026" s="1" t="s">
        <v>3</v>
      </c>
      <c r="B4026" s="2">
        <v>24308</v>
      </c>
      <c r="C4026" s="3">
        <v>6.9999999999999993E-3</v>
      </c>
      <c r="D4026" s="4" t="s">
        <v>465</v>
      </c>
      <c r="E4026" s="4" t="s">
        <v>106</v>
      </c>
    </row>
    <row r="4027" spans="1:5" hidden="1" x14ac:dyDescent="0.15">
      <c r="A4027" s="1" t="s">
        <v>4</v>
      </c>
      <c r="B4027" s="2">
        <v>44884</v>
      </c>
      <c r="C4027" s="3">
        <v>1.3000000000000001E-2</v>
      </c>
      <c r="D4027" s="4" t="s">
        <v>465</v>
      </c>
      <c r="E4027" s="4" t="s">
        <v>106</v>
      </c>
    </row>
    <row r="4028" spans="1:5" ht="26" hidden="1" x14ac:dyDescent="0.15">
      <c r="A4028" s="1" t="s">
        <v>5</v>
      </c>
      <c r="B4028" s="2">
        <v>93576</v>
      </c>
      <c r="C4028" s="3">
        <v>2.7000000000000003E-2</v>
      </c>
      <c r="D4028" s="4" t="s">
        <v>465</v>
      </c>
      <c r="E4028" s="4" t="s">
        <v>106</v>
      </c>
    </row>
    <row r="4029" spans="1:5" ht="26" hidden="1" x14ac:dyDescent="0.15">
      <c r="A4029" s="1" t="s">
        <v>6</v>
      </c>
      <c r="B4029" s="2">
        <v>211832</v>
      </c>
      <c r="C4029" s="3">
        <v>6.2E-2</v>
      </c>
      <c r="D4029" s="4" t="s">
        <v>465</v>
      </c>
      <c r="E4029" s="4" t="s">
        <v>106</v>
      </c>
    </row>
    <row r="4030" spans="1:5" ht="26" hidden="1" x14ac:dyDescent="0.15">
      <c r="A4030" s="1" t="s">
        <v>7</v>
      </c>
      <c r="B4030" s="2">
        <v>487491</v>
      </c>
      <c r="C4030" s="3">
        <v>0.14199999999999999</v>
      </c>
      <c r="D4030" s="4" t="s">
        <v>465</v>
      </c>
      <c r="E4030" s="4" t="s">
        <v>106</v>
      </c>
    </row>
    <row r="4031" spans="1:5" ht="26" hidden="1" x14ac:dyDescent="0.15">
      <c r="A4031" s="1" t="s">
        <v>8</v>
      </c>
      <c r="B4031" s="2">
        <v>21954</v>
      </c>
      <c r="C4031" s="3">
        <v>6.0000000000000001E-3</v>
      </c>
      <c r="D4031" s="4" t="s">
        <v>465</v>
      </c>
      <c r="E4031" s="4" t="s">
        <v>106</v>
      </c>
    </row>
    <row r="4032" spans="1:5" ht="26" hidden="1" x14ac:dyDescent="0.15">
      <c r="A4032" s="1" t="s">
        <v>9</v>
      </c>
      <c r="B4032" s="2">
        <v>256592</v>
      </c>
      <c r="C4032" s="3">
        <v>7.4999999999999997E-2</v>
      </c>
      <c r="D4032" s="4" t="s">
        <v>465</v>
      </c>
      <c r="E4032" s="4" t="s">
        <v>106</v>
      </c>
    </row>
    <row r="4033" spans="1:5" ht="26" hidden="1" x14ac:dyDescent="0.15">
      <c r="A4033" s="1" t="s">
        <v>10</v>
      </c>
      <c r="B4033" s="2">
        <v>80369</v>
      </c>
      <c r="C4033" s="3">
        <v>2.3E-2</v>
      </c>
      <c r="D4033" s="4" t="s">
        <v>465</v>
      </c>
      <c r="E4033" s="4" t="s">
        <v>106</v>
      </c>
    </row>
    <row r="4034" spans="1:5" ht="26" hidden="1" x14ac:dyDescent="0.15">
      <c r="A4034" s="1" t="s">
        <v>11</v>
      </c>
      <c r="B4034" s="2">
        <v>216681</v>
      </c>
      <c r="C4034" s="3">
        <v>6.3E-2</v>
      </c>
      <c r="D4034" s="4" t="s">
        <v>465</v>
      </c>
      <c r="E4034" s="4" t="s">
        <v>106</v>
      </c>
    </row>
    <row r="4035" spans="1:5" ht="26" hidden="1" x14ac:dyDescent="0.15">
      <c r="A4035" s="1" t="s">
        <v>12</v>
      </c>
      <c r="B4035" s="2">
        <v>79724</v>
      </c>
      <c r="C4035" s="3">
        <v>2.3E-2</v>
      </c>
      <c r="D4035" s="4" t="s">
        <v>465</v>
      </c>
      <c r="E4035" s="4" t="s">
        <v>106</v>
      </c>
    </row>
    <row r="4036" spans="1:5" ht="26" hidden="1" x14ac:dyDescent="0.15">
      <c r="A4036" s="1" t="s">
        <v>13</v>
      </c>
      <c r="B4036" s="2">
        <v>33912</v>
      </c>
      <c r="C4036" s="3">
        <v>0.01</v>
      </c>
      <c r="D4036" s="4" t="s">
        <v>465</v>
      </c>
      <c r="E4036" s="4" t="s">
        <v>106</v>
      </c>
    </row>
    <row r="4037" spans="1:5" hidden="1" x14ac:dyDescent="0.15">
      <c r="A4037" s="1" t="s">
        <v>14</v>
      </c>
      <c r="B4037" s="2">
        <v>248362</v>
      </c>
      <c r="C4037" s="3">
        <v>7.2000000000000008E-2</v>
      </c>
      <c r="D4037" s="4" t="s">
        <v>465</v>
      </c>
      <c r="E4037" s="4" t="s">
        <v>106</v>
      </c>
    </row>
    <row r="4038" spans="1:5" ht="26" hidden="1" x14ac:dyDescent="0.15">
      <c r="A4038" s="1" t="s">
        <v>15</v>
      </c>
      <c r="B4038" s="2">
        <v>131154</v>
      </c>
      <c r="C4038" s="3">
        <v>3.7999999999999999E-2</v>
      </c>
      <c r="D4038" s="4" t="s">
        <v>465</v>
      </c>
      <c r="E4038" s="4" t="s">
        <v>106</v>
      </c>
    </row>
    <row r="4039" spans="1:5" ht="26" hidden="1" x14ac:dyDescent="0.15">
      <c r="A4039" s="1" t="s">
        <v>16</v>
      </c>
      <c r="B4039" s="2">
        <v>118922</v>
      </c>
      <c r="C4039" s="3">
        <v>3.5000000000000003E-2</v>
      </c>
      <c r="D4039" s="4" t="s">
        <v>465</v>
      </c>
      <c r="E4039" s="4" t="s">
        <v>106</v>
      </c>
    </row>
    <row r="4040" spans="1:5" ht="26" hidden="1" x14ac:dyDescent="0.15">
      <c r="A4040" s="1" t="s">
        <v>17</v>
      </c>
      <c r="B4040" s="2">
        <v>62015</v>
      </c>
      <c r="C4040" s="3">
        <v>1.8000000000000002E-2</v>
      </c>
      <c r="D4040" s="4" t="s">
        <v>465</v>
      </c>
      <c r="E4040" s="4" t="s">
        <v>106</v>
      </c>
    </row>
    <row r="4041" spans="1:5" hidden="1" x14ac:dyDescent="0.15">
      <c r="A4041" s="1" t="s">
        <v>18</v>
      </c>
      <c r="B4041" s="2">
        <v>26482</v>
      </c>
      <c r="C4041" s="3">
        <v>8.0000000000000002E-3</v>
      </c>
      <c r="D4041" s="4" t="s">
        <v>465</v>
      </c>
      <c r="E4041" s="4" t="s">
        <v>106</v>
      </c>
    </row>
    <row r="4042" spans="1:5" hidden="1" x14ac:dyDescent="0.15">
      <c r="A4042" s="1" t="s">
        <v>19</v>
      </c>
      <c r="B4042" s="2">
        <v>484869</v>
      </c>
      <c r="C4042" s="3">
        <v>0.14099999999999999</v>
      </c>
      <c r="D4042" s="4" t="s">
        <v>465</v>
      </c>
      <c r="E4042" s="4" t="s">
        <v>106</v>
      </c>
    </row>
    <row r="4043" spans="1:5" hidden="1" x14ac:dyDescent="0.15">
      <c r="A4043" s="1" t="s">
        <v>20</v>
      </c>
      <c r="B4043" s="2">
        <v>202065</v>
      </c>
      <c r="C4043" s="3">
        <v>5.9000000000000004E-2</v>
      </c>
      <c r="D4043" s="4" t="s">
        <v>465</v>
      </c>
      <c r="E4043" s="4" t="s">
        <v>106</v>
      </c>
    </row>
    <row r="4044" spans="1:5" ht="26" hidden="1" x14ac:dyDescent="0.15">
      <c r="A4044" s="1" t="s">
        <v>21</v>
      </c>
      <c r="B4044" s="2">
        <v>161278</v>
      </c>
      <c r="C4044" s="3">
        <v>4.7E-2</v>
      </c>
      <c r="D4044" s="4" t="s">
        <v>465</v>
      </c>
      <c r="E4044" s="4" t="s">
        <v>106</v>
      </c>
    </row>
    <row r="4045" spans="1:5" ht="26" hidden="1" x14ac:dyDescent="0.15">
      <c r="A4045" s="1" t="s">
        <v>22</v>
      </c>
      <c r="B4045" s="2">
        <v>91708</v>
      </c>
      <c r="C4045" s="3">
        <v>2.7000000000000003E-2</v>
      </c>
      <c r="D4045" s="4" t="s">
        <v>465</v>
      </c>
      <c r="E4045" s="4" t="s">
        <v>106</v>
      </c>
    </row>
    <row r="4046" spans="1:5" ht="26" hidden="1" x14ac:dyDescent="0.15">
      <c r="A4046" s="1" t="s">
        <v>23</v>
      </c>
      <c r="B4046" s="2">
        <v>73104</v>
      </c>
      <c r="C4046" s="3">
        <v>2.1000000000000001E-2</v>
      </c>
      <c r="D4046" s="4" t="s">
        <v>465</v>
      </c>
      <c r="E4046" s="4" t="s">
        <v>106</v>
      </c>
    </row>
    <row r="4047" spans="1:5" ht="26" hidden="1" x14ac:dyDescent="0.15">
      <c r="A4047" s="1" t="s">
        <v>24</v>
      </c>
      <c r="B4047" s="2">
        <v>14980</v>
      </c>
      <c r="C4047" s="3">
        <v>4.0000000000000001E-3</v>
      </c>
      <c r="D4047" s="4" t="s">
        <v>465</v>
      </c>
      <c r="E4047" s="4" t="s">
        <v>106</v>
      </c>
    </row>
    <row r="4048" spans="1:5" ht="26" hidden="1" x14ac:dyDescent="0.15">
      <c r="A4048" s="1" t="s">
        <v>25</v>
      </c>
      <c r="B4048" s="2">
        <v>61393</v>
      </c>
      <c r="C4048" s="3">
        <v>1.8000000000000002E-2</v>
      </c>
      <c r="D4048" s="4" t="s">
        <v>465</v>
      </c>
      <c r="E4048" s="4" t="s">
        <v>106</v>
      </c>
    </row>
    <row r="4049" spans="1:5" hidden="1" x14ac:dyDescent="0.15">
      <c r="A4049" s="1" t="s">
        <v>26</v>
      </c>
      <c r="B4049" s="2">
        <v>32933</v>
      </c>
      <c r="C4049" s="3">
        <v>0.01</v>
      </c>
      <c r="D4049" s="4" t="s">
        <v>465</v>
      </c>
      <c r="E4049" s="4" t="s">
        <v>106</v>
      </c>
    </row>
    <row r="4050" spans="1:5" hidden="1" x14ac:dyDescent="0.15">
      <c r="A4050" s="1" t="s">
        <v>27</v>
      </c>
      <c r="B4050" s="2">
        <v>175406</v>
      </c>
      <c r="C4050" s="3">
        <v>5.0999999999999997E-2</v>
      </c>
      <c r="D4050" s="4" t="s">
        <v>465</v>
      </c>
      <c r="E4050" s="4" t="s">
        <v>106</v>
      </c>
    </row>
    <row r="4051" spans="1:5" hidden="1" x14ac:dyDescent="0.15">
      <c r="A4051" s="1" t="s">
        <v>28</v>
      </c>
      <c r="B4051" s="2">
        <v>876283</v>
      </c>
      <c r="C4051" s="3">
        <v>0.255</v>
      </c>
      <c r="D4051" s="4" t="s">
        <v>465</v>
      </c>
      <c r="E4051" s="4" t="s">
        <v>106</v>
      </c>
    </row>
    <row r="4052" spans="1:5" hidden="1" x14ac:dyDescent="0.15">
      <c r="A4052" s="1" t="s">
        <v>29</v>
      </c>
      <c r="B4052" s="2">
        <v>873859</v>
      </c>
      <c r="C4052" s="3">
        <v>0.254</v>
      </c>
      <c r="D4052" s="4" t="s">
        <v>465</v>
      </c>
      <c r="E4052" s="4" t="s">
        <v>106</v>
      </c>
    </row>
    <row r="4053" spans="1:5" hidden="1" x14ac:dyDescent="0.15">
      <c r="A4053" s="1" t="s">
        <v>30</v>
      </c>
      <c r="B4053" s="2">
        <v>92206</v>
      </c>
      <c r="C4053" s="3">
        <v>2.7000000000000003E-2</v>
      </c>
      <c r="D4053" s="4" t="s">
        <v>465</v>
      </c>
      <c r="E4053" s="4" t="s">
        <v>106</v>
      </c>
    </row>
    <row r="4054" spans="1:5" ht="39" hidden="1" x14ac:dyDescent="0.15">
      <c r="A4054" s="1" t="s">
        <v>31</v>
      </c>
      <c r="B4054" s="2">
        <v>116693</v>
      </c>
      <c r="C4054" s="3">
        <v>3.4000000000000002E-2</v>
      </c>
      <c r="D4054" s="4" t="s">
        <v>465</v>
      </c>
      <c r="E4054" s="4" t="s">
        <v>106</v>
      </c>
    </row>
    <row r="4055" spans="1:5" hidden="1" x14ac:dyDescent="0.15">
      <c r="A4055" s="1" t="s">
        <v>32</v>
      </c>
      <c r="B4055" s="2">
        <v>30252</v>
      </c>
      <c r="C4055" s="3">
        <v>9.0000000000000011E-3</v>
      </c>
      <c r="D4055" s="4" t="s">
        <v>465</v>
      </c>
      <c r="E4055" s="4" t="s">
        <v>106</v>
      </c>
    </row>
    <row r="4056" spans="1:5" hidden="1" x14ac:dyDescent="0.15">
      <c r="A4056" s="1" t="s">
        <v>33</v>
      </c>
      <c r="B4056" s="2">
        <v>943749</v>
      </c>
      <c r="C4056" s="3">
        <v>0.27500000000000002</v>
      </c>
      <c r="D4056" s="4" t="s">
        <v>465</v>
      </c>
      <c r="E4056" s="4" t="s">
        <v>106</v>
      </c>
    </row>
    <row r="4057" spans="1:5" hidden="1" x14ac:dyDescent="0.15">
      <c r="A4057" s="1" t="s">
        <v>34</v>
      </c>
      <c r="B4057" s="2">
        <v>160742</v>
      </c>
      <c r="C4057" s="3">
        <v>4.7E-2</v>
      </c>
      <c r="D4057" s="4" t="s">
        <v>465</v>
      </c>
      <c r="E4057" s="4" t="s">
        <v>106</v>
      </c>
    </row>
    <row r="4058" spans="1:5" hidden="1" x14ac:dyDescent="0.15">
      <c r="A4058" s="1" t="s">
        <v>35</v>
      </c>
      <c r="B4058" s="2">
        <v>276962</v>
      </c>
      <c r="C4058" s="3">
        <v>8.1000000000000003E-2</v>
      </c>
      <c r="D4058" s="4" t="s">
        <v>465</v>
      </c>
      <c r="E4058" s="4" t="s">
        <v>106</v>
      </c>
    </row>
    <row r="4059" spans="1:5" ht="26" hidden="1" x14ac:dyDescent="0.15">
      <c r="A4059" s="1" t="s">
        <v>36</v>
      </c>
      <c r="B4059" s="2">
        <v>42052</v>
      </c>
      <c r="C4059" s="3">
        <v>1.2E-2</v>
      </c>
      <c r="D4059" s="4" t="s">
        <v>465</v>
      </c>
      <c r="E4059" s="4" t="s">
        <v>106</v>
      </c>
    </row>
    <row r="4060" spans="1:5" hidden="1" x14ac:dyDescent="0.15">
      <c r="A4060" s="1" t="s">
        <v>37</v>
      </c>
      <c r="B4060" s="2">
        <v>26438</v>
      </c>
      <c r="C4060" s="3">
        <v>8.0000000000000002E-3</v>
      </c>
      <c r="D4060" s="4" t="s">
        <v>465</v>
      </c>
      <c r="E4060" s="4" t="s">
        <v>106</v>
      </c>
    </row>
    <row r="4061" spans="1:5" ht="39" hidden="1" x14ac:dyDescent="0.15">
      <c r="A4061" s="1" t="s">
        <v>38</v>
      </c>
      <c r="B4061" s="2">
        <v>32394</v>
      </c>
      <c r="C4061" s="3">
        <v>9.0000000000000011E-3</v>
      </c>
      <c r="D4061" s="4" t="s">
        <v>465</v>
      </c>
      <c r="E4061" s="4" t="s">
        <v>106</v>
      </c>
    </row>
    <row r="4062" spans="1:5" hidden="1" x14ac:dyDescent="0.15">
      <c r="A4062" s="1" t="s">
        <v>39</v>
      </c>
      <c r="B4062" s="2">
        <v>156929</v>
      </c>
      <c r="C4062" s="3">
        <v>4.5999999999999999E-2</v>
      </c>
      <c r="D4062" s="4" t="s">
        <v>465</v>
      </c>
      <c r="E4062" s="4" t="s">
        <v>106</v>
      </c>
    </row>
    <row r="4063" spans="1:5" hidden="1" x14ac:dyDescent="0.15">
      <c r="A4063" s="1" t="s">
        <v>40</v>
      </c>
      <c r="B4063" s="2">
        <v>67542</v>
      </c>
      <c r="C4063" s="3">
        <v>0.02</v>
      </c>
      <c r="D4063" s="4" t="s">
        <v>465</v>
      </c>
      <c r="E4063" s="4" t="s">
        <v>106</v>
      </c>
    </row>
    <row r="4064" spans="1:5" hidden="1" x14ac:dyDescent="0.15">
      <c r="A4064" s="1" t="s">
        <v>41</v>
      </c>
      <c r="B4064" s="2">
        <v>176941</v>
      </c>
      <c r="C4064" s="3">
        <v>5.0999999999999997E-2</v>
      </c>
      <c r="D4064" s="4" t="s">
        <v>465</v>
      </c>
      <c r="E4064" s="4" t="s">
        <v>106</v>
      </c>
    </row>
    <row r="4065" spans="1:5" hidden="1" x14ac:dyDescent="0.15">
      <c r="A4065" s="1" t="s">
        <v>42</v>
      </c>
      <c r="B4065" s="2">
        <v>94391</v>
      </c>
      <c r="C4065" s="3">
        <v>2.7000000000000003E-2</v>
      </c>
      <c r="D4065" s="4" t="s">
        <v>465</v>
      </c>
      <c r="E4065" s="4" t="s">
        <v>106</v>
      </c>
    </row>
    <row r="4066" spans="1:5" hidden="1" x14ac:dyDescent="0.15">
      <c r="A4066" s="1" t="s">
        <v>43</v>
      </c>
      <c r="B4066" s="2">
        <v>232895</v>
      </c>
      <c r="C4066" s="3">
        <v>6.8000000000000005E-2</v>
      </c>
      <c r="D4066" s="4" t="s">
        <v>465</v>
      </c>
      <c r="E4066" s="4" t="s">
        <v>106</v>
      </c>
    </row>
    <row r="4067" spans="1:5" ht="26" hidden="1" x14ac:dyDescent="0.15">
      <c r="A4067" s="1" t="s">
        <v>44</v>
      </c>
      <c r="B4067" s="2">
        <v>281354</v>
      </c>
      <c r="C4067" s="3">
        <v>8.199999999999999E-2</v>
      </c>
      <c r="D4067" s="4" t="s">
        <v>465</v>
      </c>
      <c r="E4067" s="4" t="s">
        <v>106</v>
      </c>
    </row>
    <row r="4068" spans="1:5" hidden="1" x14ac:dyDescent="0.15">
      <c r="A4068" s="1" t="s">
        <v>45</v>
      </c>
      <c r="B4068" s="2">
        <v>516412</v>
      </c>
      <c r="C4068" s="3">
        <v>0.15</v>
      </c>
      <c r="D4068" s="4" t="s">
        <v>465</v>
      </c>
      <c r="E4068" s="4" t="s">
        <v>106</v>
      </c>
    </row>
    <row r="4069" spans="1:5" ht="26" hidden="1" x14ac:dyDescent="0.15">
      <c r="A4069" s="1" t="s">
        <v>46</v>
      </c>
      <c r="B4069" s="2">
        <v>745815</v>
      </c>
      <c r="C4069" s="3">
        <v>0.217</v>
      </c>
      <c r="D4069" s="4" t="s">
        <v>465</v>
      </c>
      <c r="E4069" s="4" t="s">
        <v>106</v>
      </c>
    </row>
    <row r="4070" spans="1:5" hidden="1" x14ac:dyDescent="0.15">
      <c r="A4070" s="1" t="s">
        <v>47</v>
      </c>
      <c r="B4070" s="2">
        <v>1031483</v>
      </c>
      <c r="C4070" s="3">
        <v>0.3</v>
      </c>
      <c r="D4070" s="4" t="s">
        <v>465</v>
      </c>
      <c r="E4070" s="4" t="s">
        <v>106</v>
      </c>
    </row>
    <row r="4071" spans="1:5" hidden="1" x14ac:dyDescent="0.15">
      <c r="A4071" s="1" t="s">
        <v>48</v>
      </c>
      <c r="B4071" s="2">
        <v>193231</v>
      </c>
      <c r="C4071" s="3">
        <v>5.5999999999999994E-2</v>
      </c>
      <c r="D4071" s="4" t="s">
        <v>465</v>
      </c>
      <c r="E4071" s="4" t="s">
        <v>106</v>
      </c>
    </row>
    <row r="4072" spans="1:5" hidden="1" x14ac:dyDescent="0.15">
      <c r="A4072" s="1" t="s">
        <v>49</v>
      </c>
      <c r="B4072" s="2">
        <v>653347</v>
      </c>
      <c r="C4072" s="3">
        <v>0.19</v>
      </c>
      <c r="D4072" s="4" t="s">
        <v>465</v>
      </c>
      <c r="E4072" s="4" t="s">
        <v>106</v>
      </c>
    </row>
    <row r="4073" spans="1:5" ht="26" hidden="1" x14ac:dyDescent="0.15">
      <c r="A4073" s="1" t="s">
        <v>50</v>
      </c>
      <c r="B4073" s="2">
        <v>519662</v>
      </c>
      <c r="C4073" s="3">
        <v>0.151</v>
      </c>
      <c r="D4073" s="4" t="s">
        <v>465</v>
      </c>
      <c r="E4073" s="4" t="s">
        <v>106</v>
      </c>
    </row>
    <row r="4074" spans="1:5" hidden="1" x14ac:dyDescent="0.15">
      <c r="A4074" s="1" t="s">
        <v>51</v>
      </c>
      <c r="B4074" s="2">
        <v>923759</v>
      </c>
      <c r="C4074" s="3">
        <v>0.26899999999999996</v>
      </c>
      <c r="D4074" s="4" t="s">
        <v>465</v>
      </c>
      <c r="E4074" s="4" t="s">
        <v>106</v>
      </c>
    </row>
    <row r="4075" spans="1:5" hidden="1" x14ac:dyDescent="0.15">
      <c r="A4075" s="1" t="s">
        <v>52</v>
      </c>
      <c r="B4075" s="2">
        <v>443349</v>
      </c>
      <c r="C4075" s="3">
        <v>0.129</v>
      </c>
      <c r="D4075" s="4" t="s">
        <v>465</v>
      </c>
      <c r="E4075" s="4" t="s">
        <v>106</v>
      </c>
    </row>
    <row r="4076" spans="1:5" ht="26" hidden="1" x14ac:dyDescent="0.15">
      <c r="A4076" s="1" t="s">
        <v>53</v>
      </c>
      <c r="B4076" s="2">
        <v>252745</v>
      </c>
      <c r="C4076" s="3">
        <v>7.400000000000001E-2</v>
      </c>
      <c r="D4076" s="4" t="s">
        <v>465</v>
      </c>
      <c r="E4076" s="4" t="s">
        <v>106</v>
      </c>
    </row>
    <row r="4077" spans="1:5" hidden="1" x14ac:dyDescent="0.15">
      <c r="A4077" s="1" t="s">
        <v>54</v>
      </c>
      <c r="B4077" s="2">
        <v>1037547</v>
      </c>
      <c r="C4077" s="3">
        <v>0.30199999999999999</v>
      </c>
      <c r="D4077" s="4" t="s">
        <v>465</v>
      </c>
      <c r="E4077" s="4" t="s">
        <v>106</v>
      </c>
    </row>
    <row r="4078" spans="1:5" ht="26" hidden="1" x14ac:dyDescent="0.15">
      <c r="A4078" s="1" t="s">
        <v>55</v>
      </c>
      <c r="B4078" s="2">
        <v>510579</v>
      </c>
      <c r="C4078" s="3">
        <v>0.14899999999999999</v>
      </c>
      <c r="D4078" s="4" t="s">
        <v>465</v>
      </c>
      <c r="E4078" s="4" t="s">
        <v>106</v>
      </c>
    </row>
    <row r="4079" spans="1:5" hidden="1" x14ac:dyDescent="0.15">
      <c r="A4079" s="1" t="s">
        <v>56</v>
      </c>
      <c r="B4079" s="2">
        <v>664264</v>
      </c>
      <c r="C4079" s="3">
        <v>0.193</v>
      </c>
      <c r="D4079" s="4" t="s">
        <v>465</v>
      </c>
      <c r="E4079" s="4" t="s">
        <v>106</v>
      </c>
    </row>
    <row r="4080" spans="1:5" hidden="1" x14ac:dyDescent="0.15">
      <c r="A4080" s="1" t="s">
        <v>57</v>
      </c>
      <c r="B4080" s="2">
        <v>378685</v>
      </c>
      <c r="C4080" s="3">
        <v>0.11</v>
      </c>
      <c r="D4080" s="4" t="s">
        <v>465</v>
      </c>
      <c r="E4080" s="4" t="s">
        <v>106</v>
      </c>
    </row>
    <row r="4081" spans="1:5" hidden="1" x14ac:dyDescent="0.15">
      <c r="A4081" s="1" t="s">
        <v>58</v>
      </c>
      <c r="B4081" s="2">
        <v>311181</v>
      </c>
      <c r="C4081" s="3">
        <v>9.0999999999999998E-2</v>
      </c>
      <c r="D4081" s="4" t="s">
        <v>465</v>
      </c>
      <c r="E4081" s="4" t="s">
        <v>106</v>
      </c>
    </row>
    <row r="4082" spans="1:5" hidden="1" x14ac:dyDescent="0.15">
      <c r="A4082" s="1" t="s">
        <v>59</v>
      </c>
      <c r="B4082" s="2">
        <v>1380020</v>
      </c>
      <c r="C4082" s="3">
        <v>0.40200000000000002</v>
      </c>
      <c r="D4082" s="4" t="s">
        <v>465</v>
      </c>
      <c r="E4082" s="4" t="s">
        <v>106</v>
      </c>
    </row>
    <row r="4083" spans="1:5" hidden="1" x14ac:dyDescent="0.15">
      <c r="A4083" s="1" t="s">
        <v>60</v>
      </c>
      <c r="B4083" s="2">
        <v>690605</v>
      </c>
      <c r="C4083" s="3">
        <v>0.20100000000000001</v>
      </c>
      <c r="D4083" s="4" t="s">
        <v>465</v>
      </c>
      <c r="E4083" s="4" t="s">
        <v>106</v>
      </c>
    </row>
    <row r="4084" spans="1:5" ht="26" hidden="1" x14ac:dyDescent="0.15">
      <c r="A4084" s="1" t="s">
        <v>61</v>
      </c>
      <c r="B4084" s="2">
        <v>727165</v>
      </c>
      <c r="C4084" s="3">
        <v>0.21199999999999999</v>
      </c>
      <c r="D4084" s="4" t="s">
        <v>465</v>
      </c>
      <c r="E4084" s="4" t="s">
        <v>106</v>
      </c>
    </row>
    <row r="4085" spans="1:5" hidden="1" x14ac:dyDescent="0.15">
      <c r="A4085" s="1" t="s">
        <v>62</v>
      </c>
      <c r="B4085" s="2">
        <v>333947</v>
      </c>
      <c r="C4085" s="3">
        <v>9.6999999999999989E-2</v>
      </c>
      <c r="D4085" s="4" t="s">
        <v>465</v>
      </c>
      <c r="E4085" s="4" t="s">
        <v>106</v>
      </c>
    </row>
    <row r="4086" spans="1:5" ht="26" hidden="1" x14ac:dyDescent="0.15">
      <c r="A4086" s="1" t="s">
        <v>63</v>
      </c>
      <c r="B4086" s="2">
        <v>293426</v>
      </c>
      <c r="C4086" s="3">
        <v>8.5000000000000006E-2</v>
      </c>
      <c r="D4086" s="4" t="s">
        <v>465</v>
      </c>
      <c r="E4086" s="4" t="s">
        <v>106</v>
      </c>
    </row>
    <row r="4087" spans="1:5" ht="26" hidden="1" x14ac:dyDescent="0.15">
      <c r="A4087" s="1" t="s">
        <v>64</v>
      </c>
      <c r="B4087" s="2">
        <v>140413</v>
      </c>
      <c r="C4087" s="3">
        <v>4.0999999999999995E-2</v>
      </c>
      <c r="D4087" s="4" t="s">
        <v>465</v>
      </c>
      <c r="E4087" s="4" t="s">
        <v>106</v>
      </c>
    </row>
    <row r="4088" spans="1:5" hidden="1" x14ac:dyDescent="0.15">
      <c r="A4088" s="1" t="s">
        <v>65</v>
      </c>
      <c r="B4088" s="2">
        <v>426980</v>
      </c>
      <c r="C4088" s="3">
        <v>0.124</v>
      </c>
      <c r="D4088" s="4" t="s">
        <v>465</v>
      </c>
      <c r="E4088" s="4" t="s">
        <v>106</v>
      </c>
    </row>
    <row r="4089" spans="1:5" hidden="1" x14ac:dyDescent="0.15">
      <c r="A4089" s="1" t="s">
        <v>66</v>
      </c>
      <c r="B4089" s="2">
        <v>252996</v>
      </c>
      <c r="C4089" s="3">
        <v>7.400000000000001E-2</v>
      </c>
      <c r="D4089" s="4" t="s">
        <v>465</v>
      </c>
      <c r="E4089" s="4" t="s">
        <v>106</v>
      </c>
    </row>
    <row r="4090" spans="1:5" hidden="1" x14ac:dyDescent="0.15">
      <c r="A4090" s="1" t="s">
        <v>67</v>
      </c>
      <c r="B4090" s="2">
        <v>622393</v>
      </c>
      <c r="C4090" s="3">
        <v>0.18100000000000002</v>
      </c>
      <c r="D4090" s="4" t="s">
        <v>465</v>
      </c>
      <c r="E4090" s="4" t="s">
        <v>106</v>
      </c>
    </row>
    <row r="4091" spans="1:5" hidden="1" x14ac:dyDescent="0.15">
      <c r="A4091" s="1" t="s">
        <v>68</v>
      </c>
      <c r="B4091" s="2">
        <v>1703263</v>
      </c>
      <c r="C4091" s="3">
        <v>0.496</v>
      </c>
      <c r="D4091" s="4" t="s">
        <v>465</v>
      </c>
      <c r="E4091" s="4" t="s">
        <v>106</v>
      </c>
    </row>
    <row r="4092" spans="1:5" hidden="1" x14ac:dyDescent="0.15">
      <c r="A4092" s="1" t="s">
        <v>69</v>
      </c>
      <c r="B4092" s="2">
        <v>1813265</v>
      </c>
      <c r="C4092" s="3">
        <v>0.52800000000000002</v>
      </c>
      <c r="D4092" s="4" t="s">
        <v>465</v>
      </c>
      <c r="E4092" s="4" t="s">
        <v>106</v>
      </c>
    </row>
    <row r="4093" spans="1:5" hidden="1" x14ac:dyDescent="0.15">
      <c r="A4093" s="1" t="s">
        <v>70</v>
      </c>
      <c r="B4093" s="2">
        <v>643986</v>
      </c>
      <c r="C4093" s="3">
        <v>0.187</v>
      </c>
      <c r="D4093" s="4" t="s">
        <v>465</v>
      </c>
      <c r="E4093" s="4" t="s">
        <v>106</v>
      </c>
    </row>
    <row r="4094" spans="1:5" ht="26" hidden="1" x14ac:dyDescent="0.15">
      <c r="A4094" s="1" t="s">
        <v>71</v>
      </c>
      <c r="B4094" s="2">
        <v>341996</v>
      </c>
      <c r="C4094" s="3">
        <v>0.1</v>
      </c>
      <c r="D4094" s="4" t="s">
        <v>465</v>
      </c>
      <c r="E4094" s="4" t="s">
        <v>106</v>
      </c>
    </row>
    <row r="4095" spans="1:5" hidden="1" x14ac:dyDescent="0.15">
      <c r="A4095" s="1" t="s">
        <v>72</v>
      </c>
      <c r="B4095" s="2">
        <v>284890</v>
      </c>
      <c r="C4095" s="3">
        <v>8.3000000000000004E-2</v>
      </c>
      <c r="D4095" s="4" t="s">
        <v>465</v>
      </c>
      <c r="E4095" s="4" t="s">
        <v>106</v>
      </c>
    </row>
    <row r="4096" spans="1:5" hidden="1" x14ac:dyDescent="0.15">
      <c r="A4096" s="1" t="s">
        <v>73</v>
      </c>
      <c r="B4096" s="2">
        <v>1806672</v>
      </c>
      <c r="C4096" s="3">
        <v>0.52600000000000002</v>
      </c>
      <c r="D4096" s="4" t="s">
        <v>465</v>
      </c>
      <c r="E4096" s="4" t="s">
        <v>106</v>
      </c>
    </row>
    <row r="4097" spans="1:5" hidden="1" x14ac:dyDescent="0.15">
      <c r="A4097" s="1" t="s">
        <v>74</v>
      </c>
      <c r="B4097" s="2">
        <v>667613</v>
      </c>
      <c r="C4097" s="3">
        <v>0.19399999999999998</v>
      </c>
      <c r="D4097" s="4" t="s">
        <v>465</v>
      </c>
      <c r="E4097" s="4" t="s">
        <v>106</v>
      </c>
    </row>
    <row r="4098" spans="1:5" hidden="1" x14ac:dyDescent="0.15">
      <c r="A4098" s="1" t="s">
        <v>75</v>
      </c>
      <c r="B4098" s="2">
        <v>852330</v>
      </c>
      <c r="C4098" s="3">
        <v>0.248</v>
      </c>
      <c r="D4098" s="4" t="s">
        <v>465</v>
      </c>
      <c r="E4098" s="4" t="s">
        <v>106</v>
      </c>
    </row>
    <row r="4099" spans="1:5" hidden="1" x14ac:dyDescent="0.15">
      <c r="A4099" s="1" t="s">
        <v>76</v>
      </c>
      <c r="B4099" s="2">
        <v>345949</v>
      </c>
      <c r="C4099" s="3">
        <v>0.10099999999999999</v>
      </c>
      <c r="D4099" s="4" t="s">
        <v>465</v>
      </c>
      <c r="E4099" s="4" t="s">
        <v>106</v>
      </c>
    </row>
    <row r="4100" spans="1:5" hidden="1" x14ac:dyDescent="0.15">
      <c r="A4100" s="1" t="s">
        <v>77</v>
      </c>
      <c r="B4100" s="2">
        <v>304786</v>
      </c>
      <c r="C4100" s="3">
        <v>8.900000000000001E-2</v>
      </c>
      <c r="D4100" s="4" t="s">
        <v>465</v>
      </c>
      <c r="E4100" s="4" t="s">
        <v>106</v>
      </c>
    </row>
    <row r="4101" spans="1:5" ht="26" hidden="1" x14ac:dyDescent="0.15">
      <c r="A4101" s="1" t="s">
        <v>78</v>
      </c>
      <c r="B4101" s="2">
        <v>284037</v>
      </c>
      <c r="C4101" s="3">
        <v>8.3000000000000004E-2</v>
      </c>
      <c r="D4101" s="4" t="s">
        <v>465</v>
      </c>
      <c r="E4101" s="4" t="s">
        <v>106</v>
      </c>
    </row>
    <row r="4102" spans="1:5" hidden="1" x14ac:dyDescent="0.15">
      <c r="A4102" s="1" t="s">
        <v>79</v>
      </c>
      <c r="B4102" s="2">
        <v>592140</v>
      </c>
      <c r="C4102" s="3">
        <v>0.17199999999999999</v>
      </c>
      <c r="D4102" s="4" t="s">
        <v>465</v>
      </c>
      <c r="E4102" s="4" t="s">
        <v>106</v>
      </c>
    </row>
    <row r="4103" spans="1:5" hidden="1" x14ac:dyDescent="0.15">
      <c r="A4103" s="1" t="s">
        <v>80</v>
      </c>
      <c r="B4103" s="2">
        <v>448303</v>
      </c>
      <c r="C4103" s="3">
        <v>0.13</v>
      </c>
      <c r="D4103" s="4" t="s">
        <v>465</v>
      </c>
      <c r="E4103" s="4" t="s">
        <v>106</v>
      </c>
    </row>
    <row r="4104" spans="1:5" ht="26" hidden="1" x14ac:dyDescent="0.15">
      <c r="A4104" s="1" t="s">
        <v>81</v>
      </c>
      <c r="B4104" s="2">
        <v>796652</v>
      </c>
      <c r="C4104" s="3">
        <v>0.23199999999999998</v>
      </c>
      <c r="D4104" s="4" t="s">
        <v>465</v>
      </c>
      <c r="E4104" s="4" t="s">
        <v>106</v>
      </c>
    </row>
    <row r="4105" spans="1:5" hidden="1" x14ac:dyDescent="0.15">
      <c r="A4105" s="1" t="s">
        <v>82</v>
      </c>
      <c r="B4105" s="2">
        <v>461411</v>
      </c>
      <c r="C4105" s="3">
        <v>0.13400000000000001</v>
      </c>
      <c r="D4105" s="4" t="s">
        <v>465</v>
      </c>
      <c r="E4105" s="4" t="s">
        <v>106</v>
      </c>
    </row>
    <row r="4106" spans="1:5" hidden="1" x14ac:dyDescent="0.15">
      <c r="A4106" s="4"/>
      <c r="B4106" s="4"/>
      <c r="C4106" s="4"/>
      <c r="D4106" s="4" t="s">
        <v>465</v>
      </c>
      <c r="E4106" s="4" t="s">
        <v>106</v>
      </c>
    </row>
    <row r="4107" spans="1:5" hidden="1" x14ac:dyDescent="0.15">
      <c r="A4107" s="16"/>
      <c r="B4107" s="16"/>
      <c r="C4107" s="16"/>
      <c r="D4107" s="4" t="s">
        <v>465</v>
      </c>
      <c r="E4107" s="4" t="s">
        <v>106</v>
      </c>
    </row>
    <row r="4108" spans="1:5" hidden="1" x14ac:dyDescent="0.15">
      <c r="A4108" s="1" t="s">
        <v>107</v>
      </c>
      <c r="B4108" s="2">
        <v>1230429</v>
      </c>
      <c r="C4108" s="3">
        <v>0.35799999999999998</v>
      </c>
      <c r="D4108" s="4" t="s">
        <v>465</v>
      </c>
      <c r="E4108" s="4" t="s">
        <v>106</v>
      </c>
    </row>
    <row r="4109" spans="1:5" ht="26" hidden="1" x14ac:dyDescent="0.15">
      <c r="A4109" s="1" t="s">
        <v>108</v>
      </c>
      <c r="B4109" s="2">
        <v>0</v>
      </c>
      <c r="C4109" s="3">
        <v>0</v>
      </c>
      <c r="D4109" s="4" t="s">
        <v>465</v>
      </c>
      <c r="E4109" s="4" t="s">
        <v>106</v>
      </c>
    </row>
    <row r="4110" spans="1:5" hidden="1" x14ac:dyDescent="0.15">
      <c r="A4110" s="4"/>
      <c r="B4110" s="4"/>
      <c r="C4110" s="4"/>
      <c r="D4110" s="4" t="s">
        <v>465</v>
      </c>
      <c r="E4110" s="4" t="s">
        <v>106</v>
      </c>
    </row>
    <row r="4111" spans="1:5" hidden="1" x14ac:dyDescent="0.15">
      <c r="A4111" s="16"/>
      <c r="B4111" s="16"/>
      <c r="C4111" s="16"/>
      <c r="D4111" s="4" t="s">
        <v>465</v>
      </c>
      <c r="E4111" s="4" t="s">
        <v>106</v>
      </c>
    </row>
    <row r="4112" spans="1:5" hidden="1" x14ac:dyDescent="0.15">
      <c r="A4112" s="1" t="s">
        <v>109</v>
      </c>
      <c r="B4112" s="2">
        <v>1816011</v>
      </c>
      <c r="C4112" s="3">
        <v>0.52900000000000003</v>
      </c>
      <c r="D4112" s="4" t="s">
        <v>465</v>
      </c>
      <c r="E4112" s="4" t="s">
        <v>106</v>
      </c>
    </row>
    <row r="4113" spans="1:5" hidden="1" x14ac:dyDescent="0.15">
      <c r="A4113" s="1" t="s">
        <v>110</v>
      </c>
      <c r="B4113" s="2">
        <v>0</v>
      </c>
      <c r="C4113" s="3">
        <v>0</v>
      </c>
      <c r="D4113" s="4" t="s">
        <v>465</v>
      </c>
      <c r="E4113" s="4" t="s">
        <v>106</v>
      </c>
    </row>
    <row r="4114" spans="1:5" hidden="1" x14ac:dyDescent="0.15">
      <c r="A4114" s="4"/>
      <c r="B4114" s="4"/>
      <c r="C4114" s="4"/>
      <c r="D4114" s="4" t="s">
        <v>465</v>
      </c>
      <c r="E4114" s="4" t="s">
        <v>106</v>
      </c>
    </row>
    <row r="4115" spans="1:5" hidden="1" x14ac:dyDescent="0.15">
      <c r="A4115" s="16"/>
      <c r="B4115" s="16"/>
      <c r="C4115" s="16"/>
      <c r="D4115" s="4" t="s">
        <v>465</v>
      </c>
      <c r="E4115" s="4" t="s">
        <v>106</v>
      </c>
    </row>
    <row r="4116" spans="1:5" hidden="1" x14ac:dyDescent="0.15">
      <c r="A4116" s="1" t="s">
        <v>112</v>
      </c>
      <c r="B4116" s="2">
        <v>1451070</v>
      </c>
      <c r="C4116" s="3">
        <v>0.42200000000000004</v>
      </c>
      <c r="D4116" s="4" t="s">
        <v>465</v>
      </c>
      <c r="E4116" s="4" t="s">
        <v>106</v>
      </c>
    </row>
    <row r="4117" spans="1:5" ht="26" hidden="1" x14ac:dyDescent="0.15">
      <c r="A4117" s="1" t="s">
        <v>111</v>
      </c>
      <c r="B4117" s="2">
        <v>0</v>
      </c>
      <c r="C4117" s="3">
        <v>0</v>
      </c>
      <c r="D4117" s="4" t="s">
        <v>465</v>
      </c>
      <c r="E4117" s="4" t="s">
        <v>106</v>
      </c>
    </row>
    <row r="4118" spans="1:5" ht="26" hidden="1" x14ac:dyDescent="0.15">
      <c r="A4118" s="1" t="s">
        <v>113</v>
      </c>
      <c r="B4118" s="2">
        <v>0</v>
      </c>
      <c r="C4118" s="3">
        <v>0</v>
      </c>
      <c r="D4118" s="4" t="s">
        <v>465</v>
      </c>
      <c r="E4118" s="4" t="s">
        <v>106</v>
      </c>
    </row>
    <row r="4119" spans="1:5" hidden="1" x14ac:dyDescent="0.15">
      <c r="A4119" s="4"/>
      <c r="B4119" s="4"/>
      <c r="C4119" s="4"/>
      <c r="D4119" s="4" t="s">
        <v>465</v>
      </c>
      <c r="E4119" s="4" t="s">
        <v>106</v>
      </c>
    </row>
    <row r="4120" spans="1:5" hidden="1" x14ac:dyDescent="0.15">
      <c r="A4120" s="16"/>
      <c r="B4120" s="16"/>
      <c r="C4120" s="16"/>
      <c r="D4120" s="4" t="s">
        <v>465</v>
      </c>
      <c r="E4120" s="4" t="s">
        <v>106</v>
      </c>
    </row>
    <row r="4121" spans="1:5" hidden="1" x14ac:dyDescent="0.15">
      <c r="A4121" s="1" t="s">
        <v>114</v>
      </c>
      <c r="B4121" s="2">
        <v>378529</v>
      </c>
      <c r="C4121" s="3">
        <v>0.11</v>
      </c>
      <c r="D4121" s="4" t="s">
        <v>465</v>
      </c>
      <c r="E4121" s="4" t="s">
        <v>106</v>
      </c>
    </row>
    <row r="4122" spans="1:5" ht="26" hidden="1" x14ac:dyDescent="0.15">
      <c r="A4122" s="1" t="s">
        <v>187</v>
      </c>
      <c r="B4122" s="2">
        <v>0</v>
      </c>
      <c r="C4122" s="3">
        <v>0</v>
      </c>
      <c r="D4122" s="4" t="s">
        <v>465</v>
      </c>
      <c r="E4122" s="4" t="s">
        <v>106</v>
      </c>
    </row>
    <row r="4123" spans="1:5" hidden="1" x14ac:dyDescent="0.15">
      <c r="A4123" s="4"/>
      <c r="B4123" s="4"/>
      <c r="C4123" s="4"/>
      <c r="D4123" s="4" t="s">
        <v>465</v>
      </c>
      <c r="E4123" s="4" t="s">
        <v>106</v>
      </c>
    </row>
    <row r="4124" spans="1:5" hidden="1" x14ac:dyDescent="0.15">
      <c r="A4124" s="16"/>
      <c r="B4124" s="16"/>
      <c r="C4124" s="16"/>
      <c r="D4124" s="4" t="s">
        <v>465</v>
      </c>
      <c r="E4124" s="4" t="s">
        <v>106</v>
      </c>
    </row>
    <row r="4125" spans="1:5" ht="26" hidden="1" x14ac:dyDescent="0.15">
      <c r="A4125" s="1" t="s">
        <v>466</v>
      </c>
      <c r="B4125" s="2">
        <v>78746</v>
      </c>
      <c r="C4125" s="3">
        <v>2.3E-2</v>
      </c>
      <c r="D4125" s="4" t="s">
        <v>465</v>
      </c>
      <c r="E4125" s="4" t="s">
        <v>106</v>
      </c>
    </row>
    <row r="4126" spans="1:5" ht="26" hidden="1" x14ac:dyDescent="0.15">
      <c r="A4126" s="1" t="s">
        <v>467</v>
      </c>
      <c r="B4126" s="2">
        <v>94106</v>
      </c>
      <c r="C4126" s="3">
        <v>2.7000000000000003E-2</v>
      </c>
      <c r="D4126" s="4" t="s">
        <v>465</v>
      </c>
      <c r="E4126" s="4" t="s">
        <v>106</v>
      </c>
    </row>
    <row r="4127" spans="1:5" ht="26" hidden="1" x14ac:dyDescent="0.15">
      <c r="A4127" s="1" t="s">
        <v>117</v>
      </c>
      <c r="B4127" s="2">
        <v>236765</v>
      </c>
      <c r="C4127" s="3">
        <v>6.9000000000000006E-2</v>
      </c>
      <c r="D4127" s="4" t="s">
        <v>465</v>
      </c>
      <c r="E4127" s="4" t="s">
        <v>106</v>
      </c>
    </row>
    <row r="4128" spans="1:5" hidden="1" x14ac:dyDescent="0.15">
      <c r="A4128" s="1" t="s">
        <v>118</v>
      </c>
      <c r="B4128" s="2">
        <v>478964</v>
      </c>
      <c r="C4128" s="3">
        <v>0.13900000000000001</v>
      </c>
      <c r="D4128" s="4" t="s">
        <v>465</v>
      </c>
      <c r="E4128" s="4" t="s">
        <v>106</v>
      </c>
    </row>
    <row r="4129" spans="1:5" ht="26" hidden="1" x14ac:dyDescent="0.15">
      <c r="A4129" s="1" t="s">
        <v>468</v>
      </c>
      <c r="B4129" s="2">
        <v>118466</v>
      </c>
      <c r="C4129" s="3">
        <v>3.4000000000000002E-2</v>
      </c>
      <c r="D4129" s="4" t="s">
        <v>465</v>
      </c>
      <c r="E4129" s="4" t="s">
        <v>106</v>
      </c>
    </row>
    <row r="4130" spans="1:5" ht="39" hidden="1" x14ac:dyDescent="0.15">
      <c r="A4130" s="1" t="s">
        <v>126</v>
      </c>
      <c r="B4130" s="2">
        <v>196735</v>
      </c>
      <c r="C4130" s="3">
        <v>5.7000000000000002E-2</v>
      </c>
      <c r="D4130" s="4" t="s">
        <v>465</v>
      </c>
      <c r="E4130" s="4" t="s">
        <v>106</v>
      </c>
    </row>
    <row r="4131" spans="1:5" ht="39" hidden="1" x14ac:dyDescent="0.15">
      <c r="A4131" s="1" t="s">
        <v>127</v>
      </c>
      <c r="B4131" s="2">
        <v>372312</v>
      </c>
      <c r="C4131" s="3">
        <v>0.10800000000000001</v>
      </c>
      <c r="D4131" s="4" t="s">
        <v>465</v>
      </c>
      <c r="E4131" s="4" t="s">
        <v>106</v>
      </c>
    </row>
    <row r="4132" spans="1:5" ht="26" hidden="1" x14ac:dyDescent="0.15">
      <c r="A4132" s="1" t="s">
        <v>131</v>
      </c>
      <c r="B4132" s="2">
        <v>776394</v>
      </c>
      <c r="C4132" s="3">
        <v>0.22600000000000001</v>
      </c>
      <c r="D4132" s="4" t="s">
        <v>465</v>
      </c>
      <c r="E4132" s="4" t="s">
        <v>106</v>
      </c>
    </row>
    <row r="4133" spans="1:5" ht="39" hidden="1" x14ac:dyDescent="0.15">
      <c r="A4133" s="1" t="s">
        <v>128</v>
      </c>
      <c r="B4133" s="2">
        <v>415601</v>
      </c>
      <c r="C4133" s="3">
        <v>0.121</v>
      </c>
      <c r="D4133" s="4" t="s">
        <v>465</v>
      </c>
      <c r="E4133" s="4" t="s">
        <v>106</v>
      </c>
    </row>
    <row r="4134" spans="1:5" ht="39" hidden="1" x14ac:dyDescent="0.15">
      <c r="A4134" s="1" t="s">
        <v>133</v>
      </c>
      <c r="B4134" s="2">
        <v>136825</v>
      </c>
      <c r="C4134" s="3">
        <v>0.04</v>
      </c>
      <c r="D4134" s="4" t="s">
        <v>465</v>
      </c>
      <c r="E4134" s="4" t="s">
        <v>106</v>
      </c>
    </row>
    <row r="4135" spans="1:5" hidden="1" x14ac:dyDescent="0.15">
      <c r="A4135" s="1" t="s">
        <v>0</v>
      </c>
      <c r="B4135" s="2">
        <v>1338282</v>
      </c>
      <c r="C4135" s="3">
        <v>1</v>
      </c>
      <c r="D4135" s="4" t="s">
        <v>469</v>
      </c>
      <c r="E4135" s="4" t="s">
        <v>418</v>
      </c>
    </row>
    <row r="4136" spans="1:5" ht="26" hidden="1" x14ac:dyDescent="0.15">
      <c r="A4136" s="1" t="s">
        <v>3</v>
      </c>
      <c r="B4136" s="2">
        <v>30498</v>
      </c>
      <c r="C4136" s="3">
        <v>2.3E-2</v>
      </c>
      <c r="D4136" s="4" t="s">
        <v>469</v>
      </c>
      <c r="E4136" s="4" t="s">
        <v>418</v>
      </c>
    </row>
    <row r="4137" spans="1:5" hidden="1" x14ac:dyDescent="0.15">
      <c r="A4137" s="1" t="s">
        <v>4</v>
      </c>
      <c r="B4137" s="2">
        <v>18554</v>
      </c>
      <c r="C4137" s="3">
        <v>1.3999999999999999E-2</v>
      </c>
      <c r="D4137" s="4" t="s">
        <v>469</v>
      </c>
      <c r="E4137" s="4" t="s">
        <v>418</v>
      </c>
    </row>
    <row r="4138" spans="1:5" ht="26" hidden="1" x14ac:dyDescent="0.15">
      <c r="A4138" s="1" t="s">
        <v>5</v>
      </c>
      <c r="B4138" s="2">
        <v>87968</v>
      </c>
      <c r="C4138" s="3">
        <v>6.6000000000000003E-2</v>
      </c>
      <c r="D4138" s="4" t="s">
        <v>469</v>
      </c>
      <c r="E4138" s="4" t="s">
        <v>418</v>
      </c>
    </row>
    <row r="4139" spans="1:5" ht="26" hidden="1" x14ac:dyDescent="0.15">
      <c r="A4139" s="1" t="s">
        <v>6</v>
      </c>
      <c r="B4139" s="2">
        <v>318077</v>
      </c>
      <c r="C4139" s="3">
        <v>0.23800000000000002</v>
      </c>
      <c r="D4139" s="4" t="s">
        <v>469</v>
      </c>
      <c r="E4139" s="4" t="s">
        <v>418</v>
      </c>
    </row>
    <row r="4140" spans="1:5" ht="26" hidden="1" x14ac:dyDescent="0.15">
      <c r="A4140" s="1" t="s">
        <v>7</v>
      </c>
      <c r="B4140" s="2">
        <v>367913</v>
      </c>
      <c r="C4140" s="3">
        <v>0.27500000000000002</v>
      </c>
      <c r="D4140" s="4" t="s">
        <v>469</v>
      </c>
      <c r="E4140" s="4" t="s">
        <v>418</v>
      </c>
    </row>
    <row r="4141" spans="1:5" ht="26" hidden="1" x14ac:dyDescent="0.15">
      <c r="A4141" s="1" t="s">
        <v>8</v>
      </c>
      <c r="B4141" s="2">
        <v>6765</v>
      </c>
      <c r="C4141" s="3">
        <v>5.0000000000000001E-3</v>
      </c>
      <c r="D4141" s="4" t="s">
        <v>469</v>
      </c>
      <c r="E4141" s="4" t="s">
        <v>418</v>
      </c>
    </row>
    <row r="4142" spans="1:5" ht="26" hidden="1" x14ac:dyDescent="0.15">
      <c r="A4142" s="1" t="s">
        <v>9</v>
      </c>
      <c r="B4142" s="2">
        <v>11626</v>
      </c>
      <c r="C4142" s="3">
        <v>9.0000000000000011E-3</v>
      </c>
      <c r="D4142" s="4" t="s">
        <v>469</v>
      </c>
      <c r="E4142" s="4" t="s">
        <v>418</v>
      </c>
    </row>
    <row r="4143" spans="1:5" ht="26" hidden="1" x14ac:dyDescent="0.15">
      <c r="A4143" s="1" t="s">
        <v>10</v>
      </c>
      <c r="B4143" s="2">
        <v>43994</v>
      </c>
      <c r="C4143" s="3">
        <v>3.3000000000000002E-2</v>
      </c>
      <c r="D4143" s="4" t="s">
        <v>469</v>
      </c>
      <c r="E4143" s="4" t="s">
        <v>418</v>
      </c>
    </row>
    <row r="4144" spans="1:5" ht="26" hidden="1" x14ac:dyDescent="0.15">
      <c r="A4144" s="1" t="s">
        <v>11</v>
      </c>
      <c r="B4144" s="2">
        <v>73546</v>
      </c>
      <c r="C4144" s="3">
        <v>5.5E-2</v>
      </c>
      <c r="D4144" s="4" t="s">
        <v>469</v>
      </c>
      <c r="E4144" s="4" t="s">
        <v>418</v>
      </c>
    </row>
    <row r="4145" spans="1:5" ht="26" hidden="1" x14ac:dyDescent="0.15">
      <c r="A4145" s="1" t="s">
        <v>12</v>
      </c>
      <c r="B4145" s="2">
        <v>24064</v>
      </c>
      <c r="C4145" s="3">
        <v>1.8000000000000002E-2</v>
      </c>
      <c r="D4145" s="4" t="s">
        <v>469</v>
      </c>
      <c r="E4145" s="4" t="s">
        <v>418</v>
      </c>
    </row>
    <row r="4146" spans="1:5" ht="26" hidden="1" x14ac:dyDescent="0.15">
      <c r="A4146" s="1" t="s">
        <v>13</v>
      </c>
      <c r="B4146" s="2">
        <v>20814</v>
      </c>
      <c r="C4146" s="3">
        <v>1.6E-2</v>
      </c>
      <c r="D4146" s="4" t="s">
        <v>469</v>
      </c>
      <c r="E4146" s="4" t="s">
        <v>418</v>
      </c>
    </row>
    <row r="4147" spans="1:5" hidden="1" x14ac:dyDescent="0.15">
      <c r="A4147" s="1" t="s">
        <v>14</v>
      </c>
      <c r="B4147" s="2">
        <v>95799</v>
      </c>
      <c r="C4147" s="3">
        <v>7.2000000000000008E-2</v>
      </c>
      <c r="D4147" s="4" t="s">
        <v>469</v>
      </c>
      <c r="E4147" s="4" t="s">
        <v>418</v>
      </c>
    </row>
    <row r="4148" spans="1:5" ht="26" hidden="1" x14ac:dyDescent="0.15">
      <c r="A4148" s="1" t="s">
        <v>15</v>
      </c>
      <c r="B4148" s="2">
        <v>116641</v>
      </c>
      <c r="C4148" s="3">
        <v>8.6999999999999994E-2</v>
      </c>
      <c r="D4148" s="4" t="s">
        <v>469</v>
      </c>
      <c r="E4148" s="4" t="s">
        <v>418</v>
      </c>
    </row>
    <row r="4149" spans="1:5" ht="26" hidden="1" x14ac:dyDescent="0.15">
      <c r="A4149" s="1" t="s">
        <v>16</v>
      </c>
      <c r="B4149" s="2">
        <v>62998</v>
      </c>
      <c r="C4149" s="3">
        <v>4.7E-2</v>
      </c>
      <c r="D4149" s="4" t="s">
        <v>469</v>
      </c>
      <c r="E4149" s="4" t="s">
        <v>418</v>
      </c>
    </row>
    <row r="4150" spans="1:5" ht="26" hidden="1" x14ac:dyDescent="0.15">
      <c r="A4150" s="1" t="s">
        <v>17</v>
      </c>
      <c r="B4150" s="2">
        <v>35083</v>
      </c>
      <c r="C4150" s="3">
        <v>2.6000000000000002E-2</v>
      </c>
      <c r="D4150" s="4" t="s">
        <v>469</v>
      </c>
      <c r="E4150" s="4" t="s">
        <v>418</v>
      </c>
    </row>
    <row r="4151" spans="1:5" hidden="1" x14ac:dyDescent="0.15">
      <c r="A4151" s="1" t="s">
        <v>18</v>
      </c>
      <c r="B4151" s="2">
        <v>12300</v>
      </c>
      <c r="C4151" s="3">
        <v>9.0000000000000011E-3</v>
      </c>
      <c r="D4151" s="4" t="s">
        <v>469</v>
      </c>
      <c r="E4151" s="4" t="s">
        <v>418</v>
      </c>
    </row>
    <row r="4152" spans="1:5" hidden="1" x14ac:dyDescent="0.15">
      <c r="A4152" s="1" t="s">
        <v>19</v>
      </c>
      <c r="B4152" s="2">
        <v>146488</v>
      </c>
      <c r="C4152" s="3">
        <v>0.109</v>
      </c>
      <c r="D4152" s="4" t="s">
        <v>469</v>
      </c>
      <c r="E4152" s="4" t="s">
        <v>418</v>
      </c>
    </row>
    <row r="4153" spans="1:5" hidden="1" x14ac:dyDescent="0.15">
      <c r="A4153" s="1" t="s">
        <v>20</v>
      </c>
      <c r="B4153" s="2">
        <v>13605</v>
      </c>
      <c r="C4153" s="3">
        <v>0.01</v>
      </c>
      <c r="D4153" s="4" t="s">
        <v>469</v>
      </c>
      <c r="E4153" s="4" t="s">
        <v>418</v>
      </c>
    </row>
    <row r="4154" spans="1:5" ht="26" hidden="1" x14ac:dyDescent="0.15">
      <c r="A4154" s="1" t="s">
        <v>21</v>
      </c>
      <c r="B4154" s="2">
        <v>32747</v>
      </c>
      <c r="C4154" s="3">
        <v>2.4E-2</v>
      </c>
      <c r="D4154" s="4" t="s">
        <v>469</v>
      </c>
      <c r="E4154" s="4" t="s">
        <v>418</v>
      </c>
    </row>
    <row r="4155" spans="1:5" ht="26" hidden="1" x14ac:dyDescent="0.15">
      <c r="A4155" s="1" t="s">
        <v>22</v>
      </c>
      <c r="B4155" s="2">
        <v>11625</v>
      </c>
      <c r="C4155" s="3">
        <v>9.0000000000000011E-3</v>
      </c>
      <c r="D4155" s="4" t="s">
        <v>469</v>
      </c>
      <c r="E4155" s="4" t="s">
        <v>418</v>
      </c>
    </row>
    <row r="4156" spans="1:5" ht="26" hidden="1" x14ac:dyDescent="0.15">
      <c r="A4156" s="1" t="s">
        <v>23</v>
      </c>
      <c r="B4156" s="2">
        <v>26028</v>
      </c>
      <c r="C4156" s="3">
        <v>1.9E-2</v>
      </c>
      <c r="D4156" s="4" t="s">
        <v>469</v>
      </c>
      <c r="E4156" s="4" t="s">
        <v>418</v>
      </c>
    </row>
    <row r="4157" spans="1:5" ht="26" hidden="1" x14ac:dyDescent="0.15">
      <c r="A4157" s="1" t="s">
        <v>24</v>
      </c>
      <c r="B4157" s="2">
        <v>7903</v>
      </c>
      <c r="C4157" s="3">
        <v>6.0000000000000001E-3</v>
      </c>
      <c r="D4157" s="4" t="s">
        <v>469</v>
      </c>
      <c r="E4157" s="4" t="s">
        <v>418</v>
      </c>
    </row>
    <row r="4158" spans="1:5" ht="26" hidden="1" x14ac:dyDescent="0.15">
      <c r="A4158" s="1" t="s">
        <v>25</v>
      </c>
      <c r="B4158" s="2">
        <v>59880</v>
      </c>
      <c r="C4158" s="3">
        <v>4.4999999999999998E-2</v>
      </c>
      <c r="D4158" s="4" t="s">
        <v>469</v>
      </c>
      <c r="E4158" s="4" t="s">
        <v>418</v>
      </c>
    </row>
    <row r="4159" spans="1:5" hidden="1" x14ac:dyDescent="0.15">
      <c r="A4159" s="1" t="s">
        <v>26</v>
      </c>
      <c r="B4159" s="2">
        <v>26039</v>
      </c>
      <c r="C4159" s="3">
        <v>1.9E-2</v>
      </c>
      <c r="D4159" s="4" t="s">
        <v>469</v>
      </c>
      <c r="E4159" s="4" t="s">
        <v>418</v>
      </c>
    </row>
    <row r="4160" spans="1:5" hidden="1" x14ac:dyDescent="0.15">
      <c r="A4160" s="1" t="s">
        <v>27</v>
      </c>
      <c r="B4160" s="2">
        <v>111744</v>
      </c>
      <c r="C4160" s="3">
        <v>8.3000000000000004E-2</v>
      </c>
      <c r="D4160" s="4" t="s">
        <v>469</v>
      </c>
      <c r="E4160" s="4" t="s">
        <v>418</v>
      </c>
    </row>
    <row r="4161" spans="1:5" hidden="1" x14ac:dyDescent="0.15">
      <c r="A4161" s="1" t="s">
        <v>28</v>
      </c>
      <c r="B4161" s="2">
        <v>266901</v>
      </c>
      <c r="C4161" s="3">
        <v>0.19899999999999998</v>
      </c>
      <c r="D4161" s="4" t="s">
        <v>469</v>
      </c>
      <c r="E4161" s="4" t="s">
        <v>418</v>
      </c>
    </row>
    <row r="4162" spans="1:5" hidden="1" x14ac:dyDescent="0.15">
      <c r="A4162" s="1" t="s">
        <v>29</v>
      </c>
      <c r="B4162" s="2">
        <v>382720</v>
      </c>
      <c r="C4162" s="3">
        <v>0.28600000000000003</v>
      </c>
      <c r="D4162" s="4" t="s">
        <v>469</v>
      </c>
      <c r="E4162" s="4" t="s">
        <v>418</v>
      </c>
    </row>
    <row r="4163" spans="1:5" hidden="1" x14ac:dyDescent="0.15">
      <c r="A4163" s="1" t="s">
        <v>30</v>
      </c>
      <c r="B4163" s="2">
        <v>27565</v>
      </c>
      <c r="C4163" s="3">
        <v>2.1000000000000001E-2</v>
      </c>
      <c r="D4163" s="4" t="s">
        <v>469</v>
      </c>
      <c r="E4163" s="4" t="s">
        <v>418</v>
      </c>
    </row>
    <row r="4164" spans="1:5" ht="39" hidden="1" x14ac:dyDescent="0.15">
      <c r="A4164" s="1" t="s">
        <v>31</v>
      </c>
      <c r="B4164" s="2">
        <v>31891</v>
      </c>
      <c r="C4164" s="3">
        <v>2.4E-2</v>
      </c>
      <c r="D4164" s="4" t="s">
        <v>469</v>
      </c>
      <c r="E4164" s="4" t="s">
        <v>418</v>
      </c>
    </row>
    <row r="4165" spans="1:5" hidden="1" x14ac:dyDescent="0.15">
      <c r="A4165" s="1" t="s">
        <v>32</v>
      </c>
      <c r="B4165" s="2">
        <v>51959</v>
      </c>
      <c r="C4165" s="3">
        <v>3.9E-2</v>
      </c>
      <c r="D4165" s="4" t="s">
        <v>469</v>
      </c>
      <c r="E4165" s="4" t="s">
        <v>418</v>
      </c>
    </row>
    <row r="4166" spans="1:5" hidden="1" x14ac:dyDescent="0.15">
      <c r="A4166" s="1" t="s">
        <v>33</v>
      </c>
      <c r="B4166" s="2">
        <v>305178</v>
      </c>
      <c r="C4166" s="3">
        <v>0.22800000000000001</v>
      </c>
      <c r="D4166" s="4" t="s">
        <v>469</v>
      </c>
      <c r="E4166" s="4" t="s">
        <v>418</v>
      </c>
    </row>
    <row r="4167" spans="1:5" hidden="1" x14ac:dyDescent="0.15">
      <c r="A4167" s="1" t="s">
        <v>34</v>
      </c>
      <c r="B4167" s="2">
        <v>71895</v>
      </c>
      <c r="C4167" s="3">
        <v>5.4000000000000006E-2</v>
      </c>
      <c r="D4167" s="4" t="s">
        <v>469</v>
      </c>
      <c r="E4167" s="4" t="s">
        <v>418</v>
      </c>
    </row>
    <row r="4168" spans="1:5" hidden="1" x14ac:dyDescent="0.15">
      <c r="A4168" s="1" t="s">
        <v>35</v>
      </c>
      <c r="B4168" s="2">
        <v>125748</v>
      </c>
      <c r="C4168" s="3">
        <v>9.4E-2</v>
      </c>
      <c r="D4168" s="4" t="s">
        <v>469</v>
      </c>
      <c r="E4168" s="4" t="s">
        <v>418</v>
      </c>
    </row>
    <row r="4169" spans="1:5" ht="26" hidden="1" x14ac:dyDescent="0.15">
      <c r="A4169" s="1" t="s">
        <v>36</v>
      </c>
      <c r="B4169" s="2">
        <v>54969</v>
      </c>
      <c r="C4169" s="3">
        <v>4.0999999999999995E-2</v>
      </c>
      <c r="D4169" s="4" t="s">
        <v>469</v>
      </c>
      <c r="E4169" s="4" t="s">
        <v>418</v>
      </c>
    </row>
    <row r="4170" spans="1:5" hidden="1" x14ac:dyDescent="0.15">
      <c r="A4170" s="1" t="s">
        <v>37</v>
      </c>
      <c r="B4170" s="2">
        <v>48793</v>
      </c>
      <c r="C4170" s="3">
        <v>3.6000000000000004E-2</v>
      </c>
      <c r="D4170" s="4" t="s">
        <v>469</v>
      </c>
      <c r="E4170" s="4" t="s">
        <v>418</v>
      </c>
    </row>
    <row r="4171" spans="1:5" ht="39" hidden="1" x14ac:dyDescent="0.15">
      <c r="A4171" s="1" t="s">
        <v>38</v>
      </c>
      <c r="B4171" s="2">
        <v>39750</v>
      </c>
      <c r="C4171" s="3">
        <v>0.03</v>
      </c>
      <c r="D4171" s="4" t="s">
        <v>469</v>
      </c>
      <c r="E4171" s="4" t="s">
        <v>418</v>
      </c>
    </row>
    <row r="4172" spans="1:5" hidden="1" x14ac:dyDescent="0.15">
      <c r="A4172" s="1" t="s">
        <v>39</v>
      </c>
      <c r="B4172" s="2">
        <v>113642</v>
      </c>
      <c r="C4172" s="3">
        <v>8.5000000000000006E-2</v>
      </c>
      <c r="D4172" s="4" t="s">
        <v>469</v>
      </c>
      <c r="E4172" s="4" t="s">
        <v>418</v>
      </c>
    </row>
    <row r="4173" spans="1:5" hidden="1" x14ac:dyDescent="0.15">
      <c r="A4173" s="1" t="s">
        <v>40</v>
      </c>
      <c r="B4173" s="2">
        <v>46724</v>
      </c>
      <c r="C4173" s="3">
        <v>3.5000000000000003E-2</v>
      </c>
      <c r="D4173" s="4" t="s">
        <v>469</v>
      </c>
      <c r="E4173" s="4" t="s">
        <v>418</v>
      </c>
    </row>
    <row r="4174" spans="1:5" hidden="1" x14ac:dyDescent="0.15">
      <c r="A4174" s="1" t="s">
        <v>41</v>
      </c>
      <c r="B4174" s="2">
        <v>36144</v>
      </c>
      <c r="C4174" s="3">
        <v>2.7000000000000003E-2</v>
      </c>
      <c r="D4174" s="4" t="s">
        <v>469</v>
      </c>
      <c r="E4174" s="4" t="s">
        <v>418</v>
      </c>
    </row>
    <row r="4175" spans="1:5" hidden="1" x14ac:dyDescent="0.15">
      <c r="A4175" s="1" t="s">
        <v>42</v>
      </c>
      <c r="B4175" s="2">
        <v>124345</v>
      </c>
      <c r="C4175" s="3">
        <v>9.3000000000000013E-2</v>
      </c>
      <c r="D4175" s="4" t="s">
        <v>469</v>
      </c>
      <c r="E4175" s="4" t="s">
        <v>418</v>
      </c>
    </row>
    <row r="4176" spans="1:5" hidden="1" x14ac:dyDescent="0.15">
      <c r="A4176" s="1" t="s">
        <v>43</v>
      </c>
      <c r="B4176" s="2">
        <v>160986</v>
      </c>
      <c r="C4176" s="3">
        <v>0.12</v>
      </c>
      <c r="D4176" s="4" t="s">
        <v>469</v>
      </c>
      <c r="E4176" s="4" t="s">
        <v>418</v>
      </c>
    </row>
    <row r="4177" spans="1:5" ht="26" hidden="1" x14ac:dyDescent="0.15">
      <c r="A4177" s="1" t="s">
        <v>44</v>
      </c>
      <c r="B4177" s="2">
        <v>182207</v>
      </c>
      <c r="C4177" s="3">
        <v>0.13600000000000001</v>
      </c>
      <c r="D4177" s="4" t="s">
        <v>469</v>
      </c>
      <c r="E4177" s="4" t="s">
        <v>418</v>
      </c>
    </row>
    <row r="4178" spans="1:5" hidden="1" x14ac:dyDescent="0.15">
      <c r="A4178" s="1" t="s">
        <v>45</v>
      </c>
      <c r="B4178" s="2">
        <v>375814</v>
      </c>
      <c r="C4178" s="3">
        <v>0.28100000000000003</v>
      </c>
      <c r="D4178" s="4" t="s">
        <v>469</v>
      </c>
      <c r="E4178" s="4" t="s">
        <v>418</v>
      </c>
    </row>
    <row r="4179" spans="1:5" ht="26" hidden="1" x14ac:dyDescent="0.15">
      <c r="A4179" s="1" t="s">
        <v>46</v>
      </c>
      <c r="B4179" s="2">
        <v>687863</v>
      </c>
      <c r="C4179" s="3">
        <v>0.51400000000000001</v>
      </c>
      <c r="D4179" s="4" t="s">
        <v>469</v>
      </c>
      <c r="E4179" s="4" t="s">
        <v>418</v>
      </c>
    </row>
    <row r="4180" spans="1:5" hidden="1" x14ac:dyDescent="0.15">
      <c r="A4180" s="1" t="s">
        <v>47</v>
      </c>
      <c r="B4180" s="2">
        <v>719159</v>
      </c>
      <c r="C4180" s="3">
        <v>0.53700000000000003</v>
      </c>
      <c r="D4180" s="4" t="s">
        <v>469</v>
      </c>
      <c r="E4180" s="4" t="s">
        <v>418</v>
      </c>
    </row>
    <row r="4181" spans="1:5" hidden="1" x14ac:dyDescent="0.15">
      <c r="A4181" s="1" t="s">
        <v>48</v>
      </c>
      <c r="B4181" s="2">
        <v>92434</v>
      </c>
      <c r="C4181" s="3">
        <v>6.9000000000000006E-2</v>
      </c>
      <c r="D4181" s="4" t="s">
        <v>469</v>
      </c>
      <c r="E4181" s="4" t="s">
        <v>418</v>
      </c>
    </row>
    <row r="4182" spans="1:5" hidden="1" x14ac:dyDescent="0.15">
      <c r="A4182" s="1" t="s">
        <v>49</v>
      </c>
      <c r="B4182" s="2">
        <v>107967</v>
      </c>
      <c r="C4182" s="3">
        <v>8.1000000000000003E-2</v>
      </c>
      <c r="D4182" s="4" t="s">
        <v>469</v>
      </c>
      <c r="E4182" s="4" t="s">
        <v>418</v>
      </c>
    </row>
    <row r="4183" spans="1:5" ht="26" hidden="1" x14ac:dyDescent="0.15">
      <c r="A4183" s="1" t="s">
        <v>50</v>
      </c>
      <c r="B4183" s="2">
        <v>231350</v>
      </c>
      <c r="C4183" s="3">
        <v>0.17300000000000001</v>
      </c>
      <c r="D4183" s="4" t="s">
        <v>469</v>
      </c>
      <c r="E4183" s="4" t="s">
        <v>418</v>
      </c>
    </row>
    <row r="4184" spans="1:5" hidden="1" x14ac:dyDescent="0.15">
      <c r="A4184" s="1" t="s">
        <v>51</v>
      </c>
      <c r="B4184" s="2">
        <v>381171</v>
      </c>
      <c r="C4184" s="3">
        <v>0.28499999999999998</v>
      </c>
      <c r="D4184" s="4" t="s">
        <v>469</v>
      </c>
      <c r="E4184" s="4" t="s">
        <v>418</v>
      </c>
    </row>
    <row r="4185" spans="1:5" hidden="1" x14ac:dyDescent="0.15">
      <c r="A4185" s="1" t="s">
        <v>52</v>
      </c>
      <c r="B4185" s="2">
        <v>174385</v>
      </c>
      <c r="C4185" s="3">
        <v>0.13</v>
      </c>
      <c r="D4185" s="4" t="s">
        <v>469</v>
      </c>
      <c r="E4185" s="4" t="s">
        <v>418</v>
      </c>
    </row>
    <row r="4186" spans="1:5" ht="26" hidden="1" x14ac:dyDescent="0.15">
      <c r="A4186" s="1" t="s">
        <v>53</v>
      </c>
      <c r="B4186" s="2">
        <v>132336</v>
      </c>
      <c r="C4186" s="3">
        <v>9.9000000000000005E-2</v>
      </c>
      <c r="D4186" s="4" t="s">
        <v>469</v>
      </c>
      <c r="E4186" s="4" t="s">
        <v>418</v>
      </c>
    </row>
    <row r="4187" spans="1:5" hidden="1" x14ac:dyDescent="0.15">
      <c r="A4187" s="1" t="s">
        <v>54</v>
      </c>
      <c r="B4187" s="2">
        <v>480852</v>
      </c>
      <c r="C4187" s="3">
        <v>0.35899999999999999</v>
      </c>
      <c r="D4187" s="4" t="s">
        <v>469</v>
      </c>
      <c r="E4187" s="4" t="s">
        <v>418</v>
      </c>
    </row>
    <row r="4188" spans="1:5" ht="26" hidden="1" x14ac:dyDescent="0.15">
      <c r="A4188" s="1" t="s">
        <v>55</v>
      </c>
      <c r="B4188" s="2">
        <v>473367</v>
      </c>
      <c r="C4188" s="3">
        <v>0.35399999999999998</v>
      </c>
      <c r="D4188" s="4" t="s">
        <v>469</v>
      </c>
      <c r="E4188" s="4" t="s">
        <v>418</v>
      </c>
    </row>
    <row r="4189" spans="1:5" hidden="1" x14ac:dyDescent="0.15">
      <c r="A4189" s="1" t="s">
        <v>56</v>
      </c>
      <c r="B4189" s="2">
        <v>377236</v>
      </c>
      <c r="C4189" s="3">
        <v>0.28199999999999997</v>
      </c>
      <c r="D4189" s="4" t="s">
        <v>469</v>
      </c>
      <c r="E4189" s="4" t="s">
        <v>418</v>
      </c>
    </row>
    <row r="4190" spans="1:5" hidden="1" x14ac:dyDescent="0.15">
      <c r="A4190" s="1" t="s">
        <v>57</v>
      </c>
      <c r="B4190" s="2">
        <v>203728</v>
      </c>
      <c r="C4190" s="3">
        <v>0.152</v>
      </c>
      <c r="D4190" s="4" t="s">
        <v>469</v>
      </c>
      <c r="E4190" s="4" t="s">
        <v>418</v>
      </c>
    </row>
    <row r="4191" spans="1:5" hidden="1" x14ac:dyDescent="0.15">
      <c r="A4191" s="1" t="s">
        <v>58</v>
      </c>
      <c r="B4191" s="2">
        <v>140831</v>
      </c>
      <c r="C4191" s="3">
        <v>0.105</v>
      </c>
      <c r="D4191" s="4" t="s">
        <v>469</v>
      </c>
      <c r="E4191" s="4" t="s">
        <v>418</v>
      </c>
    </row>
    <row r="4192" spans="1:5" hidden="1" x14ac:dyDescent="0.15">
      <c r="A4192" s="1" t="s">
        <v>59</v>
      </c>
      <c r="B4192" s="2">
        <v>556631</v>
      </c>
      <c r="C4192" s="3">
        <v>0.41600000000000004</v>
      </c>
      <c r="D4192" s="4" t="s">
        <v>469</v>
      </c>
      <c r="E4192" s="4" t="s">
        <v>418</v>
      </c>
    </row>
    <row r="4193" spans="1:5" hidden="1" x14ac:dyDescent="0.15">
      <c r="A4193" s="1" t="s">
        <v>60</v>
      </c>
      <c r="B4193" s="2">
        <v>160271</v>
      </c>
      <c r="C4193" s="3">
        <v>0.12</v>
      </c>
      <c r="D4193" s="4" t="s">
        <v>469</v>
      </c>
      <c r="E4193" s="4" t="s">
        <v>418</v>
      </c>
    </row>
    <row r="4194" spans="1:5" ht="26" hidden="1" x14ac:dyDescent="0.15">
      <c r="A4194" s="1" t="s">
        <v>61</v>
      </c>
      <c r="B4194" s="2">
        <v>255305</v>
      </c>
      <c r="C4194" s="3">
        <v>0.191</v>
      </c>
      <c r="D4194" s="4" t="s">
        <v>469</v>
      </c>
      <c r="E4194" s="4" t="s">
        <v>418</v>
      </c>
    </row>
    <row r="4195" spans="1:5" hidden="1" x14ac:dyDescent="0.15">
      <c r="A4195" s="1" t="s">
        <v>62</v>
      </c>
      <c r="B4195" s="2">
        <v>76143</v>
      </c>
      <c r="C4195" s="3">
        <v>5.7000000000000002E-2</v>
      </c>
      <c r="D4195" s="4" t="s">
        <v>469</v>
      </c>
      <c r="E4195" s="4" t="s">
        <v>418</v>
      </c>
    </row>
    <row r="4196" spans="1:5" ht="26" hidden="1" x14ac:dyDescent="0.15">
      <c r="A4196" s="1" t="s">
        <v>63</v>
      </c>
      <c r="B4196" s="2">
        <v>266161</v>
      </c>
      <c r="C4196" s="3">
        <v>0.19899999999999998</v>
      </c>
      <c r="D4196" s="4" t="s">
        <v>469</v>
      </c>
      <c r="E4196" s="4" t="s">
        <v>418</v>
      </c>
    </row>
    <row r="4197" spans="1:5" ht="26" hidden="1" x14ac:dyDescent="0.15">
      <c r="A4197" s="1" t="s">
        <v>64</v>
      </c>
      <c r="B4197" s="2">
        <v>59358</v>
      </c>
      <c r="C4197" s="3">
        <v>4.4000000000000004E-2</v>
      </c>
      <c r="D4197" s="4" t="s">
        <v>469</v>
      </c>
      <c r="E4197" s="4" t="s">
        <v>418</v>
      </c>
    </row>
    <row r="4198" spans="1:5" hidden="1" x14ac:dyDescent="0.15">
      <c r="A4198" s="1" t="s">
        <v>65</v>
      </c>
      <c r="B4198" s="2">
        <v>246876</v>
      </c>
      <c r="C4198" s="3">
        <v>0.184</v>
      </c>
      <c r="D4198" s="4" t="s">
        <v>469</v>
      </c>
      <c r="E4198" s="4" t="s">
        <v>418</v>
      </c>
    </row>
    <row r="4199" spans="1:5" hidden="1" x14ac:dyDescent="0.15">
      <c r="A4199" s="1" t="s">
        <v>66</v>
      </c>
      <c r="B4199" s="2">
        <v>139873</v>
      </c>
      <c r="C4199" s="3">
        <v>0.105</v>
      </c>
      <c r="D4199" s="4" t="s">
        <v>469</v>
      </c>
      <c r="E4199" s="4" t="s">
        <v>418</v>
      </c>
    </row>
    <row r="4200" spans="1:5" hidden="1" x14ac:dyDescent="0.15">
      <c r="A4200" s="1" t="s">
        <v>67</v>
      </c>
      <c r="B4200" s="2">
        <v>381762</v>
      </c>
      <c r="C4200" s="3">
        <v>0.28499999999999998</v>
      </c>
      <c r="D4200" s="4" t="s">
        <v>469</v>
      </c>
      <c r="E4200" s="4" t="s">
        <v>418</v>
      </c>
    </row>
    <row r="4201" spans="1:5" hidden="1" x14ac:dyDescent="0.15">
      <c r="A4201" s="1" t="s">
        <v>68</v>
      </c>
      <c r="B4201" s="2">
        <v>630951</v>
      </c>
      <c r="C4201" s="3">
        <v>0.47100000000000003</v>
      </c>
      <c r="D4201" s="4" t="s">
        <v>469</v>
      </c>
      <c r="E4201" s="4" t="s">
        <v>418</v>
      </c>
    </row>
    <row r="4202" spans="1:5" hidden="1" x14ac:dyDescent="0.15">
      <c r="A4202" s="1" t="s">
        <v>69</v>
      </c>
      <c r="B4202" s="2">
        <v>832945</v>
      </c>
      <c r="C4202" s="3">
        <v>0.622</v>
      </c>
      <c r="D4202" s="4" t="s">
        <v>469</v>
      </c>
      <c r="E4202" s="4" t="s">
        <v>418</v>
      </c>
    </row>
    <row r="4203" spans="1:5" hidden="1" x14ac:dyDescent="0.15">
      <c r="A4203" s="1" t="s">
        <v>70</v>
      </c>
      <c r="B4203" s="2">
        <v>173414</v>
      </c>
      <c r="C4203" s="3">
        <v>0.13</v>
      </c>
      <c r="D4203" s="4" t="s">
        <v>469</v>
      </c>
      <c r="E4203" s="4" t="s">
        <v>418</v>
      </c>
    </row>
    <row r="4204" spans="1:5" ht="26" hidden="1" x14ac:dyDescent="0.15">
      <c r="A4204" s="1" t="s">
        <v>71</v>
      </c>
      <c r="B4204" s="2">
        <v>175627</v>
      </c>
      <c r="C4204" s="3">
        <v>0.13100000000000001</v>
      </c>
      <c r="D4204" s="4" t="s">
        <v>469</v>
      </c>
      <c r="E4204" s="4" t="s">
        <v>418</v>
      </c>
    </row>
    <row r="4205" spans="1:5" hidden="1" x14ac:dyDescent="0.15">
      <c r="A4205" s="1" t="s">
        <v>72</v>
      </c>
      <c r="B4205" s="2">
        <v>236060</v>
      </c>
      <c r="C4205" s="3">
        <v>0.17600000000000002</v>
      </c>
      <c r="D4205" s="4" t="s">
        <v>469</v>
      </c>
      <c r="E4205" s="4" t="s">
        <v>418</v>
      </c>
    </row>
    <row r="4206" spans="1:5" hidden="1" x14ac:dyDescent="0.15">
      <c r="A4206" s="1" t="s">
        <v>73</v>
      </c>
      <c r="B4206" s="2">
        <v>726393</v>
      </c>
      <c r="C4206" s="3">
        <v>0.54299999999999993</v>
      </c>
      <c r="D4206" s="4" t="s">
        <v>469</v>
      </c>
      <c r="E4206" s="4" t="s">
        <v>418</v>
      </c>
    </row>
    <row r="4207" spans="1:5" hidden="1" x14ac:dyDescent="0.15">
      <c r="A4207" s="1" t="s">
        <v>74</v>
      </c>
      <c r="B4207" s="2">
        <v>348652</v>
      </c>
      <c r="C4207" s="3">
        <v>0.26100000000000001</v>
      </c>
      <c r="D4207" s="4" t="s">
        <v>469</v>
      </c>
      <c r="E4207" s="4" t="s">
        <v>418</v>
      </c>
    </row>
    <row r="4208" spans="1:5" hidden="1" x14ac:dyDescent="0.15">
      <c r="A4208" s="1" t="s">
        <v>75</v>
      </c>
      <c r="B4208" s="2">
        <v>386070</v>
      </c>
      <c r="C4208" s="3">
        <v>0.28800000000000003</v>
      </c>
      <c r="D4208" s="4" t="s">
        <v>469</v>
      </c>
      <c r="E4208" s="4" t="s">
        <v>418</v>
      </c>
    </row>
    <row r="4209" spans="1:5" hidden="1" x14ac:dyDescent="0.15">
      <c r="A4209" s="1" t="s">
        <v>76</v>
      </c>
      <c r="B4209" s="2">
        <v>267330</v>
      </c>
      <c r="C4209" s="3">
        <v>0.2</v>
      </c>
      <c r="D4209" s="4" t="s">
        <v>469</v>
      </c>
      <c r="E4209" s="4" t="s">
        <v>418</v>
      </c>
    </row>
    <row r="4210" spans="1:5" hidden="1" x14ac:dyDescent="0.15">
      <c r="A4210" s="1" t="s">
        <v>77</v>
      </c>
      <c r="B4210" s="2">
        <v>219907</v>
      </c>
      <c r="C4210" s="3">
        <v>0.16399999999999998</v>
      </c>
      <c r="D4210" s="4" t="s">
        <v>469</v>
      </c>
      <c r="E4210" s="4" t="s">
        <v>418</v>
      </c>
    </row>
    <row r="4211" spans="1:5" ht="26" hidden="1" x14ac:dyDescent="0.15">
      <c r="A4211" s="1" t="s">
        <v>78</v>
      </c>
      <c r="B4211" s="2">
        <v>177616</v>
      </c>
      <c r="C4211" s="3">
        <v>0.13300000000000001</v>
      </c>
      <c r="D4211" s="4" t="s">
        <v>469</v>
      </c>
      <c r="E4211" s="4" t="s">
        <v>418</v>
      </c>
    </row>
    <row r="4212" spans="1:5" hidden="1" x14ac:dyDescent="0.15">
      <c r="A4212" s="1" t="s">
        <v>79</v>
      </c>
      <c r="B4212" s="2">
        <v>304011</v>
      </c>
      <c r="C4212" s="3">
        <v>0.22699999999999998</v>
      </c>
      <c r="D4212" s="4" t="s">
        <v>469</v>
      </c>
      <c r="E4212" s="4" t="s">
        <v>418</v>
      </c>
    </row>
    <row r="4213" spans="1:5" hidden="1" x14ac:dyDescent="0.15">
      <c r="A4213" s="1" t="s">
        <v>80</v>
      </c>
      <c r="B4213" s="2">
        <v>264738</v>
      </c>
      <c r="C4213" s="3">
        <v>0.19800000000000001</v>
      </c>
      <c r="D4213" s="4" t="s">
        <v>469</v>
      </c>
      <c r="E4213" s="4" t="s">
        <v>418</v>
      </c>
    </row>
    <row r="4214" spans="1:5" ht="26" hidden="1" x14ac:dyDescent="0.15">
      <c r="A4214" s="1" t="s">
        <v>81</v>
      </c>
      <c r="B4214" s="2">
        <v>274042</v>
      </c>
      <c r="C4214" s="3">
        <v>0.20499999999999999</v>
      </c>
      <c r="D4214" s="4" t="s">
        <v>469</v>
      </c>
      <c r="E4214" s="4" t="s">
        <v>418</v>
      </c>
    </row>
    <row r="4215" spans="1:5" hidden="1" x14ac:dyDescent="0.15">
      <c r="A4215" s="1" t="s">
        <v>82</v>
      </c>
      <c r="B4215" s="2">
        <v>334768</v>
      </c>
      <c r="C4215" s="3">
        <v>0.25</v>
      </c>
      <c r="D4215" s="4" t="s">
        <v>469</v>
      </c>
      <c r="E4215" s="4" t="s">
        <v>418</v>
      </c>
    </row>
    <row r="4216" spans="1:5" hidden="1" x14ac:dyDescent="0.15">
      <c r="A4216" s="4"/>
      <c r="B4216" s="4"/>
      <c r="C4216" s="4"/>
      <c r="D4216" s="4" t="s">
        <v>469</v>
      </c>
      <c r="E4216" s="4" t="s">
        <v>418</v>
      </c>
    </row>
    <row r="4217" spans="1:5" hidden="1" x14ac:dyDescent="0.15">
      <c r="A4217" s="5"/>
      <c r="B4217" s="5"/>
      <c r="C4217" s="5"/>
      <c r="D4217" s="4" t="s">
        <v>469</v>
      </c>
      <c r="E4217" s="4" t="s">
        <v>418</v>
      </c>
    </row>
    <row r="4218" spans="1:5" ht="26" hidden="1" x14ac:dyDescent="0.15">
      <c r="A4218" s="1" t="s">
        <v>419</v>
      </c>
      <c r="B4218" s="2">
        <v>582990</v>
      </c>
      <c r="C4218" s="3">
        <v>0.436</v>
      </c>
      <c r="D4218" s="4" t="s">
        <v>469</v>
      </c>
      <c r="E4218" s="4" t="s">
        <v>418</v>
      </c>
    </row>
    <row r="4219" spans="1:5" hidden="1" x14ac:dyDescent="0.15">
      <c r="A4219" s="4"/>
      <c r="B4219" s="4"/>
      <c r="C4219" s="4"/>
      <c r="D4219" s="4" t="s">
        <v>469</v>
      </c>
      <c r="E4219" s="4" t="s">
        <v>418</v>
      </c>
    </row>
    <row r="4220" spans="1:5" hidden="1" x14ac:dyDescent="0.15">
      <c r="A4220" s="5"/>
      <c r="B4220" s="5"/>
      <c r="C4220" s="5"/>
      <c r="D4220" s="4" t="s">
        <v>469</v>
      </c>
      <c r="E4220" s="4" t="s">
        <v>418</v>
      </c>
    </row>
    <row r="4221" spans="1:5" ht="26" hidden="1" x14ac:dyDescent="0.15">
      <c r="A4221" s="1" t="s">
        <v>420</v>
      </c>
      <c r="B4221" s="2">
        <v>474741</v>
      </c>
      <c r="C4221" s="3">
        <v>0.35499999999999998</v>
      </c>
      <c r="D4221" s="4" t="s">
        <v>469</v>
      </c>
      <c r="E4221" s="4" t="s">
        <v>418</v>
      </c>
    </row>
    <row r="4222" spans="1:5" hidden="1" x14ac:dyDescent="0.15">
      <c r="A4222" s="4"/>
      <c r="B4222" s="4"/>
      <c r="C4222" s="4"/>
      <c r="D4222" s="4" t="s">
        <v>469</v>
      </c>
      <c r="E4222" s="4" t="s">
        <v>418</v>
      </c>
    </row>
    <row r="4223" spans="1:5" hidden="1" x14ac:dyDescent="0.15">
      <c r="A4223" s="5"/>
      <c r="B4223" s="5"/>
      <c r="C4223" s="5"/>
      <c r="D4223" s="4" t="s">
        <v>469</v>
      </c>
      <c r="E4223" s="4" t="s">
        <v>418</v>
      </c>
    </row>
    <row r="4224" spans="1:5" ht="26" hidden="1" x14ac:dyDescent="0.15">
      <c r="A4224" s="1" t="s">
        <v>421</v>
      </c>
      <c r="B4224" s="2">
        <v>57057</v>
      </c>
      <c r="C4224" s="3">
        <v>4.2999999999999997E-2</v>
      </c>
      <c r="D4224" s="4" t="s">
        <v>469</v>
      </c>
      <c r="E4224" s="4" t="s">
        <v>418</v>
      </c>
    </row>
    <row r="4225" spans="1:5" hidden="1" x14ac:dyDescent="0.15">
      <c r="A4225" s="4"/>
      <c r="B4225" s="4"/>
      <c r="C4225" s="4"/>
      <c r="D4225" s="4" t="s">
        <v>469</v>
      </c>
      <c r="E4225" s="4" t="s">
        <v>418</v>
      </c>
    </row>
    <row r="4226" spans="1:5" hidden="1" x14ac:dyDescent="0.15">
      <c r="A4226" s="5"/>
      <c r="B4226" s="5"/>
      <c r="C4226" s="5"/>
      <c r="D4226" s="4" t="s">
        <v>469</v>
      </c>
      <c r="E4226" s="4" t="s">
        <v>418</v>
      </c>
    </row>
    <row r="4227" spans="1:5" ht="39" hidden="1" x14ac:dyDescent="0.15">
      <c r="A4227" s="1" t="s">
        <v>470</v>
      </c>
      <c r="B4227" s="2">
        <v>546721</v>
      </c>
      <c r="C4227" s="3">
        <v>0.40899999999999997</v>
      </c>
      <c r="D4227" s="4" t="s">
        <v>469</v>
      </c>
      <c r="E4227" s="4" t="s">
        <v>418</v>
      </c>
    </row>
    <row r="4228" spans="1:5" ht="26" hidden="1" x14ac:dyDescent="0.15">
      <c r="A4228" s="1" t="s">
        <v>471</v>
      </c>
      <c r="B4228" s="2">
        <v>422558</v>
      </c>
      <c r="C4228" s="3">
        <v>0.316</v>
      </c>
      <c r="D4228" s="4" t="s">
        <v>469</v>
      </c>
      <c r="E4228" s="4" t="s">
        <v>418</v>
      </c>
    </row>
    <row r="4229" spans="1:5" ht="39" hidden="1" x14ac:dyDescent="0.15">
      <c r="A4229" s="1" t="s">
        <v>472</v>
      </c>
      <c r="B4229" s="2">
        <v>176705</v>
      </c>
      <c r="C4229" s="3">
        <v>0.13200000000000001</v>
      </c>
      <c r="D4229" s="4" t="s">
        <v>469</v>
      </c>
      <c r="E4229" s="4" t="s">
        <v>418</v>
      </c>
    </row>
    <row r="4230" spans="1:5" ht="39" hidden="1" x14ac:dyDescent="0.15">
      <c r="A4230" s="1" t="s">
        <v>473</v>
      </c>
      <c r="B4230" s="2">
        <v>232990</v>
      </c>
      <c r="C4230" s="3">
        <v>0.17399999999999999</v>
      </c>
      <c r="D4230" s="4" t="s">
        <v>469</v>
      </c>
      <c r="E4230" s="4" t="s">
        <v>418</v>
      </c>
    </row>
    <row r="4231" spans="1:5" ht="26" hidden="1" x14ac:dyDescent="0.15">
      <c r="A4231" s="1" t="s">
        <v>434</v>
      </c>
      <c r="B4231" s="2">
        <v>186218</v>
      </c>
      <c r="C4231" s="3">
        <v>0.13900000000000001</v>
      </c>
      <c r="D4231" s="4" t="s">
        <v>469</v>
      </c>
      <c r="E4231" s="4" t="s">
        <v>418</v>
      </c>
    </row>
    <row r="4232" spans="1:5" ht="26" hidden="1" x14ac:dyDescent="0.15">
      <c r="A4232" s="1" t="s">
        <v>412</v>
      </c>
      <c r="B4232" s="2">
        <v>232069</v>
      </c>
      <c r="C4232" s="3">
        <v>0.17300000000000001</v>
      </c>
      <c r="D4232" s="4" t="s">
        <v>469</v>
      </c>
      <c r="E4232" s="4" t="s">
        <v>418</v>
      </c>
    </row>
    <row r="4233" spans="1:5" ht="26" hidden="1" x14ac:dyDescent="0.15">
      <c r="A4233" s="1" t="s">
        <v>474</v>
      </c>
      <c r="B4233" s="2">
        <v>256379</v>
      </c>
      <c r="C4233" s="3">
        <v>0.192</v>
      </c>
      <c r="D4233" s="4" t="s">
        <v>469</v>
      </c>
      <c r="E4233" s="4" t="s">
        <v>418</v>
      </c>
    </row>
    <row r="4234" spans="1:5" ht="26" hidden="1" x14ac:dyDescent="0.15">
      <c r="A4234" s="1" t="s">
        <v>475</v>
      </c>
      <c r="B4234" s="2">
        <v>307255</v>
      </c>
      <c r="C4234" s="3">
        <v>0.23</v>
      </c>
      <c r="D4234" s="4" t="s">
        <v>469</v>
      </c>
      <c r="E4234" s="4" t="s">
        <v>418</v>
      </c>
    </row>
    <row r="4235" spans="1:5" hidden="1" x14ac:dyDescent="0.15">
      <c r="A4235" s="1" t="s">
        <v>0</v>
      </c>
      <c r="B4235" s="2">
        <v>1318990</v>
      </c>
      <c r="C4235" s="3">
        <v>1</v>
      </c>
      <c r="D4235" s="4" t="s">
        <v>476</v>
      </c>
      <c r="E4235" s="4" t="s">
        <v>477</v>
      </c>
    </row>
    <row r="4236" spans="1:5" ht="26" hidden="1" x14ac:dyDescent="0.15">
      <c r="A4236" s="1" t="s">
        <v>3</v>
      </c>
      <c r="B4236" s="2">
        <v>23094</v>
      </c>
      <c r="C4236" s="3">
        <v>1.8000000000000002E-2</v>
      </c>
      <c r="D4236" s="4" t="s">
        <v>476</v>
      </c>
      <c r="E4236" s="4" t="s">
        <v>477</v>
      </c>
    </row>
    <row r="4237" spans="1:5" hidden="1" x14ac:dyDescent="0.15">
      <c r="A4237" s="1" t="s">
        <v>4</v>
      </c>
      <c r="B4237" s="2">
        <v>19424</v>
      </c>
      <c r="C4237" s="3">
        <v>1.4999999999999999E-2</v>
      </c>
      <c r="D4237" s="4" t="s">
        <v>476</v>
      </c>
      <c r="E4237" s="4" t="s">
        <v>477</v>
      </c>
    </row>
    <row r="4238" spans="1:5" ht="26" hidden="1" x14ac:dyDescent="0.15">
      <c r="A4238" s="1" t="s">
        <v>5</v>
      </c>
      <c r="B4238" s="2">
        <v>109108</v>
      </c>
      <c r="C4238" s="3">
        <v>8.3000000000000004E-2</v>
      </c>
      <c r="D4238" s="4" t="s">
        <v>476</v>
      </c>
      <c r="E4238" s="4" t="s">
        <v>477</v>
      </c>
    </row>
    <row r="4239" spans="1:5" ht="26" hidden="1" x14ac:dyDescent="0.15">
      <c r="A4239" s="1" t="s">
        <v>6</v>
      </c>
      <c r="B4239" s="2">
        <v>543792</v>
      </c>
      <c r="C4239" s="3">
        <v>0.41200000000000003</v>
      </c>
      <c r="D4239" s="4" t="s">
        <v>476</v>
      </c>
      <c r="E4239" s="4" t="s">
        <v>477</v>
      </c>
    </row>
    <row r="4240" spans="1:5" ht="26" hidden="1" x14ac:dyDescent="0.15">
      <c r="A4240" s="1" t="s">
        <v>7</v>
      </c>
      <c r="B4240" s="2">
        <v>359497</v>
      </c>
      <c r="C4240" s="3">
        <v>0.27300000000000002</v>
      </c>
      <c r="D4240" s="4" t="s">
        <v>476</v>
      </c>
      <c r="E4240" s="4" t="s">
        <v>477</v>
      </c>
    </row>
    <row r="4241" spans="1:5" ht="26" hidden="1" x14ac:dyDescent="0.15">
      <c r="A4241" s="1" t="s">
        <v>8</v>
      </c>
      <c r="B4241" s="2">
        <v>15516</v>
      </c>
      <c r="C4241" s="3">
        <v>1.2E-2</v>
      </c>
      <c r="D4241" s="4" t="s">
        <v>476</v>
      </c>
      <c r="E4241" s="4" t="s">
        <v>477</v>
      </c>
    </row>
    <row r="4242" spans="1:5" ht="26" hidden="1" x14ac:dyDescent="0.15">
      <c r="A4242" s="1" t="s">
        <v>9</v>
      </c>
      <c r="B4242" s="2">
        <v>17816</v>
      </c>
      <c r="C4242" s="3">
        <v>1.3999999999999999E-2</v>
      </c>
      <c r="D4242" s="4" t="s">
        <v>476</v>
      </c>
      <c r="E4242" s="4" t="s">
        <v>477</v>
      </c>
    </row>
    <row r="4243" spans="1:5" ht="26" hidden="1" x14ac:dyDescent="0.15">
      <c r="A4243" s="1" t="s">
        <v>10</v>
      </c>
      <c r="B4243" s="2">
        <v>25178</v>
      </c>
      <c r="C4243" s="3">
        <v>1.9E-2</v>
      </c>
      <c r="D4243" s="4" t="s">
        <v>476</v>
      </c>
      <c r="E4243" s="4" t="s">
        <v>477</v>
      </c>
    </row>
    <row r="4244" spans="1:5" ht="26" hidden="1" x14ac:dyDescent="0.15">
      <c r="A4244" s="1" t="s">
        <v>11</v>
      </c>
      <c r="B4244" s="2">
        <v>74306</v>
      </c>
      <c r="C4244" s="3">
        <v>5.5999999999999994E-2</v>
      </c>
      <c r="D4244" s="4" t="s">
        <v>476</v>
      </c>
      <c r="E4244" s="4" t="s">
        <v>477</v>
      </c>
    </row>
    <row r="4245" spans="1:5" ht="26" hidden="1" x14ac:dyDescent="0.15">
      <c r="A4245" s="1" t="s">
        <v>12</v>
      </c>
      <c r="B4245" s="2">
        <v>18163</v>
      </c>
      <c r="C4245" s="3">
        <v>1.3999999999999999E-2</v>
      </c>
      <c r="D4245" s="4" t="s">
        <v>476</v>
      </c>
      <c r="E4245" s="4" t="s">
        <v>477</v>
      </c>
    </row>
    <row r="4246" spans="1:5" ht="26" hidden="1" x14ac:dyDescent="0.15">
      <c r="A4246" s="1" t="s">
        <v>13</v>
      </c>
      <c r="B4246" s="2">
        <v>8478</v>
      </c>
      <c r="C4246" s="3">
        <v>6.0000000000000001E-3</v>
      </c>
      <c r="D4246" s="4" t="s">
        <v>476</v>
      </c>
      <c r="E4246" s="4" t="s">
        <v>477</v>
      </c>
    </row>
    <row r="4247" spans="1:5" hidden="1" x14ac:dyDescent="0.15">
      <c r="A4247" s="1" t="s">
        <v>14</v>
      </c>
      <c r="B4247" s="2">
        <v>83392</v>
      </c>
      <c r="C4247" s="3">
        <v>6.3E-2</v>
      </c>
      <c r="D4247" s="4" t="s">
        <v>476</v>
      </c>
      <c r="E4247" s="4" t="s">
        <v>477</v>
      </c>
    </row>
    <row r="4248" spans="1:5" ht="26" hidden="1" x14ac:dyDescent="0.15">
      <c r="A4248" s="1" t="s">
        <v>15</v>
      </c>
      <c r="B4248" s="2">
        <v>150367</v>
      </c>
      <c r="C4248" s="3">
        <v>0.114</v>
      </c>
      <c r="D4248" s="4" t="s">
        <v>476</v>
      </c>
      <c r="E4248" s="4" t="s">
        <v>477</v>
      </c>
    </row>
    <row r="4249" spans="1:5" ht="26" hidden="1" x14ac:dyDescent="0.15">
      <c r="A4249" s="1" t="s">
        <v>16</v>
      </c>
      <c r="B4249" s="2">
        <v>121470</v>
      </c>
      <c r="C4249" s="3">
        <v>9.1999999999999998E-2</v>
      </c>
      <c r="D4249" s="4" t="s">
        <v>476</v>
      </c>
      <c r="E4249" s="4" t="s">
        <v>477</v>
      </c>
    </row>
    <row r="4250" spans="1:5" ht="26" hidden="1" x14ac:dyDescent="0.15">
      <c r="A4250" s="1" t="s">
        <v>17</v>
      </c>
      <c r="B4250" s="2">
        <v>35836</v>
      </c>
      <c r="C4250" s="3">
        <v>2.7000000000000003E-2</v>
      </c>
      <c r="D4250" s="4" t="s">
        <v>476</v>
      </c>
      <c r="E4250" s="4" t="s">
        <v>477</v>
      </c>
    </row>
    <row r="4251" spans="1:5" hidden="1" x14ac:dyDescent="0.15">
      <c r="A4251" s="1" t="s">
        <v>18</v>
      </c>
      <c r="B4251" s="2">
        <v>21414</v>
      </c>
      <c r="C4251" s="3">
        <v>1.6E-2</v>
      </c>
      <c r="D4251" s="4" t="s">
        <v>476</v>
      </c>
      <c r="E4251" s="4" t="s">
        <v>477</v>
      </c>
    </row>
    <row r="4252" spans="1:5" hidden="1" x14ac:dyDescent="0.15">
      <c r="A4252" s="1" t="s">
        <v>19</v>
      </c>
      <c r="B4252" s="2">
        <v>103501</v>
      </c>
      <c r="C4252" s="3">
        <v>7.8E-2</v>
      </c>
      <c r="D4252" s="4" t="s">
        <v>476</v>
      </c>
      <c r="E4252" s="4" t="s">
        <v>477</v>
      </c>
    </row>
    <row r="4253" spans="1:5" hidden="1" x14ac:dyDescent="0.15">
      <c r="A4253" s="1" t="s">
        <v>20</v>
      </c>
      <c r="B4253" s="2">
        <v>7238</v>
      </c>
      <c r="C4253" s="3">
        <v>5.0000000000000001E-3</v>
      </c>
      <c r="D4253" s="4" t="s">
        <v>476</v>
      </c>
      <c r="E4253" s="4" t="s">
        <v>477</v>
      </c>
    </row>
    <row r="4254" spans="1:5" ht="26" hidden="1" x14ac:dyDescent="0.15">
      <c r="A4254" s="1" t="s">
        <v>21</v>
      </c>
      <c r="B4254" s="2">
        <v>48675</v>
      </c>
      <c r="C4254" s="3">
        <v>3.7000000000000005E-2</v>
      </c>
      <c r="D4254" s="4" t="s">
        <v>476</v>
      </c>
      <c r="E4254" s="4" t="s">
        <v>477</v>
      </c>
    </row>
    <row r="4255" spans="1:5" ht="26" hidden="1" x14ac:dyDescent="0.15">
      <c r="A4255" s="1" t="s">
        <v>22</v>
      </c>
      <c r="B4255" s="2">
        <v>4671</v>
      </c>
      <c r="C4255" s="3">
        <v>4.0000000000000001E-3</v>
      </c>
      <c r="D4255" s="4" t="s">
        <v>476</v>
      </c>
      <c r="E4255" s="4" t="s">
        <v>477</v>
      </c>
    </row>
    <row r="4256" spans="1:5" ht="26" hidden="1" x14ac:dyDescent="0.15">
      <c r="A4256" s="1" t="s">
        <v>23</v>
      </c>
      <c r="B4256" s="2">
        <v>25582</v>
      </c>
      <c r="C4256" s="3">
        <v>1.9E-2</v>
      </c>
      <c r="D4256" s="4" t="s">
        <v>476</v>
      </c>
      <c r="E4256" s="4" t="s">
        <v>477</v>
      </c>
    </row>
    <row r="4257" spans="1:5" ht="26" hidden="1" x14ac:dyDescent="0.15">
      <c r="A4257" s="1" t="s">
        <v>24</v>
      </c>
      <c r="B4257" s="2">
        <v>1955</v>
      </c>
      <c r="C4257" s="3">
        <v>1E-3</v>
      </c>
      <c r="D4257" s="4" t="s">
        <v>476</v>
      </c>
      <c r="E4257" s="4" t="s">
        <v>477</v>
      </c>
    </row>
    <row r="4258" spans="1:5" ht="26" hidden="1" x14ac:dyDescent="0.15">
      <c r="A4258" s="1" t="s">
        <v>25</v>
      </c>
      <c r="B4258" s="2">
        <v>43346</v>
      </c>
      <c r="C4258" s="3">
        <v>3.3000000000000002E-2</v>
      </c>
      <c r="D4258" s="4" t="s">
        <v>476</v>
      </c>
      <c r="E4258" s="4" t="s">
        <v>477</v>
      </c>
    </row>
    <row r="4259" spans="1:5" hidden="1" x14ac:dyDescent="0.15">
      <c r="A4259" s="1" t="s">
        <v>26</v>
      </c>
      <c r="B4259" s="2">
        <v>19168</v>
      </c>
      <c r="C4259" s="3">
        <v>1.4999999999999999E-2</v>
      </c>
      <c r="D4259" s="4" t="s">
        <v>476</v>
      </c>
      <c r="E4259" s="4" t="s">
        <v>477</v>
      </c>
    </row>
    <row r="4260" spans="1:5" hidden="1" x14ac:dyDescent="0.15">
      <c r="A4260" s="1" t="s">
        <v>27</v>
      </c>
      <c r="B4260" s="2">
        <v>136162</v>
      </c>
      <c r="C4260" s="3">
        <v>0.10300000000000001</v>
      </c>
      <c r="D4260" s="4" t="s">
        <v>476</v>
      </c>
      <c r="E4260" s="4" t="s">
        <v>477</v>
      </c>
    </row>
    <row r="4261" spans="1:5" hidden="1" x14ac:dyDescent="0.15">
      <c r="A4261" s="1" t="s">
        <v>28</v>
      </c>
      <c r="B4261" s="2">
        <v>139800</v>
      </c>
      <c r="C4261" s="3">
        <v>0.106</v>
      </c>
      <c r="D4261" s="4" t="s">
        <v>476</v>
      </c>
      <c r="E4261" s="4" t="s">
        <v>477</v>
      </c>
    </row>
    <row r="4262" spans="1:5" hidden="1" x14ac:dyDescent="0.15">
      <c r="A4262" s="1" t="s">
        <v>29</v>
      </c>
      <c r="B4262" s="2">
        <v>298798</v>
      </c>
      <c r="C4262" s="3">
        <v>0.22699999999999998</v>
      </c>
      <c r="D4262" s="4" t="s">
        <v>476</v>
      </c>
      <c r="E4262" s="4" t="s">
        <v>477</v>
      </c>
    </row>
    <row r="4263" spans="1:5" hidden="1" x14ac:dyDescent="0.15">
      <c r="A4263" s="1" t="s">
        <v>30</v>
      </c>
      <c r="B4263" s="2">
        <v>26554</v>
      </c>
      <c r="C4263" s="3">
        <v>0.02</v>
      </c>
      <c r="D4263" s="4" t="s">
        <v>476</v>
      </c>
      <c r="E4263" s="4" t="s">
        <v>477</v>
      </c>
    </row>
    <row r="4264" spans="1:5" ht="39" hidden="1" x14ac:dyDescent="0.15">
      <c r="A4264" s="1" t="s">
        <v>31</v>
      </c>
      <c r="B4264" s="2">
        <v>17392</v>
      </c>
      <c r="C4264" s="3">
        <v>1.3000000000000001E-2</v>
      </c>
      <c r="D4264" s="4" t="s">
        <v>476</v>
      </c>
      <c r="E4264" s="4" t="s">
        <v>477</v>
      </c>
    </row>
    <row r="4265" spans="1:5" hidden="1" x14ac:dyDescent="0.15">
      <c r="A4265" s="1" t="s">
        <v>32</v>
      </c>
      <c r="B4265" s="2">
        <v>44430</v>
      </c>
      <c r="C4265" s="3">
        <v>3.4000000000000002E-2</v>
      </c>
      <c r="D4265" s="4" t="s">
        <v>476</v>
      </c>
      <c r="E4265" s="4" t="s">
        <v>477</v>
      </c>
    </row>
    <row r="4266" spans="1:5" hidden="1" x14ac:dyDescent="0.15">
      <c r="A4266" s="1" t="s">
        <v>33</v>
      </c>
      <c r="B4266" s="2">
        <v>320451</v>
      </c>
      <c r="C4266" s="3">
        <v>0.24299999999999999</v>
      </c>
      <c r="D4266" s="4" t="s">
        <v>476</v>
      </c>
      <c r="E4266" s="4" t="s">
        <v>477</v>
      </c>
    </row>
    <row r="4267" spans="1:5" hidden="1" x14ac:dyDescent="0.15">
      <c r="A4267" s="1" t="s">
        <v>34</v>
      </c>
      <c r="B4267" s="2">
        <v>100599</v>
      </c>
      <c r="C4267" s="3">
        <v>7.5999999999999998E-2</v>
      </c>
      <c r="D4267" s="4" t="s">
        <v>476</v>
      </c>
      <c r="E4267" s="4" t="s">
        <v>477</v>
      </c>
    </row>
    <row r="4268" spans="1:5" hidden="1" x14ac:dyDescent="0.15">
      <c r="A4268" s="1" t="s">
        <v>35</v>
      </c>
      <c r="B4268" s="2">
        <v>51909</v>
      </c>
      <c r="C4268" s="3">
        <v>3.9E-2</v>
      </c>
      <c r="D4268" s="4" t="s">
        <v>476</v>
      </c>
      <c r="E4268" s="4" t="s">
        <v>477</v>
      </c>
    </row>
    <row r="4269" spans="1:5" ht="26" hidden="1" x14ac:dyDescent="0.15">
      <c r="A4269" s="1" t="s">
        <v>36</v>
      </c>
      <c r="B4269" s="2">
        <v>28721</v>
      </c>
      <c r="C4269" s="3">
        <v>2.2000000000000002E-2</v>
      </c>
      <c r="D4269" s="4" t="s">
        <v>476</v>
      </c>
      <c r="E4269" s="4" t="s">
        <v>477</v>
      </c>
    </row>
    <row r="4270" spans="1:5" hidden="1" x14ac:dyDescent="0.15">
      <c r="A4270" s="1" t="s">
        <v>37</v>
      </c>
      <c r="B4270" s="2">
        <v>21012</v>
      </c>
      <c r="C4270" s="3">
        <v>1.6E-2</v>
      </c>
      <c r="D4270" s="4" t="s">
        <v>476</v>
      </c>
      <c r="E4270" s="4" t="s">
        <v>477</v>
      </c>
    </row>
    <row r="4271" spans="1:5" ht="39" hidden="1" x14ac:dyDescent="0.15">
      <c r="A4271" s="1" t="s">
        <v>38</v>
      </c>
      <c r="B4271" s="2">
        <v>21411</v>
      </c>
      <c r="C4271" s="3">
        <v>1.6E-2</v>
      </c>
      <c r="D4271" s="4" t="s">
        <v>476</v>
      </c>
      <c r="E4271" s="4" t="s">
        <v>477</v>
      </c>
    </row>
    <row r="4272" spans="1:5" hidden="1" x14ac:dyDescent="0.15">
      <c r="A4272" s="1" t="s">
        <v>39</v>
      </c>
      <c r="B4272" s="2">
        <v>48826</v>
      </c>
      <c r="C4272" s="3">
        <v>3.7000000000000005E-2</v>
      </c>
      <c r="D4272" s="4" t="s">
        <v>476</v>
      </c>
      <c r="E4272" s="4" t="s">
        <v>477</v>
      </c>
    </row>
    <row r="4273" spans="1:5" hidden="1" x14ac:dyDescent="0.15">
      <c r="A4273" s="1" t="s">
        <v>40</v>
      </c>
      <c r="B4273" s="2">
        <v>19684</v>
      </c>
      <c r="C4273" s="3">
        <v>1.4999999999999999E-2</v>
      </c>
      <c r="D4273" s="4" t="s">
        <v>476</v>
      </c>
      <c r="E4273" s="4" t="s">
        <v>477</v>
      </c>
    </row>
    <row r="4274" spans="1:5" hidden="1" x14ac:dyDescent="0.15">
      <c r="A4274" s="1" t="s">
        <v>41</v>
      </c>
      <c r="B4274" s="2">
        <v>47104</v>
      </c>
      <c r="C4274" s="3">
        <v>3.6000000000000004E-2</v>
      </c>
      <c r="D4274" s="4" t="s">
        <v>476</v>
      </c>
      <c r="E4274" s="4" t="s">
        <v>477</v>
      </c>
    </row>
    <row r="4275" spans="1:5" hidden="1" x14ac:dyDescent="0.15">
      <c r="A4275" s="1" t="s">
        <v>42</v>
      </c>
      <c r="B4275" s="2">
        <v>75108</v>
      </c>
      <c r="C4275" s="3">
        <v>5.7000000000000002E-2</v>
      </c>
      <c r="D4275" s="4" t="s">
        <v>476</v>
      </c>
      <c r="E4275" s="4" t="s">
        <v>477</v>
      </c>
    </row>
    <row r="4276" spans="1:5" hidden="1" x14ac:dyDescent="0.15">
      <c r="A4276" s="1" t="s">
        <v>43</v>
      </c>
      <c r="B4276" s="2">
        <v>99734</v>
      </c>
      <c r="C4276" s="3">
        <v>7.5999999999999998E-2</v>
      </c>
      <c r="D4276" s="4" t="s">
        <v>476</v>
      </c>
      <c r="E4276" s="4" t="s">
        <v>477</v>
      </c>
    </row>
    <row r="4277" spans="1:5" ht="26" hidden="1" x14ac:dyDescent="0.15">
      <c r="A4277" s="1" t="s">
        <v>44</v>
      </c>
      <c r="B4277" s="2">
        <v>137315</v>
      </c>
      <c r="C4277" s="3">
        <v>0.10400000000000001</v>
      </c>
      <c r="D4277" s="4" t="s">
        <v>476</v>
      </c>
      <c r="E4277" s="4" t="s">
        <v>477</v>
      </c>
    </row>
    <row r="4278" spans="1:5" hidden="1" x14ac:dyDescent="0.15">
      <c r="A4278" s="1" t="s">
        <v>45</v>
      </c>
      <c r="B4278" s="2">
        <v>371829</v>
      </c>
      <c r="C4278" s="3">
        <v>0.28199999999999997</v>
      </c>
      <c r="D4278" s="4" t="s">
        <v>476</v>
      </c>
      <c r="E4278" s="4" t="s">
        <v>477</v>
      </c>
    </row>
    <row r="4279" spans="1:5" ht="26" hidden="1" x14ac:dyDescent="0.15">
      <c r="A4279" s="1" t="s">
        <v>46</v>
      </c>
      <c r="B4279" s="2">
        <v>888383</v>
      </c>
      <c r="C4279" s="3">
        <v>0.67400000000000004</v>
      </c>
      <c r="D4279" s="4" t="s">
        <v>476</v>
      </c>
      <c r="E4279" s="4" t="s">
        <v>477</v>
      </c>
    </row>
    <row r="4280" spans="1:5" hidden="1" x14ac:dyDescent="0.15">
      <c r="A4280" s="1" t="s">
        <v>47</v>
      </c>
      <c r="B4280" s="2">
        <v>720118</v>
      </c>
      <c r="C4280" s="3">
        <v>0.54600000000000004</v>
      </c>
      <c r="D4280" s="4" t="s">
        <v>476</v>
      </c>
      <c r="E4280" s="4" t="s">
        <v>477</v>
      </c>
    </row>
    <row r="4281" spans="1:5" hidden="1" x14ac:dyDescent="0.15">
      <c r="A4281" s="1" t="s">
        <v>48</v>
      </c>
      <c r="B4281" s="2">
        <v>88938</v>
      </c>
      <c r="C4281" s="3">
        <v>6.7000000000000004E-2</v>
      </c>
      <c r="D4281" s="4" t="s">
        <v>476</v>
      </c>
      <c r="E4281" s="4" t="s">
        <v>477</v>
      </c>
    </row>
    <row r="4282" spans="1:5" hidden="1" x14ac:dyDescent="0.15">
      <c r="A4282" s="1" t="s">
        <v>49</v>
      </c>
      <c r="B4282" s="2">
        <v>100945</v>
      </c>
      <c r="C4282" s="3">
        <v>7.6999999999999999E-2</v>
      </c>
      <c r="D4282" s="4" t="s">
        <v>476</v>
      </c>
      <c r="E4282" s="4" t="s">
        <v>477</v>
      </c>
    </row>
    <row r="4283" spans="1:5" ht="26" hidden="1" x14ac:dyDescent="0.15">
      <c r="A4283" s="1" t="s">
        <v>50</v>
      </c>
      <c r="B4283" s="2">
        <v>202883</v>
      </c>
      <c r="C4283" s="3">
        <v>0.154</v>
      </c>
      <c r="D4283" s="4" t="s">
        <v>476</v>
      </c>
      <c r="E4283" s="4" t="s">
        <v>477</v>
      </c>
    </row>
    <row r="4284" spans="1:5" hidden="1" x14ac:dyDescent="0.15">
      <c r="A4284" s="1" t="s">
        <v>51</v>
      </c>
      <c r="B4284" s="2">
        <v>381244</v>
      </c>
      <c r="C4284" s="3">
        <v>0.28899999999999998</v>
      </c>
      <c r="D4284" s="4" t="s">
        <v>476</v>
      </c>
      <c r="E4284" s="4" t="s">
        <v>477</v>
      </c>
    </row>
    <row r="4285" spans="1:5" hidden="1" x14ac:dyDescent="0.15">
      <c r="A4285" s="1" t="s">
        <v>52</v>
      </c>
      <c r="B4285" s="2">
        <v>141529</v>
      </c>
      <c r="C4285" s="3">
        <v>0.107</v>
      </c>
      <c r="D4285" s="4" t="s">
        <v>476</v>
      </c>
      <c r="E4285" s="4" t="s">
        <v>477</v>
      </c>
    </row>
    <row r="4286" spans="1:5" ht="26" hidden="1" x14ac:dyDescent="0.15">
      <c r="A4286" s="1" t="s">
        <v>53</v>
      </c>
      <c r="B4286" s="2">
        <v>93736</v>
      </c>
      <c r="C4286" s="3">
        <v>7.0999999999999994E-2</v>
      </c>
      <c r="D4286" s="4" t="s">
        <v>476</v>
      </c>
      <c r="E4286" s="4" t="s">
        <v>477</v>
      </c>
    </row>
    <row r="4287" spans="1:5" hidden="1" x14ac:dyDescent="0.15">
      <c r="A4287" s="1" t="s">
        <v>54</v>
      </c>
      <c r="B4287" s="2">
        <v>446113</v>
      </c>
      <c r="C4287" s="3">
        <v>0.33799999999999997</v>
      </c>
      <c r="D4287" s="4" t="s">
        <v>476</v>
      </c>
      <c r="E4287" s="4" t="s">
        <v>477</v>
      </c>
    </row>
    <row r="4288" spans="1:5" ht="26" hidden="1" x14ac:dyDescent="0.15">
      <c r="A4288" s="1" t="s">
        <v>55</v>
      </c>
      <c r="B4288" s="2">
        <v>491103</v>
      </c>
      <c r="C4288" s="3">
        <v>0.37200000000000005</v>
      </c>
      <c r="D4288" s="4" t="s">
        <v>476</v>
      </c>
      <c r="E4288" s="4" t="s">
        <v>477</v>
      </c>
    </row>
    <row r="4289" spans="1:5" hidden="1" x14ac:dyDescent="0.15">
      <c r="A4289" s="1" t="s">
        <v>56</v>
      </c>
      <c r="B4289" s="2">
        <v>622109</v>
      </c>
      <c r="C4289" s="3">
        <v>0.47200000000000003</v>
      </c>
      <c r="D4289" s="4" t="s">
        <v>476</v>
      </c>
      <c r="E4289" s="4" t="s">
        <v>477</v>
      </c>
    </row>
    <row r="4290" spans="1:5" hidden="1" x14ac:dyDescent="0.15">
      <c r="A4290" s="1" t="s">
        <v>57</v>
      </c>
      <c r="B4290" s="2">
        <v>254588</v>
      </c>
      <c r="C4290" s="3">
        <v>0.193</v>
      </c>
      <c r="D4290" s="4" t="s">
        <v>476</v>
      </c>
      <c r="E4290" s="4" t="s">
        <v>477</v>
      </c>
    </row>
    <row r="4291" spans="1:5" hidden="1" x14ac:dyDescent="0.15">
      <c r="A4291" s="1" t="s">
        <v>58</v>
      </c>
      <c r="B4291" s="2">
        <v>138652</v>
      </c>
      <c r="C4291" s="3">
        <v>0.105</v>
      </c>
      <c r="D4291" s="4" t="s">
        <v>476</v>
      </c>
      <c r="E4291" s="4" t="s">
        <v>477</v>
      </c>
    </row>
    <row r="4292" spans="1:5" hidden="1" x14ac:dyDescent="0.15">
      <c r="A4292" s="1" t="s">
        <v>59</v>
      </c>
      <c r="B4292" s="2">
        <v>488765</v>
      </c>
      <c r="C4292" s="3">
        <v>0.371</v>
      </c>
      <c r="D4292" s="4" t="s">
        <v>476</v>
      </c>
      <c r="E4292" s="4" t="s">
        <v>477</v>
      </c>
    </row>
    <row r="4293" spans="1:5" hidden="1" x14ac:dyDescent="0.15">
      <c r="A4293" s="1" t="s">
        <v>60</v>
      </c>
      <c r="B4293" s="2">
        <v>158398</v>
      </c>
      <c r="C4293" s="3">
        <v>0.12</v>
      </c>
      <c r="D4293" s="4" t="s">
        <v>476</v>
      </c>
      <c r="E4293" s="4" t="s">
        <v>477</v>
      </c>
    </row>
    <row r="4294" spans="1:5" ht="26" hidden="1" x14ac:dyDescent="0.15">
      <c r="A4294" s="1" t="s">
        <v>61</v>
      </c>
      <c r="B4294" s="2">
        <v>232823</v>
      </c>
      <c r="C4294" s="3">
        <v>0.17699999999999999</v>
      </c>
      <c r="D4294" s="4" t="s">
        <v>476</v>
      </c>
      <c r="E4294" s="4" t="s">
        <v>477</v>
      </c>
    </row>
    <row r="4295" spans="1:5" hidden="1" x14ac:dyDescent="0.15">
      <c r="A4295" s="1" t="s">
        <v>62</v>
      </c>
      <c r="B4295" s="2">
        <v>60723</v>
      </c>
      <c r="C4295" s="3">
        <v>4.5999999999999999E-2</v>
      </c>
      <c r="D4295" s="4" t="s">
        <v>476</v>
      </c>
      <c r="E4295" s="4" t="s">
        <v>477</v>
      </c>
    </row>
    <row r="4296" spans="1:5" ht="26" hidden="1" x14ac:dyDescent="0.15">
      <c r="A4296" s="1" t="s">
        <v>63</v>
      </c>
      <c r="B4296" s="2">
        <v>242265</v>
      </c>
      <c r="C4296" s="3">
        <v>0.184</v>
      </c>
      <c r="D4296" s="4" t="s">
        <v>476</v>
      </c>
      <c r="E4296" s="4" t="s">
        <v>477</v>
      </c>
    </row>
    <row r="4297" spans="1:5" ht="26" hidden="1" x14ac:dyDescent="0.15">
      <c r="A4297" s="1" t="s">
        <v>64</v>
      </c>
      <c r="B4297" s="2">
        <v>56918</v>
      </c>
      <c r="C4297" s="3">
        <v>4.2999999999999997E-2</v>
      </c>
      <c r="D4297" s="4" t="s">
        <v>476</v>
      </c>
      <c r="E4297" s="4" t="s">
        <v>477</v>
      </c>
    </row>
    <row r="4298" spans="1:5" hidden="1" x14ac:dyDescent="0.15">
      <c r="A4298" s="1" t="s">
        <v>65</v>
      </c>
      <c r="B4298" s="2">
        <v>208603</v>
      </c>
      <c r="C4298" s="3">
        <v>0.158</v>
      </c>
      <c r="D4298" s="4" t="s">
        <v>476</v>
      </c>
      <c r="E4298" s="4" t="s">
        <v>477</v>
      </c>
    </row>
    <row r="4299" spans="1:5" hidden="1" x14ac:dyDescent="0.15">
      <c r="A4299" s="1" t="s">
        <v>66</v>
      </c>
      <c r="B4299" s="2">
        <v>102590</v>
      </c>
      <c r="C4299" s="3">
        <v>7.8E-2</v>
      </c>
      <c r="D4299" s="4" t="s">
        <v>476</v>
      </c>
      <c r="E4299" s="4" t="s">
        <v>477</v>
      </c>
    </row>
    <row r="4300" spans="1:5" hidden="1" x14ac:dyDescent="0.15">
      <c r="A4300" s="1" t="s">
        <v>67</v>
      </c>
      <c r="B4300" s="2">
        <v>463471</v>
      </c>
      <c r="C4300" s="3">
        <v>0.35100000000000003</v>
      </c>
      <c r="D4300" s="4" t="s">
        <v>476</v>
      </c>
      <c r="E4300" s="4" t="s">
        <v>477</v>
      </c>
    </row>
    <row r="4301" spans="1:5" hidden="1" x14ac:dyDescent="0.15">
      <c r="A4301" s="1" t="s">
        <v>68</v>
      </c>
      <c r="B4301" s="2">
        <v>543225</v>
      </c>
      <c r="C4301" s="3">
        <v>0.41200000000000003</v>
      </c>
      <c r="D4301" s="4" t="s">
        <v>476</v>
      </c>
      <c r="E4301" s="4" t="s">
        <v>477</v>
      </c>
    </row>
    <row r="4302" spans="1:5" hidden="1" x14ac:dyDescent="0.15">
      <c r="A4302" s="1" t="s">
        <v>69</v>
      </c>
      <c r="B4302" s="2">
        <v>707469</v>
      </c>
      <c r="C4302" s="3">
        <v>0.53600000000000003</v>
      </c>
      <c r="D4302" s="4" t="s">
        <v>476</v>
      </c>
      <c r="E4302" s="4" t="s">
        <v>477</v>
      </c>
    </row>
    <row r="4303" spans="1:5" hidden="1" x14ac:dyDescent="0.15">
      <c r="A4303" s="1" t="s">
        <v>70</v>
      </c>
      <c r="B4303" s="2">
        <v>147550</v>
      </c>
      <c r="C4303" s="3">
        <v>0.11199999999999999</v>
      </c>
      <c r="D4303" s="4" t="s">
        <v>476</v>
      </c>
      <c r="E4303" s="4" t="s">
        <v>477</v>
      </c>
    </row>
    <row r="4304" spans="1:5" ht="26" hidden="1" x14ac:dyDescent="0.15">
      <c r="A4304" s="1" t="s">
        <v>71</v>
      </c>
      <c r="B4304" s="2">
        <v>101638</v>
      </c>
      <c r="C4304" s="3">
        <v>7.6999999999999999E-2</v>
      </c>
      <c r="D4304" s="4" t="s">
        <v>476</v>
      </c>
      <c r="E4304" s="4" t="s">
        <v>477</v>
      </c>
    </row>
    <row r="4305" spans="1:5" hidden="1" x14ac:dyDescent="0.15">
      <c r="A4305" s="1" t="s">
        <v>72</v>
      </c>
      <c r="B4305" s="2">
        <v>194596</v>
      </c>
      <c r="C4305" s="3">
        <v>0.14800000000000002</v>
      </c>
      <c r="D4305" s="4" t="s">
        <v>476</v>
      </c>
      <c r="E4305" s="4" t="s">
        <v>477</v>
      </c>
    </row>
    <row r="4306" spans="1:5" hidden="1" x14ac:dyDescent="0.15">
      <c r="A4306" s="1" t="s">
        <v>73</v>
      </c>
      <c r="B4306" s="2">
        <v>761610</v>
      </c>
      <c r="C4306" s="3">
        <v>0.57700000000000007</v>
      </c>
      <c r="D4306" s="4" t="s">
        <v>476</v>
      </c>
      <c r="E4306" s="4" t="s">
        <v>477</v>
      </c>
    </row>
    <row r="4307" spans="1:5" hidden="1" x14ac:dyDescent="0.15">
      <c r="A4307" s="1" t="s">
        <v>74</v>
      </c>
      <c r="B4307" s="2">
        <v>335032</v>
      </c>
      <c r="C4307" s="3">
        <v>0.254</v>
      </c>
      <c r="D4307" s="4" t="s">
        <v>476</v>
      </c>
      <c r="E4307" s="4" t="s">
        <v>477</v>
      </c>
    </row>
    <row r="4308" spans="1:5" hidden="1" x14ac:dyDescent="0.15">
      <c r="A4308" s="1" t="s">
        <v>75</v>
      </c>
      <c r="B4308" s="2">
        <v>238541</v>
      </c>
      <c r="C4308" s="3">
        <v>0.18100000000000002</v>
      </c>
      <c r="D4308" s="4" t="s">
        <v>476</v>
      </c>
      <c r="E4308" s="4" t="s">
        <v>477</v>
      </c>
    </row>
    <row r="4309" spans="1:5" hidden="1" x14ac:dyDescent="0.15">
      <c r="A4309" s="1" t="s">
        <v>76</v>
      </c>
      <c r="B4309" s="2">
        <v>206557</v>
      </c>
      <c r="C4309" s="3">
        <v>0.157</v>
      </c>
      <c r="D4309" s="4" t="s">
        <v>476</v>
      </c>
      <c r="E4309" s="4" t="s">
        <v>477</v>
      </c>
    </row>
    <row r="4310" spans="1:5" hidden="1" x14ac:dyDescent="0.15">
      <c r="A4310" s="1" t="s">
        <v>77</v>
      </c>
      <c r="B4310" s="2">
        <v>173966</v>
      </c>
      <c r="C4310" s="3">
        <v>0.13200000000000001</v>
      </c>
      <c r="D4310" s="4" t="s">
        <v>476</v>
      </c>
      <c r="E4310" s="4" t="s">
        <v>477</v>
      </c>
    </row>
    <row r="4311" spans="1:5" ht="26" hidden="1" x14ac:dyDescent="0.15">
      <c r="A4311" s="1" t="s">
        <v>78</v>
      </c>
      <c r="B4311" s="2">
        <v>127410</v>
      </c>
      <c r="C4311" s="3">
        <v>9.6999999999999989E-2</v>
      </c>
      <c r="D4311" s="4" t="s">
        <v>476</v>
      </c>
      <c r="E4311" s="4" t="s">
        <v>477</v>
      </c>
    </row>
    <row r="4312" spans="1:5" hidden="1" x14ac:dyDescent="0.15">
      <c r="A4312" s="1" t="s">
        <v>79</v>
      </c>
      <c r="B4312" s="2">
        <v>229789</v>
      </c>
      <c r="C4312" s="3">
        <v>0.17399999999999999</v>
      </c>
      <c r="D4312" s="4" t="s">
        <v>476</v>
      </c>
      <c r="E4312" s="4" t="s">
        <v>477</v>
      </c>
    </row>
    <row r="4313" spans="1:5" hidden="1" x14ac:dyDescent="0.15">
      <c r="A4313" s="1" t="s">
        <v>80</v>
      </c>
      <c r="B4313" s="2">
        <v>234409</v>
      </c>
      <c r="C4313" s="3">
        <v>0.17800000000000002</v>
      </c>
      <c r="D4313" s="4" t="s">
        <v>476</v>
      </c>
      <c r="E4313" s="4" t="s">
        <v>477</v>
      </c>
    </row>
    <row r="4314" spans="1:5" ht="26" hidden="1" x14ac:dyDescent="0.15">
      <c r="A4314" s="1" t="s">
        <v>81</v>
      </c>
      <c r="B4314" s="2">
        <v>234365</v>
      </c>
      <c r="C4314" s="3">
        <v>0.17800000000000002</v>
      </c>
      <c r="D4314" s="4" t="s">
        <v>476</v>
      </c>
      <c r="E4314" s="4" t="s">
        <v>477</v>
      </c>
    </row>
    <row r="4315" spans="1:5" hidden="1" x14ac:dyDescent="0.15">
      <c r="A4315" s="1" t="s">
        <v>82</v>
      </c>
      <c r="B4315" s="2">
        <v>210615</v>
      </c>
      <c r="C4315" s="3">
        <v>0.16</v>
      </c>
      <c r="D4315" s="4" t="s">
        <v>476</v>
      </c>
      <c r="E4315" s="4" t="s">
        <v>477</v>
      </c>
    </row>
    <row r="4316" spans="1:5" hidden="1" x14ac:dyDescent="0.15">
      <c r="A4316" s="4"/>
      <c r="B4316" s="4"/>
      <c r="C4316" s="4"/>
      <c r="D4316" s="4" t="s">
        <v>476</v>
      </c>
      <c r="E4316" s="4" t="s">
        <v>477</v>
      </c>
    </row>
    <row r="4317" spans="1:5" hidden="1" x14ac:dyDescent="0.15">
      <c r="A4317" s="5"/>
      <c r="B4317" s="5"/>
      <c r="C4317" s="5"/>
      <c r="D4317" s="4" t="s">
        <v>476</v>
      </c>
      <c r="E4317" s="4" t="s">
        <v>477</v>
      </c>
    </row>
    <row r="4318" spans="1:5" hidden="1" x14ac:dyDescent="0.15">
      <c r="A4318" s="1" t="s">
        <v>478</v>
      </c>
      <c r="B4318" s="2">
        <v>300415</v>
      </c>
      <c r="C4318" s="3">
        <v>0.22800000000000001</v>
      </c>
      <c r="D4318" s="4" t="s">
        <v>476</v>
      </c>
      <c r="E4318" s="4" t="s">
        <v>477</v>
      </c>
    </row>
    <row r="4319" spans="1:5" hidden="1" x14ac:dyDescent="0.15">
      <c r="A4319" s="4"/>
      <c r="B4319" s="4"/>
      <c r="C4319" s="4"/>
      <c r="D4319" s="4" t="s">
        <v>476</v>
      </c>
      <c r="E4319" s="4" t="s">
        <v>477</v>
      </c>
    </row>
    <row r="4320" spans="1:5" hidden="1" x14ac:dyDescent="0.15">
      <c r="A4320" s="5"/>
      <c r="B4320" s="5"/>
      <c r="C4320" s="5"/>
      <c r="D4320" s="4" t="s">
        <v>476</v>
      </c>
      <c r="E4320" s="4" t="s">
        <v>477</v>
      </c>
    </row>
    <row r="4321" spans="1:5" hidden="1" x14ac:dyDescent="0.15">
      <c r="A4321" s="1" t="s">
        <v>479</v>
      </c>
      <c r="B4321" s="2">
        <v>108796</v>
      </c>
      <c r="C4321" s="3">
        <v>8.199999999999999E-2</v>
      </c>
      <c r="D4321" s="4" t="s">
        <v>476</v>
      </c>
      <c r="E4321" s="4" t="s">
        <v>477</v>
      </c>
    </row>
    <row r="4322" spans="1:5" hidden="1" x14ac:dyDescent="0.15">
      <c r="A4322" s="4"/>
      <c r="B4322" s="4"/>
      <c r="C4322" s="4"/>
      <c r="D4322" s="4" t="s">
        <v>476</v>
      </c>
      <c r="E4322" s="4" t="s">
        <v>477</v>
      </c>
    </row>
    <row r="4323" spans="1:5" hidden="1" x14ac:dyDescent="0.15">
      <c r="A4323" s="5"/>
      <c r="B4323" s="5"/>
      <c r="C4323" s="5"/>
      <c r="D4323" s="4" t="s">
        <v>476</v>
      </c>
      <c r="E4323" s="4" t="s">
        <v>477</v>
      </c>
    </row>
    <row r="4324" spans="1:5" ht="26" hidden="1" x14ac:dyDescent="0.15">
      <c r="A4324" s="1" t="s">
        <v>480</v>
      </c>
      <c r="B4324" s="2">
        <v>268498</v>
      </c>
      <c r="C4324" s="3">
        <v>0.20399999999999999</v>
      </c>
      <c r="D4324" s="4" t="s">
        <v>476</v>
      </c>
      <c r="E4324" s="4" t="s">
        <v>477</v>
      </c>
    </row>
    <row r="4325" spans="1:5" ht="26" hidden="1" x14ac:dyDescent="0.15">
      <c r="A4325" s="1" t="s">
        <v>481</v>
      </c>
      <c r="B4325" s="2">
        <v>357396</v>
      </c>
      <c r="C4325" s="3">
        <v>0.27100000000000002</v>
      </c>
      <c r="D4325" s="4" t="s">
        <v>476</v>
      </c>
      <c r="E4325" s="4" t="s">
        <v>477</v>
      </c>
    </row>
    <row r="4326" spans="1:5" hidden="1" x14ac:dyDescent="0.15">
      <c r="A4326" s="4"/>
      <c r="B4326" s="4"/>
      <c r="C4326" s="4"/>
      <c r="D4326" s="4" t="s">
        <v>476</v>
      </c>
      <c r="E4326" s="4" t="s">
        <v>477</v>
      </c>
    </row>
    <row r="4327" spans="1:5" hidden="1" x14ac:dyDescent="0.15">
      <c r="A4327" s="5"/>
      <c r="B4327" s="5"/>
      <c r="C4327" s="5"/>
      <c r="D4327" s="4" t="s">
        <v>476</v>
      </c>
      <c r="E4327" s="4" t="s">
        <v>477</v>
      </c>
    </row>
    <row r="4328" spans="1:5" ht="26" hidden="1" x14ac:dyDescent="0.15">
      <c r="A4328" s="1" t="s">
        <v>421</v>
      </c>
      <c r="B4328" s="2">
        <v>14187</v>
      </c>
      <c r="C4328" s="3">
        <v>1.1000000000000001E-2</v>
      </c>
      <c r="D4328" s="4" t="s">
        <v>476</v>
      </c>
      <c r="E4328" s="4" t="s">
        <v>477</v>
      </c>
    </row>
    <row r="4329" spans="1:5" hidden="1" x14ac:dyDescent="0.15">
      <c r="A4329" s="4"/>
      <c r="B4329" s="4"/>
      <c r="C4329" s="4"/>
      <c r="D4329" s="4" t="s">
        <v>476</v>
      </c>
      <c r="E4329" s="4" t="s">
        <v>477</v>
      </c>
    </row>
    <row r="4330" spans="1:5" hidden="1" x14ac:dyDescent="0.15">
      <c r="A4330" s="5"/>
      <c r="B4330" s="5"/>
      <c r="C4330" s="5"/>
      <c r="D4330" s="4" t="s">
        <v>476</v>
      </c>
      <c r="E4330" s="4" t="s">
        <v>477</v>
      </c>
    </row>
    <row r="4331" spans="1:5" ht="26" hidden="1" x14ac:dyDescent="0.15">
      <c r="A4331" s="1" t="s">
        <v>482</v>
      </c>
      <c r="B4331" s="2">
        <v>333092</v>
      </c>
      <c r="C4331" s="3">
        <v>0.253</v>
      </c>
      <c r="D4331" s="4" t="s">
        <v>476</v>
      </c>
      <c r="E4331" s="4" t="s">
        <v>477</v>
      </c>
    </row>
    <row r="4332" spans="1:5" hidden="1" x14ac:dyDescent="0.15">
      <c r="A4332" s="1" t="s">
        <v>483</v>
      </c>
      <c r="B4332" s="2">
        <v>143827</v>
      </c>
      <c r="C4332" s="3">
        <v>0.109</v>
      </c>
      <c r="D4332" s="4" t="s">
        <v>476</v>
      </c>
      <c r="E4332" s="4" t="s">
        <v>477</v>
      </c>
    </row>
    <row r="4333" spans="1:5" ht="26" hidden="1" x14ac:dyDescent="0.15">
      <c r="A4333" s="1" t="s">
        <v>484</v>
      </c>
      <c r="B4333" s="2">
        <v>460117</v>
      </c>
      <c r="C4333" s="3">
        <v>0.34899999999999998</v>
      </c>
      <c r="D4333" s="4" t="s">
        <v>476</v>
      </c>
      <c r="E4333" s="4" t="s">
        <v>477</v>
      </c>
    </row>
    <row r="4334" spans="1:5" ht="26" hidden="1" x14ac:dyDescent="0.15">
      <c r="A4334" s="1" t="s">
        <v>485</v>
      </c>
      <c r="B4334" s="2">
        <v>223303</v>
      </c>
      <c r="C4334" s="3">
        <v>0.16899999999999998</v>
      </c>
      <c r="D4334" s="4" t="s">
        <v>476</v>
      </c>
      <c r="E4334" s="4" t="s">
        <v>477</v>
      </c>
    </row>
    <row r="4335" spans="1:5" ht="26" hidden="1" x14ac:dyDescent="0.15">
      <c r="A4335" s="1" t="s">
        <v>486</v>
      </c>
      <c r="B4335" s="2">
        <v>145598</v>
      </c>
      <c r="C4335" s="3">
        <v>0.11</v>
      </c>
      <c r="D4335" s="4" t="s">
        <v>476</v>
      </c>
      <c r="E4335" s="4" t="s">
        <v>477</v>
      </c>
    </row>
    <row r="4336" spans="1:5" ht="26" hidden="1" x14ac:dyDescent="0.15">
      <c r="A4336" s="1" t="s">
        <v>487</v>
      </c>
      <c r="B4336" s="2">
        <v>593776</v>
      </c>
      <c r="C4336" s="3">
        <v>0.45</v>
      </c>
      <c r="D4336" s="4" t="s">
        <v>476</v>
      </c>
      <c r="E4336" s="4" t="s">
        <v>477</v>
      </c>
    </row>
    <row r="4337" spans="1:5" ht="26" hidden="1" x14ac:dyDescent="0.15">
      <c r="A4337" s="1" t="s">
        <v>488</v>
      </c>
      <c r="B4337" s="2">
        <v>82113</v>
      </c>
      <c r="C4337" s="3">
        <v>6.2E-2</v>
      </c>
      <c r="D4337" s="4" t="s">
        <v>476</v>
      </c>
      <c r="E4337" s="4" t="s">
        <v>477</v>
      </c>
    </row>
    <row r="4338" spans="1:5" ht="26" hidden="1" x14ac:dyDescent="0.15">
      <c r="A4338" s="1" t="s">
        <v>343</v>
      </c>
      <c r="B4338" s="2">
        <v>191601</v>
      </c>
      <c r="C4338" s="3">
        <v>0.14499999999999999</v>
      </c>
      <c r="D4338" s="4" t="s">
        <v>476</v>
      </c>
      <c r="E4338" s="4" t="s">
        <v>477</v>
      </c>
    </row>
    <row r="4339" spans="1:5" ht="26" hidden="1" x14ac:dyDescent="0.15">
      <c r="A4339" s="1" t="s">
        <v>489</v>
      </c>
      <c r="B4339" s="2">
        <v>114095</v>
      </c>
      <c r="C4339" s="3">
        <v>8.6999999999999994E-2</v>
      </c>
      <c r="D4339" s="4" t="s">
        <v>476</v>
      </c>
      <c r="E4339" s="4" t="s">
        <v>477</v>
      </c>
    </row>
    <row r="4340" spans="1:5" ht="26" hidden="1" x14ac:dyDescent="0.15">
      <c r="A4340" s="1" t="s">
        <v>490</v>
      </c>
      <c r="B4340" s="2">
        <v>163485</v>
      </c>
      <c r="C4340" s="3">
        <v>0.124</v>
      </c>
      <c r="D4340" s="4" t="s">
        <v>476</v>
      </c>
      <c r="E4340" s="4" t="s">
        <v>477</v>
      </c>
    </row>
    <row r="4341" spans="1:5" hidden="1" x14ac:dyDescent="0.15">
      <c r="A4341" s="1" t="s">
        <v>0</v>
      </c>
      <c r="B4341" s="2">
        <v>1123350</v>
      </c>
      <c r="C4341" s="3">
        <v>1</v>
      </c>
      <c r="D4341" s="4" t="s">
        <v>491</v>
      </c>
      <c r="E4341" s="4" t="s">
        <v>492</v>
      </c>
    </row>
    <row r="4342" spans="1:5" ht="26" hidden="1" x14ac:dyDescent="0.15">
      <c r="A4342" s="1" t="s">
        <v>3</v>
      </c>
      <c r="B4342" s="2">
        <v>20667</v>
      </c>
      <c r="C4342" s="3">
        <v>1.8000000000000002E-2</v>
      </c>
      <c r="D4342" s="4" t="s">
        <v>491</v>
      </c>
      <c r="E4342" s="4" t="s">
        <v>492</v>
      </c>
    </row>
    <row r="4343" spans="1:5" hidden="1" x14ac:dyDescent="0.15">
      <c r="A4343" s="1" t="s">
        <v>4</v>
      </c>
      <c r="B4343" s="2">
        <v>26994</v>
      </c>
      <c r="C4343" s="3">
        <v>2.4E-2</v>
      </c>
      <c r="D4343" s="4" t="s">
        <v>491</v>
      </c>
      <c r="E4343" s="4" t="s">
        <v>492</v>
      </c>
    </row>
    <row r="4344" spans="1:5" ht="26" hidden="1" x14ac:dyDescent="0.15">
      <c r="A4344" s="1" t="s">
        <v>5</v>
      </c>
      <c r="B4344" s="2">
        <v>82147</v>
      </c>
      <c r="C4344" s="3">
        <v>7.2999999999999995E-2</v>
      </c>
      <c r="D4344" s="4" t="s">
        <v>491</v>
      </c>
      <c r="E4344" s="4" t="s">
        <v>492</v>
      </c>
    </row>
    <row r="4345" spans="1:5" ht="26" hidden="1" x14ac:dyDescent="0.15">
      <c r="A4345" s="1" t="s">
        <v>6</v>
      </c>
      <c r="B4345" s="2">
        <v>210918</v>
      </c>
      <c r="C4345" s="3">
        <v>0.188</v>
      </c>
      <c r="D4345" s="4" t="s">
        <v>491</v>
      </c>
      <c r="E4345" s="4" t="s">
        <v>492</v>
      </c>
    </row>
    <row r="4346" spans="1:5" ht="26" hidden="1" x14ac:dyDescent="0.15">
      <c r="A4346" s="1" t="s">
        <v>7</v>
      </c>
      <c r="B4346" s="2">
        <v>389674</v>
      </c>
      <c r="C4346" s="3">
        <v>0.34700000000000003</v>
      </c>
      <c r="D4346" s="4" t="s">
        <v>491</v>
      </c>
      <c r="E4346" s="4" t="s">
        <v>492</v>
      </c>
    </row>
    <row r="4347" spans="1:5" ht="26" hidden="1" x14ac:dyDescent="0.15">
      <c r="A4347" s="1" t="s">
        <v>8</v>
      </c>
      <c r="B4347" s="2">
        <v>12145</v>
      </c>
      <c r="C4347" s="3">
        <v>1.1000000000000001E-2</v>
      </c>
      <c r="D4347" s="4" t="s">
        <v>491</v>
      </c>
      <c r="E4347" s="4" t="s">
        <v>492</v>
      </c>
    </row>
    <row r="4348" spans="1:5" ht="26" hidden="1" x14ac:dyDescent="0.15">
      <c r="A4348" s="1" t="s">
        <v>9</v>
      </c>
      <c r="B4348" s="2">
        <v>22750</v>
      </c>
      <c r="C4348" s="3">
        <v>0.02</v>
      </c>
      <c r="D4348" s="4" t="s">
        <v>491</v>
      </c>
      <c r="E4348" s="4" t="s">
        <v>492</v>
      </c>
    </row>
    <row r="4349" spans="1:5" ht="26" hidden="1" x14ac:dyDescent="0.15">
      <c r="A4349" s="1" t="s">
        <v>10</v>
      </c>
      <c r="B4349" s="2">
        <v>21915</v>
      </c>
      <c r="C4349" s="3">
        <v>0.02</v>
      </c>
      <c r="D4349" s="4" t="s">
        <v>491</v>
      </c>
      <c r="E4349" s="4" t="s">
        <v>492</v>
      </c>
    </row>
    <row r="4350" spans="1:5" ht="26" hidden="1" x14ac:dyDescent="0.15">
      <c r="A4350" s="1" t="s">
        <v>11</v>
      </c>
      <c r="B4350" s="2">
        <v>73026</v>
      </c>
      <c r="C4350" s="3">
        <v>6.5000000000000002E-2</v>
      </c>
      <c r="D4350" s="4" t="s">
        <v>491</v>
      </c>
      <c r="E4350" s="4" t="s">
        <v>492</v>
      </c>
    </row>
    <row r="4351" spans="1:5" ht="26" hidden="1" x14ac:dyDescent="0.15">
      <c r="A4351" s="1" t="s">
        <v>12</v>
      </c>
      <c r="B4351" s="2">
        <v>20138</v>
      </c>
      <c r="C4351" s="3">
        <v>1.8000000000000002E-2</v>
      </c>
      <c r="D4351" s="4" t="s">
        <v>491</v>
      </c>
      <c r="E4351" s="4" t="s">
        <v>492</v>
      </c>
    </row>
    <row r="4352" spans="1:5" ht="26" hidden="1" x14ac:dyDescent="0.15">
      <c r="A4352" s="1" t="s">
        <v>13</v>
      </c>
      <c r="B4352" s="2">
        <v>12900</v>
      </c>
      <c r="C4352" s="3">
        <v>1.1000000000000001E-2</v>
      </c>
      <c r="D4352" s="4" t="s">
        <v>491</v>
      </c>
      <c r="E4352" s="4" t="s">
        <v>492</v>
      </c>
    </row>
    <row r="4353" spans="1:5" hidden="1" x14ac:dyDescent="0.15">
      <c r="A4353" s="1" t="s">
        <v>14</v>
      </c>
      <c r="B4353" s="2">
        <v>79134</v>
      </c>
      <c r="C4353" s="3">
        <v>7.0000000000000007E-2</v>
      </c>
      <c r="D4353" s="4" t="s">
        <v>491</v>
      </c>
      <c r="E4353" s="4" t="s">
        <v>492</v>
      </c>
    </row>
    <row r="4354" spans="1:5" ht="26" hidden="1" x14ac:dyDescent="0.15">
      <c r="A4354" s="1" t="s">
        <v>15</v>
      </c>
      <c r="B4354" s="2">
        <v>109797</v>
      </c>
      <c r="C4354" s="3">
        <v>9.8000000000000004E-2</v>
      </c>
      <c r="D4354" s="4" t="s">
        <v>491</v>
      </c>
      <c r="E4354" s="4" t="s">
        <v>492</v>
      </c>
    </row>
    <row r="4355" spans="1:5" ht="26" hidden="1" x14ac:dyDescent="0.15">
      <c r="A4355" s="1" t="s">
        <v>16</v>
      </c>
      <c r="B4355" s="2">
        <v>62659</v>
      </c>
      <c r="C4355" s="3">
        <v>5.5999999999999994E-2</v>
      </c>
      <c r="D4355" s="4" t="s">
        <v>491</v>
      </c>
      <c r="E4355" s="4" t="s">
        <v>492</v>
      </c>
    </row>
    <row r="4356" spans="1:5" ht="26" hidden="1" x14ac:dyDescent="0.15">
      <c r="A4356" s="1" t="s">
        <v>17</v>
      </c>
      <c r="B4356" s="2">
        <v>21699</v>
      </c>
      <c r="C4356" s="3">
        <v>1.9E-2</v>
      </c>
      <c r="D4356" s="4" t="s">
        <v>491</v>
      </c>
      <c r="E4356" s="4" t="s">
        <v>492</v>
      </c>
    </row>
    <row r="4357" spans="1:5" hidden="1" x14ac:dyDescent="0.15">
      <c r="A4357" s="1" t="s">
        <v>18</v>
      </c>
      <c r="B4357" s="2">
        <v>14892</v>
      </c>
      <c r="C4357" s="3">
        <v>1.3000000000000001E-2</v>
      </c>
      <c r="D4357" s="4" t="s">
        <v>491</v>
      </c>
      <c r="E4357" s="4" t="s">
        <v>492</v>
      </c>
    </row>
    <row r="4358" spans="1:5" hidden="1" x14ac:dyDescent="0.15">
      <c r="A4358" s="1" t="s">
        <v>19</v>
      </c>
      <c r="B4358" s="2">
        <v>79097</v>
      </c>
      <c r="C4358" s="3">
        <v>7.0000000000000007E-2</v>
      </c>
      <c r="D4358" s="4" t="s">
        <v>491</v>
      </c>
      <c r="E4358" s="4" t="s">
        <v>492</v>
      </c>
    </row>
    <row r="4359" spans="1:5" hidden="1" x14ac:dyDescent="0.15">
      <c r="A4359" s="1" t="s">
        <v>20</v>
      </c>
      <c r="B4359" s="2">
        <v>21586</v>
      </c>
      <c r="C4359" s="3">
        <v>1.9E-2</v>
      </c>
      <c r="D4359" s="4" t="s">
        <v>491</v>
      </c>
      <c r="E4359" s="4" t="s">
        <v>492</v>
      </c>
    </row>
    <row r="4360" spans="1:5" ht="26" hidden="1" x14ac:dyDescent="0.15">
      <c r="A4360" s="1" t="s">
        <v>21</v>
      </c>
      <c r="B4360" s="2">
        <v>18458</v>
      </c>
      <c r="C4360" s="3">
        <v>1.6E-2</v>
      </c>
      <c r="D4360" s="4" t="s">
        <v>491</v>
      </c>
      <c r="E4360" s="4" t="s">
        <v>492</v>
      </c>
    </row>
    <row r="4361" spans="1:5" ht="26" hidden="1" x14ac:dyDescent="0.15">
      <c r="A4361" s="1" t="s">
        <v>22</v>
      </c>
      <c r="B4361" s="2">
        <v>18130</v>
      </c>
      <c r="C4361" s="3">
        <v>1.6E-2</v>
      </c>
      <c r="D4361" s="4" t="s">
        <v>491</v>
      </c>
      <c r="E4361" s="4" t="s">
        <v>492</v>
      </c>
    </row>
    <row r="4362" spans="1:5" ht="26" hidden="1" x14ac:dyDescent="0.15">
      <c r="A4362" s="1" t="s">
        <v>23</v>
      </c>
      <c r="B4362" s="2">
        <v>22066</v>
      </c>
      <c r="C4362" s="3">
        <v>0.02</v>
      </c>
      <c r="D4362" s="4" t="s">
        <v>491</v>
      </c>
      <c r="E4362" s="4" t="s">
        <v>492</v>
      </c>
    </row>
    <row r="4363" spans="1:5" ht="26" hidden="1" x14ac:dyDescent="0.15">
      <c r="A4363" s="1" t="s">
        <v>24</v>
      </c>
      <c r="B4363" s="2">
        <v>8778</v>
      </c>
      <c r="C4363" s="3">
        <v>8.0000000000000002E-3</v>
      </c>
      <c r="D4363" s="4" t="s">
        <v>491</v>
      </c>
      <c r="E4363" s="4" t="s">
        <v>492</v>
      </c>
    </row>
    <row r="4364" spans="1:5" ht="26" hidden="1" x14ac:dyDescent="0.15">
      <c r="A4364" s="1" t="s">
        <v>25</v>
      </c>
      <c r="B4364" s="2">
        <v>45618</v>
      </c>
      <c r="C4364" s="3">
        <v>4.0999999999999995E-2</v>
      </c>
      <c r="D4364" s="4" t="s">
        <v>491</v>
      </c>
      <c r="E4364" s="4" t="s">
        <v>492</v>
      </c>
    </row>
    <row r="4365" spans="1:5" hidden="1" x14ac:dyDescent="0.15">
      <c r="A4365" s="1" t="s">
        <v>26</v>
      </c>
      <c r="B4365" s="2">
        <v>23552</v>
      </c>
      <c r="C4365" s="3">
        <v>2.1000000000000001E-2</v>
      </c>
      <c r="D4365" s="4" t="s">
        <v>491</v>
      </c>
      <c r="E4365" s="4" t="s">
        <v>492</v>
      </c>
    </row>
    <row r="4366" spans="1:5" hidden="1" x14ac:dyDescent="0.15">
      <c r="A4366" s="1" t="s">
        <v>27</v>
      </c>
      <c r="B4366" s="2">
        <v>89229</v>
      </c>
      <c r="C4366" s="3">
        <v>7.9000000000000001E-2</v>
      </c>
      <c r="D4366" s="4" t="s">
        <v>491</v>
      </c>
      <c r="E4366" s="4" t="s">
        <v>492</v>
      </c>
    </row>
    <row r="4367" spans="1:5" hidden="1" x14ac:dyDescent="0.15">
      <c r="A4367" s="1" t="s">
        <v>28</v>
      </c>
      <c r="B4367" s="2">
        <v>109010</v>
      </c>
      <c r="C4367" s="3">
        <v>9.6999999999999989E-2</v>
      </c>
      <c r="D4367" s="4" t="s">
        <v>491</v>
      </c>
      <c r="E4367" s="4" t="s">
        <v>492</v>
      </c>
    </row>
    <row r="4368" spans="1:5" hidden="1" x14ac:dyDescent="0.15">
      <c r="A4368" s="1" t="s">
        <v>29</v>
      </c>
      <c r="B4368" s="2">
        <v>274943</v>
      </c>
      <c r="C4368" s="3">
        <v>0.245</v>
      </c>
      <c r="D4368" s="4" t="s">
        <v>491</v>
      </c>
      <c r="E4368" s="4" t="s">
        <v>492</v>
      </c>
    </row>
    <row r="4369" spans="1:5" hidden="1" x14ac:dyDescent="0.15">
      <c r="A4369" s="1" t="s">
        <v>30</v>
      </c>
      <c r="B4369" s="2">
        <v>19421</v>
      </c>
      <c r="C4369" s="3">
        <v>1.7000000000000001E-2</v>
      </c>
      <c r="D4369" s="4" t="s">
        <v>491</v>
      </c>
      <c r="E4369" s="4" t="s">
        <v>492</v>
      </c>
    </row>
    <row r="4370" spans="1:5" ht="39" hidden="1" x14ac:dyDescent="0.15">
      <c r="A4370" s="1" t="s">
        <v>31</v>
      </c>
      <c r="B4370" s="2">
        <v>25838</v>
      </c>
      <c r="C4370" s="3">
        <v>2.3E-2</v>
      </c>
      <c r="D4370" s="4" t="s">
        <v>491</v>
      </c>
      <c r="E4370" s="4" t="s">
        <v>492</v>
      </c>
    </row>
    <row r="4371" spans="1:5" hidden="1" x14ac:dyDescent="0.15">
      <c r="A4371" s="1" t="s">
        <v>32</v>
      </c>
      <c r="B4371" s="2">
        <v>48263</v>
      </c>
      <c r="C4371" s="3">
        <v>4.2999999999999997E-2</v>
      </c>
      <c r="D4371" s="4" t="s">
        <v>491</v>
      </c>
      <c r="E4371" s="4" t="s">
        <v>492</v>
      </c>
    </row>
    <row r="4372" spans="1:5" hidden="1" x14ac:dyDescent="0.15">
      <c r="A4372" s="1" t="s">
        <v>33</v>
      </c>
      <c r="B4372" s="2">
        <v>215313</v>
      </c>
      <c r="C4372" s="3">
        <v>0.192</v>
      </c>
      <c r="D4372" s="4" t="s">
        <v>491</v>
      </c>
      <c r="E4372" s="4" t="s">
        <v>492</v>
      </c>
    </row>
    <row r="4373" spans="1:5" hidden="1" x14ac:dyDescent="0.15">
      <c r="A4373" s="1" t="s">
        <v>34</v>
      </c>
      <c r="B4373" s="2">
        <v>51418</v>
      </c>
      <c r="C4373" s="3">
        <v>4.5999999999999999E-2</v>
      </c>
      <c r="D4373" s="4" t="s">
        <v>491</v>
      </c>
      <c r="E4373" s="4" t="s">
        <v>492</v>
      </c>
    </row>
    <row r="4374" spans="1:5" hidden="1" x14ac:dyDescent="0.15">
      <c r="A4374" s="1" t="s">
        <v>35</v>
      </c>
      <c r="B4374" s="2">
        <v>68065</v>
      </c>
      <c r="C4374" s="3">
        <v>6.0999999999999999E-2</v>
      </c>
      <c r="D4374" s="4" t="s">
        <v>491</v>
      </c>
      <c r="E4374" s="4" t="s">
        <v>492</v>
      </c>
    </row>
    <row r="4375" spans="1:5" ht="26" hidden="1" x14ac:dyDescent="0.15">
      <c r="A4375" s="1" t="s">
        <v>36</v>
      </c>
      <c r="B4375" s="2">
        <v>45148</v>
      </c>
      <c r="C4375" s="3">
        <v>0.04</v>
      </c>
      <c r="D4375" s="4" t="s">
        <v>491</v>
      </c>
      <c r="E4375" s="4" t="s">
        <v>492</v>
      </c>
    </row>
    <row r="4376" spans="1:5" hidden="1" x14ac:dyDescent="0.15">
      <c r="A4376" s="1" t="s">
        <v>37</v>
      </c>
      <c r="B4376" s="2">
        <v>33847</v>
      </c>
      <c r="C4376" s="3">
        <v>0.03</v>
      </c>
      <c r="D4376" s="4" t="s">
        <v>491</v>
      </c>
      <c r="E4376" s="4" t="s">
        <v>492</v>
      </c>
    </row>
    <row r="4377" spans="1:5" ht="39" hidden="1" x14ac:dyDescent="0.15">
      <c r="A4377" s="1" t="s">
        <v>38</v>
      </c>
      <c r="B4377" s="2">
        <v>23542</v>
      </c>
      <c r="C4377" s="3">
        <v>2.1000000000000001E-2</v>
      </c>
      <c r="D4377" s="4" t="s">
        <v>491</v>
      </c>
      <c r="E4377" s="4" t="s">
        <v>492</v>
      </c>
    </row>
    <row r="4378" spans="1:5" hidden="1" x14ac:dyDescent="0.15">
      <c r="A4378" s="1" t="s">
        <v>39</v>
      </c>
      <c r="B4378" s="2">
        <v>65244</v>
      </c>
      <c r="C4378" s="3">
        <v>5.7999999999999996E-2</v>
      </c>
      <c r="D4378" s="4" t="s">
        <v>491</v>
      </c>
      <c r="E4378" s="4" t="s">
        <v>492</v>
      </c>
    </row>
    <row r="4379" spans="1:5" hidden="1" x14ac:dyDescent="0.15">
      <c r="A4379" s="1" t="s">
        <v>40</v>
      </c>
      <c r="B4379" s="2">
        <v>32988</v>
      </c>
      <c r="C4379" s="3">
        <v>2.8999999999999998E-2</v>
      </c>
      <c r="D4379" s="4" t="s">
        <v>491</v>
      </c>
      <c r="E4379" s="4" t="s">
        <v>492</v>
      </c>
    </row>
    <row r="4380" spans="1:5" hidden="1" x14ac:dyDescent="0.15">
      <c r="A4380" s="1" t="s">
        <v>41</v>
      </c>
      <c r="B4380" s="2">
        <v>20406</v>
      </c>
      <c r="C4380" s="3">
        <v>1.8000000000000002E-2</v>
      </c>
      <c r="D4380" s="4" t="s">
        <v>491</v>
      </c>
      <c r="E4380" s="4" t="s">
        <v>492</v>
      </c>
    </row>
    <row r="4381" spans="1:5" hidden="1" x14ac:dyDescent="0.15">
      <c r="A4381" s="1" t="s">
        <v>42</v>
      </c>
      <c r="B4381" s="2">
        <v>106477</v>
      </c>
      <c r="C4381" s="3">
        <v>9.5000000000000001E-2</v>
      </c>
      <c r="D4381" s="4" t="s">
        <v>491</v>
      </c>
      <c r="E4381" s="4" t="s">
        <v>492</v>
      </c>
    </row>
    <row r="4382" spans="1:5" hidden="1" x14ac:dyDescent="0.15">
      <c r="A4382" s="1" t="s">
        <v>43</v>
      </c>
      <c r="B4382" s="2">
        <v>134392</v>
      </c>
      <c r="C4382" s="3">
        <v>0.12</v>
      </c>
      <c r="D4382" s="4" t="s">
        <v>491</v>
      </c>
      <c r="E4382" s="4" t="s">
        <v>492</v>
      </c>
    </row>
    <row r="4383" spans="1:5" ht="26" hidden="1" x14ac:dyDescent="0.15">
      <c r="A4383" s="1" t="s">
        <v>44</v>
      </c>
      <c r="B4383" s="2">
        <v>179421</v>
      </c>
      <c r="C4383" s="3">
        <v>0.16</v>
      </c>
      <c r="D4383" s="4" t="s">
        <v>491</v>
      </c>
      <c r="E4383" s="4" t="s">
        <v>492</v>
      </c>
    </row>
    <row r="4384" spans="1:5" hidden="1" x14ac:dyDescent="0.15">
      <c r="A4384" s="1" t="s">
        <v>45</v>
      </c>
      <c r="B4384" s="2">
        <v>362617</v>
      </c>
      <c r="C4384" s="3">
        <v>0.32299999999999995</v>
      </c>
      <c r="D4384" s="4" t="s">
        <v>491</v>
      </c>
      <c r="E4384" s="4" t="s">
        <v>492</v>
      </c>
    </row>
    <row r="4385" spans="1:5" ht="26" hidden="1" x14ac:dyDescent="0.15">
      <c r="A4385" s="1" t="s">
        <v>46</v>
      </c>
      <c r="B4385" s="2">
        <v>512908</v>
      </c>
      <c r="C4385" s="3">
        <v>0.45700000000000002</v>
      </c>
      <c r="D4385" s="4" t="s">
        <v>491</v>
      </c>
      <c r="E4385" s="4" t="s">
        <v>492</v>
      </c>
    </row>
    <row r="4386" spans="1:5" hidden="1" x14ac:dyDescent="0.15">
      <c r="A4386" s="1" t="s">
        <v>47</v>
      </c>
      <c r="B4386" s="2">
        <v>687954</v>
      </c>
      <c r="C4386" s="3">
        <v>0.61199999999999999</v>
      </c>
      <c r="D4386" s="4" t="s">
        <v>491</v>
      </c>
      <c r="E4386" s="4" t="s">
        <v>492</v>
      </c>
    </row>
    <row r="4387" spans="1:5" hidden="1" x14ac:dyDescent="0.15">
      <c r="A4387" s="1" t="s">
        <v>48</v>
      </c>
      <c r="B4387" s="2">
        <v>68639</v>
      </c>
      <c r="C4387" s="3">
        <v>6.0999999999999999E-2</v>
      </c>
      <c r="D4387" s="4" t="s">
        <v>491</v>
      </c>
      <c r="E4387" s="4" t="s">
        <v>492</v>
      </c>
    </row>
    <row r="4388" spans="1:5" hidden="1" x14ac:dyDescent="0.15">
      <c r="A4388" s="1" t="s">
        <v>49</v>
      </c>
      <c r="B4388" s="2">
        <v>65899</v>
      </c>
      <c r="C4388" s="3">
        <v>5.9000000000000004E-2</v>
      </c>
      <c r="D4388" s="4" t="s">
        <v>491</v>
      </c>
      <c r="E4388" s="4" t="s">
        <v>492</v>
      </c>
    </row>
    <row r="4389" spans="1:5" ht="26" hidden="1" x14ac:dyDescent="0.15">
      <c r="A4389" s="1" t="s">
        <v>50</v>
      </c>
      <c r="B4389" s="2">
        <v>203285</v>
      </c>
      <c r="C4389" s="3">
        <v>0.18100000000000002</v>
      </c>
      <c r="D4389" s="4" t="s">
        <v>491</v>
      </c>
      <c r="E4389" s="4" t="s">
        <v>492</v>
      </c>
    </row>
    <row r="4390" spans="1:5" hidden="1" x14ac:dyDescent="0.15">
      <c r="A4390" s="1" t="s">
        <v>51</v>
      </c>
      <c r="B4390" s="2">
        <v>321571</v>
      </c>
      <c r="C4390" s="3">
        <v>0.28600000000000003</v>
      </c>
      <c r="D4390" s="4" t="s">
        <v>491</v>
      </c>
      <c r="E4390" s="4" t="s">
        <v>492</v>
      </c>
    </row>
    <row r="4391" spans="1:5" hidden="1" x14ac:dyDescent="0.15">
      <c r="A4391" s="1" t="s">
        <v>52</v>
      </c>
      <c r="B4391" s="2">
        <v>115878</v>
      </c>
      <c r="C4391" s="3">
        <v>0.10300000000000001</v>
      </c>
      <c r="D4391" s="4" t="s">
        <v>491</v>
      </c>
      <c r="E4391" s="4" t="s">
        <v>492</v>
      </c>
    </row>
    <row r="4392" spans="1:5" ht="26" hidden="1" x14ac:dyDescent="0.15">
      <c r="A4392" s="1" t="s">
        <v>53</v>
      </c>
      <c r="B4392" s="2">
        <v>85305</v>
      </c>
      <c r="C4392" s="3">
        <v>7.5999999999999998E-2</v>
      </c>
      <c r="D4392" s="4" t="s">
        <v>491</v>
      </c>
      <c r="E4392" s="4" t="s">
        <v>492</v>
      </c>
    </row>
    <row r="4393" spans="1:5" hidden="1" x14ac:dyDescent="0.15">
      <c r="A4393" s="1" t="s">
        <v>54</v>
      </c>
      <c r="B4393" s="2">
        <v>397812</v>
      </c>
      <c r="C4393" s="3">
        <v>0.35399999999999998</v>
      </c>
      <c r="D4393" s="4" t="s">
        <v>491</v>
      </c>
      <c r="E4393" s="4" t="s">
        <v>492</v>
      </c>
    </row>
    <row r="4394" spans="1:5" ht="26" hidden="1" x14ac:dyDescent="0.15">
      <c r="A4394" s="1" t="s">
        <v>55</v>
      </c>
      <c r="B4394" s="2">
        <v>405071</v>
      </c>
      <c r="C4394" s="3">
        <v>0.36099999999999999</v>
      </c>
      <c r="D4394" s="4" t="s">
        <v>491</v>
      </c>
      <c r="E4394" s="4" t="s">
        <v>492</v>
      </c>
    </row>
    <row r="4395" spans="1:5" hidden="1" x14ac:dyDescent="0.15">
      <c r="A4395" s="1" t="s">
        <v>56</v>
      </c>
      <c r="B4395" s="2">
        <v>301353</v>
      </c>
      <c r="C4395" s="3">
        <v>0.26800000000000002</v>
      </c>
      <c r="D4395" s="4" t="s">
        <v>491</v>
      </c>
      <c r="E4395" s="4" t="s">
        <v>492</v>
      </c>
    </row>
    <row r="4396" spans="1:5" hidden="1" x14ac:dyDescent="0.15">
      <c r="A4396" s="1" t="s">
        <v>57</v>
      </c>
      <c r="B4396" s="2">
        <v>164909</v>
      </c>
      <c r="C4396" s="3">
        <v>0.14699999999999999</v>
      </c>
      <c r="D4396" s="4" t="s">
        <v>491</v>
      </c>
      <c r="E4396" s="4" t="s">
        <v>492</v>
      </c>
    </row>
    <row r="4397" spans="1:5" hidden="1" x14ac:dyDescent="0.15">
      <c r="A4397" s="1" t="s">
        <v>58</v>
      </c>
      <c r="B4397" s="2">
        <v>115371</v>
      </c>
      <c r="C4397" s="3">
        <v>0.10300000000000001</v>
      </c>
      <c r="D4397" s="4" t="s">
        <v>491</v>
      </c>
      <c r="E4397" s="4" t="s">
        <v>492</v>
      </c>
    </row>
    <row r="4398" spans="1:5" hidden="1" x14ac:dyDescent="0.15">
      <c r="A4398" s="1" t="s">
        <v>59</v>
      </c>
      <c r="B4398" s="2">
        <v>422473</v>
      </c>
      <c r="C4398" s="3">
        <v>0.376</v>
      </c>
      <c r="D4398" s="4" t="s">
        <v>491</v>
      </c>
      <c r="E4398" s="4" t="s">
        <v>492</v>
      </c>
    </row>
    <row r="4399" spans="1:5" hidden="1" x14ac:dyDescent="0.15">
      <c r="A4399" s="1" t="s">
        <v>60</v>
      </c>
      <c r="B4399" s="2">
        <v>115217</v>
      </c>
      <c r="C4399" s="3">
        <v>0.10300000000000001</v>
      </c>
      <c r="D4399" s="4" t="s">
        <v>491</v>
      </c>
      <c r="E4399" s="4" t="s">
        <v>492</v>
      </c>
    </row>
    <row r="4400" spans="1:5" ht="26" hidden="1" x14ac:dyDescent="0.15">
      <c r="A4400" s="1" t="s">
        <v>61</v>
      </c>
      <c r="B4400" s="2">
        <v>127239</v>
      </c>
      <c r="C4400" s="3">
        <v>0.113</v>
      </c>
      <c r="D4400" s="4" t="s">
        <v>491</v>
      </c>
      <c r="E4400" s="4" t="s">
        <v>492</v>
      </c>
    </row>
    <row r="4401" spans="1:5" hidden="1" x14ac:dyDescent="0.15">
      <c r="A4401" s="1" t="s">
        <v>62</v>
      </c>
      <c r="B4401" s="2">
        <v>50990</v>
      </c>
      <c r="C4401" s="3">
        <v>4.4999999999999998E-2</v>
      </c>
      <c r="D4401" s="4" t="s">
        <v>491</v>
      </c>
      <c r="E4401" s="4" t="s">
        <v>492</v>
      </c>
    </row>
    <row r="4402" spans="1:5" ht="26" hidden="1" x14ac:dyDescent="0.15">
      <c r="A4402" s="1" t="s">
        <v>63</v>
      </c>
      <c r="B4402" s="2">
        <v>163556</v>
      </c>
      <c r="C4402" s="3">
        <v>0.14599999999999999</v>
      </c>
      <c r="D4402" s="4" t="s">
        <v>491</v>
      </c>
      <c r="E4402" s="4" t="s">
        <v>492</v>
      </c>
    </row>
    <row r="4403" spans="1:5" ht="26" hidden="1" x14ac:dyDescent="0.15">
      <c r="A4403" s="1" t="s">
        <v>64</v>
      </c>
      <c r="B4403" s="2">
        <v>56823</v>
      </c>
      <c r="C4403" s="3">
        <v>5.0999999999999997E-2</v>
      </c>
      <c r="D4403" s="4" t="s">
        <v>491</v>
      </c>
      <c r="E4403" s="4" t="s">
        <v>492</v>
      </c>
    </row>
    <row r="4404" spans="1:5" hidden="1" x14ac:dyDescent="0.15">
      <c r="A4404" s="1" t="s">
        <v>65</v>
      </c>
      <c r="B4404" s="2">
        <v>213039</v>
      </c>
      <c r="C4404" s="3">
        <v>0.19</v>
      </c>
      <c r="D4404" s="4" t="s">
        <v>491</v>
      </c>
      <c r="E4404" s="4" t="s">
        <v>492</v>
      </c>
    </row>
    <row r="4405" spans="1:5" hidden="1" x14ac:dyDescent="0.15">
      <c r="A4405" s="1" t="s">
        <v>66</v>
      </c>
      <c r="B4405" s="2">
        <v>104500</v>
      </c>
      <c r="C4405" s="3">
        <v>9.3000000000000013E-2</v>
      </c>
      <c r="D4405" s="4" t="s">
        <v>491</v>
      </c>
      <c r="E4405" s="4" t="s">
        <v>492</v>
      </c>
    </row>
    <row r="4406" spans="1:5" hidden="1" x14ac:dyDescent="0.15">
      <c r="A4406" s="1" t="s">
        <v>67</v>
      </c>
      <c r="B4406" s="2">
        <v>327762</v>
      </c>
      <c r="C4406" s="3">
        <v>0.29199999999999998</v>
      </c>
      <c r="D4406" s="4" t="s">
        <v>491</v>
      </c>
      <c r="E4406" s="4" t="s">
        <v>492</v>
      </c>
    </row>
    <row r="4407" spans="1:5" hidden="1" x14ac:dyDescent="0.15">
      <c r="A4407" s="1" t="s">
        <v>68</v>
      </c>
      <c r="B4407" s="2">
        <v>364948</v>
      </c>
      <c r="C4407" s="3">
        <v>0.32500000000000001</v>
      </c>
      <c r="D4407" s="4" t="s">
        <v>491</v>
      </c>
      <c r="E4407" s="4" t="s">
        <v>492</v>
      </c>
    </row>
    <row r="4408" spans="1:5" hidden="1" x14ac:dyDescent="0.15">
      <c r="A4408" s="1" t="s">
        <v>69</v>
      </c>
      <c r="B4408" s="2">
        <v>641255</v>
      </c>
      <c r="C4408" s="3">
        <v>0.57100000000000006</v>
      </c>
      <c r="D4408" s="4" t="s">
        <v>491</v>
      </c>
      <c r="E4408" s="4" t="s">
        <v>492</v>
      </c>
    </row>
    <row r="4409" spans="1:5" hidden="1" x14ac:dyDescent="0.15">
      <c r="A4409" s="1" t="s">
        <v>70</v>
      </c>
      <c r="B4409" s="2">
        <v>111483</v>
      </c>
      <c r="C4409" s="3">
        <v>9.9000000000000005E-2</v>
      </c>
      <c r="D4409" s="4" t="s">
        <v>491</v>
      </c>
      <c r="E4409" s="4" t="s">
        <v>492</v>
      </c>
    </row>
    <row r="4410" spans="1:5" ht="26" hidden="1" x14ac:dyDescent="0.15">
      <c r="A4410" s="1" t="s">
        <v>71</v>
      </c>
      <c r="B4410" s="2">
        <v>103868</v>
      </c>
      <c r="C4410" s="3">
        <v>9.1999999999999998E-2</v>
      </c>
      <c r="D4410" s="4" t="s">
        <v>491</v>
      </c>
      <c r="E4410" s="4" t="s">
        <v>492</v>
      </c>
    </row>
    <row r="4411" spans="1:5" hidden="1" x14ac:dyDescent="0.15">
      <c r="A4411" s="1" t="s">
        <v>72</v>
      </c>
      <c r="B4411" s="2">
        <v>175368</v>
      </c>
      <c r="C4411" s="3">
        <v>0.156</v>
      </c>
      <c r="D4411" s="4" t="s">
        <v>491</v>
      </c>
      <c r="E4411" s="4" t="s">
        <v>492</v>
      </c>
    </row>
    <row r="4412" spans="1:5" hidden="1" x14ac:dyDescent="0.15">
      <c r="A4412" s="1" t="s">
        <v>73</v>
      </c>
      <c r="B4412" s="2">
        <v>617036</v>
      </c>
      <c r="C4412" s="3">
        <v>0.54899999999999993</v>
      </c>
      <c r="D4412" s="4" t="s">
        <v>491</v>
      </c>
      <c r="E4412" s="4" t="s">
        <v>492</v>
      </c>
    </row>
    <row r="4413" spans="1:5" hidden="1" x14ac:dyDescent="0.15">
      <c r="A4413" s="1" t="s">
        <v>74</v>
      </c>
      <c r="B4413" s="2">
        <v>269217</v>
      </c>
      <c r="C4413" s="3">
        <v>0.24</v>
      </c>
      <c r="D4413" s="4" t="s">
        <v>491</v>
      </c>
      <c r="E4413" s="4" t="s">
        <v>492</v>
      </c>
    </row>
    <row r="4414" spans="1:5" hidden="1" x14ac:dyDescent="0.15">
      <c r="A4414" s="1" t="s">
        <v>75</v>
      </c>
      <c r="B4414" s="2">
        <v>249916</v>
      </c>
      <c r="C4414" s="3">
        <v>0.222</v>
      </c>
      <c r="D4414" s="4" t="s">
        <v>491</v>
      </c>
      <c r="E4414" s="4" t="s">
        <v>492</v>
      </c>
    </row>
    <row r="4415" spans="1:5" hidden="1" x14ac:dyDescent="0.15">
      <c r="A4415" s="1" t="s">
        <v>76</v>
      </c>
      <c r="B4415" s="2">
        <v>277385</v>
      </c>
      <c r="C4415" s="3">
        <v>0.247</v>
      </c>
      <c r="D4415" s="4" t="s">
        <v>491</v>
      </c>
      <c r="E4415" s="4" t="s">
        <v>492</v>
      </c>
    </row>
    <row r="4416" spans="1:5" hidden="1" x14ac:dyDescent="0.15">
      <c r="A4416" s="1" t="s">
        <v>77</v>
      </c>
      <c r="B4416" s="2">
        <v>251711</v>
      </c>
      <c r="C4416" s="3">
        <v>0.22399999999999998</v>
      </c>
      <c r="D4416" s="4" t="s">
        <v>491</v>
      </c>
      <c r="E4416" s="4" t="s">
        <v>492</v>
      </c>
    </row>
    <row r="4417" spans="1:5" ht="26" hidden="1" x14ac:dyDescent="0.15">
      <c r="A4417" s="1" t="s">
        <v>78</v>
      </c>
      <c r="B4417" s="2">
        <v>165261</v>
      </c>
      <c r="C4417" s="3">
        <v>0.14699999999999999</v>
      </c>
      <c r="D4417" s="4" t="s">
        <v>491</v>
      </c>
      <c r="E4417" s="4" t="s">
        <v>492</v>
      </c>
    </row>
    <row r="4418" spans="1:5" hidden="1" x14ac:dyDescent="0.15">
      <c r="A4418" s="1" t="s">
        <v>79</v>
      </c>
      <c r="B4418" s="2">
        <v>218296</v>
      </c>
      <c r="C4418" s="3">
        <v>0.19399999999999998</v>
      </c>
      <c r="D4418" s="4" t="s">
        <v>491</v>
      </c>
      <c r="E4418" s="4" t="s">
        <v>492</v>
      </c>
    </row>
    <row r="4419" spans="1:5" hidden="1" x14ac:dyDescent="0.15">
      <c r="A4419" s="1" t="s">
        <v>80</v>
      </c>
      <c r="B4419" s="2">
        <v>173317</v>
      </c>
      <c r="C4419" s="3">
        <v>0.154</v>
      </c>
      <c r="D4419" s="4" t="s">
        <v>491</v>
      </c>
      <c r="E4419" s="4" t="s">
        <v>492</v>
      </c>
    </row>
    <row r="4420" spans="1:5" ht="26" hidden="1" x14ac:dyDescent="0.15">
      <c r="A4420" s="1" t="s">
        <v>81</v>
      </c>
      <c r="B4420" s="2">
        <v>139411</v>
      </c>
      <c r="C4420" s="3">
        <v>0.124</v>
      </c>
      <c r="D4420" s="4" t="s">
        <v>491</v>
      </c>
      <c r="E4420" s="4" t="s">
        <v>492</v>
      </c>
    </row>
    <row r="4421" spans="1:5" hidden="1" x14ac:dyDescent="0.15">
      <c r="A4421" s="1" t="s">
        <v>82</v>
      </c>
      <c r="B4421" s="2">
        <v>238719</v>
      </c>
      <c r="C4421" s="3">
        <v>0.21299999999999999</v>
      </c>
      <c r="D4421" s="4" t="s">
        <v>491</v>
      </c>
      <c r="E4421" s="4" t="s">
        <v>492</v>
      </c>
    </row>
    <row r="4422" spans="1:5" hidden="1" x14ac:dyDescent="0.15">
      <c r="A4422" s="4"/>
      <c r="B4422" s="4"/>
      <c r="C4422" s="4"/>
      <c r="D4422" s="4" t="s">
        <v>491</v>
      </c>
      <c r="E4422" s="4" t="s">
        <v>492</v>
      </c>
    </row>
    <row r="4423" spans="1:5" hidden="1" x14ac:dyDescent="0.15">
      <c r="A4423" s="5"/>
      <c r="B4423" s="5"/>
      <c r="C4423" s="5"/>
      <c r="D4423" s="4" t="s">
        <v>491</v>
      </c>
      <c r="E4423" s="4" t="s">
        <v>492</v>
      </c>
    </row>
    <row r="4424" spans="1:5" ht="26" hidden="1" x14ac:dyDescent="0.15">
      <c r="A4424" s="1" t="s">
        <v>419</v>
      </c>
      <c r="B4424" s="2">
        <v>76305</v>
      </c>
      <c r="C4424" s="3">
        <v>6.8000000000000005E-2</v>
      </c>
      <c r="D4424" s="4" t="s">
        <v>491</v>
      </c>
      <c r="E4424" s="4" t="s">
        <v>492</v>
      </c>
    </row>
    <row r="4425" spans="1:5" hidden="1" x14ac:dyDescent="0.15">
      <c r="A4425" s="4"/>
      <c r="B4425" s="4"/>
      <c r="C4425" s="4"/>
      <c r="D4425" s="4" t="s">
        <v>491</v>
      </c>
      <c r="E4425" s="4" t="s">
        <v>492</v>
      </c>
    </row>
    <row r="4426" spans="1:5" hidden="1" x14ac:dyDescent="0.15">
      <c r="A4426" s="5"/>
      <c r="B4426" s="5"/>
      <c r="C4426" s="5"/>
      <c r="D4426" s="4" t="s">
        <v>491</v>
      </c>
      <c r="E4426" s="4" t="s">
        <v>492</v>
      </c>
    </row>
    <row r="4427" spans="1:5" ht="39" hidden="1" x14ac:dyDescent="0.15">
      <c r="A4427" s="1" t="s">
        <v>493</v>
      </c>
      <c r="B4427" s="2">
        <v>118078</v>
      </c>
      <c r="C4427" s="3">
        <v>0.105</v>
      </c>
      <c r="D4427" s="4" t="s">
        <v>491</v>
      </c>
      <c r="E4427" s="4" t="s">
        <v>492</v>
      </c>
    </row>
    <row r="4428" spans="1:5" ht="39" hidden="1" x14ac:dyDescent="0.15">
      <c r="A4428" s="1" t="s">
        <v>493</v>
      </c>
      <c r="B4428" s="2">
        <v>118078</v>
      </c>
      <c r="C4428" s="3">
        <v>0.105</v>
      </c>
      <c r="D4428" s="4" t="s">
        <v>491</v>
      </c>
      <c r="E4428" s="4" t="s">
        <v>492</v>
      </c>
    </row>
    <row r="4429" spans="1:5" ht="26" hidden="1" x14ac:dyDescent="0.15">
      <c r="A4429" s="1" t="s">
        <v>494</v>
      </c>
      <c r="B4429" s="2">
        <v>232671</v>
      </c>
      <c r="C4429" s="3">
        <v>0.20699999999999999</v>
      </c>
      <c r="D4429" s="4" t="s">
        <v>491</v>
      </c>
      <c r="E4429" s="4" t="s">
        <v>492</v>
      </c>
    </row>
    <row r="4430" spans="1:5" ht="26" hidden="1" x14ac:dyDescent="0.15">
      <c r="A4430" s="1" t="s">
        <v>495</v>
      </c>
      <c r="B4430" s="2">
        <v>437329</v>
      </c>
      <c r="C4430" s="3">
        <v>0.38900000000000001</v>
      </c>
      <c r="D4430" s="4" t="s">
        <v>491</v>
      </c>
      <c r="E4430" s="4" t="s">
        <v>492</v>
      </c>
    </row>
    <row r="4431" spans="1:5" ht="26" hidden="1" x14ac:dyDescent="0.15">
      <c r="A4431" s="1" t="s">
        <v>496</v>
      </c>
      <c r="B4431" s="2">
        <v>123066</v>
      </c>
      <c r="C4431" s="3">
        <v>0.11</v>
      </c>
      <c r="D4431" s="4" t="s">
        <v>491</v>
      </c>
      <c r="E4431" s="4" t="s">
        <v>492</v>
      </c>
    </row>
    <row r="4432" spans="1:5" ht="26" hidden="1" x14ac:dyDescent="0.15">
      <c r="A4432" s="1" t="s">
        <v>497</v>
      </c>
      <c r="B4432" s="2">
        <v>673605</v>
      </c>
      <c r="C4432" s="3">
        <v>0.6</v>
      </c>
      <c r="D4432" s="4" t="s">
        <v>491</v>
      </c>
      <c r="E4432" s="4" t="s">
        <v>492</v>
      </c>
    </row>
    <row r="4433" spans="1:5" hidden="1" x14ac:dyDescent="0.15">
      <c r="A4433" s="1" t="s">
        <v>0</v>
      </c>
      <c r="B4433" s="2">
        <v>13570295</v>
      </c>
      <c r="C4433" s="3">
        <v>1</v>
      </c>
      <c r="D4433" s="4" t="s">
        <v>498</v>
      </c>
      <c r="E4433" s="4" t="s">
        <v>241</v>
      </c>
    </row>
    <row r="4434" spans="1:5" ht="26" hidden="1" x14ac:dyDescent="0.15">
      <c r="A4434" s="1" t="s">
        <v>3</v>
      </c>
      <c r="B4434" s="2">
        <v>296267</v>
      </c>
      <c r="C4434" s="3">
        <v>2.2000000000000002E-2</v>
      </c>
      <c r="D4434" s="4" t="s">
        <v>498</v>
      </c>
      <c r="E4434" s="4" t="s">
        <v>241</v>
      </c>
    </row>
    <row r="4435" spans="1:5" hidden="1" x14ac:dyDescent="0.15">
      <c r="A4435" s="1" t="s">
        <v>4</v>
      </c>
      <c r="B4435" s="2">
        <v>125661</v>
      </c>
      <c r="C4435" s="3">
        <v>9.0000000000000011E-3</v>
      </c>
      <c r="D4435" s="4" t="s">
        <v>498</v>
      </c>
      <c r="E4435" s="4" t="s">
        <v>241</v>
      </c>
    </row>
    <row r="4436" spans="1:5" ht="26" hidden="1" x14ac:dyDescent="0.15">
      <c r="A4436" s="1" t="s">
        <v>5</v>
      </c>
      <c r="B4436" s="2">
        <v>245641</v>
      </c>
      <c r="C4436" s="3">
        <v>1.8000000000000002E-2</v>
      </c>
      <c r="D4436" s="4" t="s">
        <v>498</v>
      </c>
      <c r="E4436" s="4" t="s">
        <v>241</v>
      </c>
    </row>
    <row r="4437" spans="1:5" ht="26" hidden="1" x14ac:dyDescent="0.15">
      <c r="A4437" s="1" t="s">
        <v>6</v>
      </c>
      <c r="B4437" s="2">
        <v>809091</v>
      </c>
      <c r="C4437" s="3">
        <v>0.06</v>
      </c>
      <c r="D4437" s="4" t="s">
        <v>498</v>
      </c>
      <c r="E4437" s="4" t="s">
        <v>241</v>
      </c>
    </row>
    <row r="4438" spans="1:5" ht="26" hidden="1" x14ac:dyDescent="0.15">
      <c r="A4438" s="1" t="s">
        <v>7</v>
      </c>
      <c r="B4438" s="2">
        <v>1626970</v>
      </c>
      <c r="C4438" s="3">
        <v>0.12</v>
      </c>
      <c r="D4438" s="4" t="s">
        <v>498</v>
      </c>
      <c r="E4438" s="4" t="s">
        <v>241</v>
      </c>
    </row>
    <row r="4439" spans="1:5" ht="26" hidden="1" x14ac:dyDescent="0.15">
      <c r="A4439" s="1" t="s">
        <v>8</v>
      </c>
      <c r="B4439" s="2">
        <v>57659</v>
      </c>
      <c r="C4439" s="3">
        <v>4.0000000000000001E-3</v>
      </c>
      <c r="D4439" s="4" t="s">
        <v>498</v>
      </c>
      <c r="E4439" s="4" t="s">
        <v>241</v>
      </c>
    </row>
    <row r="4440" spans="1:5" ht="26" hidden="1" x14ac:dyDescent="0.15">
      <c r="A4440" s="1" t="s">
        <v>9</v>
      </c>
      <c r="B4440" s="2">
        <v>801644</v>
      </c>
      <c r="C4440" s="3">
        <v>5.9000000000000004E-2</v>
      </c>
      <c r="D4440" s="4" t="s">
        <v>498</v>
      </c>
      <c r="E4440" s="4" t="s">
        <v>241</v>
      </c>
    </row>
    <row r="4441" spans="1:5" ht="26" hidden="1" x14ac:dyDescent="0.15">
      <c r="A4441" s="1" t="s">
        <v>10</v>
      </c>
      <c r="B4441" s="2">
        <v>410517</v>
      </c>
      <c r="C4441" s="3">
        <v>0.03</v>
      </c>
      <c r="D4441" s="4" t="s">
        <v>498</v>
      </c>
      <c r="E4441" s="4" t="s">
        <v>241</v>
      </c>
    </row>
    <row r="4442" spans="1:5" ht="26" hidden="1" x14ac:dyDescent="0.15">
      <c r="A4442" s="1" t="s">
        <v>11</v>
      </c>
      <c r="B4442" s="2">
        <v>819746</v>
      </c>
      <c r="C4442" s="3">
        <v>0.06</v>
      </c>
      <c r="D4442" s="4" t="s">
        <v>498</v>
      </c>
      <c r="E4442" s="4" t="s">
        <v>241</v>
      </c>
    </row>
    <row r="4443" spans="1:5" ht="26" hidden="1" x14ac:dyDescent="0.15">
      <c r="A4443" s="1" t="s">
        <v>12</v>
      </c>
      <c r="B4443" s="2">
        <v>324102</v>
      </c>
      <c r="C4443" s="3">
        <v>2.4E-2</v>
      </c>
      <c r="D4443" s="4" t="s">
        <v>498</v>
      </c>
      <c r="E4443" s="4" t="s">
        <v>241</v>
      </c>
    </row>
    <row r="4444" spans="1:5" ht="26" hidden="1" x14ac:dyDescent="0.15">
      <c r="A4444" s="1" t="s">
        <v>13</v>
      </c>
      <c r="B4444" s="2">
        <v>167448</v>
      </c>
      <c r="C4444" s="3">
        <v>1.2E-2</v>
      </c>
      <c r="D4444" s="4" t="s">
        <v>498</v>
      </c>
      <c r="E4444" s="4" t="s">
        <v>241</v>
      </c>
    </row>
    <row r="4445" spans="1:5" hidden="1" x14ac:dyDescent="0.15">
      <c r="A4445" s="1" t="s">
        <v>14</v>
      </c>
      <c r="B4445" s="2">
        <v>1081580</v>
      </c>
      <c r="C4445" s="3">
        <v>0.08</v>
      </c>
      <c r="D4445" s="4" t="s">
        <v>498</v>
      </c>
      <c r="E4445" s="4" t="s">
        <v>241</v>
      </c>
    </row>
    <row r="4446" spans="1:5" ht="26" hidden="1" x14ac:dyDescent="0.15">
      <c r="A4446" s="1" t="s">
        <v>15</v>
      </c>
      <c r="B4446" s="2">
        <v>535563</v>
      </c>
      <c r="C4446" s="3">
        <v>3.9E-2</v>
      </c>
      <c r="D4446" s="4" t="s">
        <v>498</v>
      </c>
      <c r="E4446" s="4" t="s">
        <v>241</v>
      </c>
    </row>
    <row r="4447" spans="1:5" ht="26" hidden="1" x14ac:dyDescent="0.15">
      <c r="A4447" s="1" t="s">
        <v>16</v>
      </c>
      <c r="B4447" s="2">
        <v>553969</v>
      </c>
      <c r="C4447" s="3">
        <v>4.0999999999999995E-2</v>
      </c>
      <c r="D4447" s="4" t="s">
        <v>498</v>
      </c>
      <c r="E4447" s="4" t="s">
        <v>241</v>
      </c>
    </row>
    <row r="4448" spans="1:5" ht="26" hidden="1" x14ac:dyDescent="0.15">
      <c r="A4448" s="1" t="s">
        <v>17</v>
      </c>
      <c r="B4448" s="2">
        <v>291958</v>
      </c>
      <c r="C4448" s="3">
        <v>2.2000000000000002E-2</v>
      </c>
      <c r="D4448" s="4" t="s">
        <v>498</v>
      </c>
      <c r="E4448" s="4" t="s">
        <v>241</v>
      </c>
    </row>
    <row r="4449" spans="1:5" hidden="1" x14ac:dyDescent="0.15">
      <c r="A4449" s="1" t="s">
        <v>18</v>
      </c>
      <c r="B4449" s="2">
        <v>176654</v>
      </c>
      <c r="C4449" s="3">
        <v>1.3000000000000001E-2</v>
      </c>
      <c r="D4449" s="4" t="s">
        <v>498</v>
      </c>
      <c r="E4449" s="4" t="s">
        <v>241</v>
      </c>
    </row>
    <row r="4450" spans="1:5" hidden="1" x14ac:dyDescent="0.15">
      <c r="A4450" s="1" t="s">
        <v>19</v>
      </c>
      <c r="B4450" s="2">
        <v>1869906</v>
      </c>
      <c r="C4450" s="3">
        <v>0.13800000000000001</v>
      </c>
      <c r="D4450" s="4" t="s">
        <v>498</v>
      </c>
      <c r="E4450" s="4" t="s">
        <v>241</v>
      </c>
    </row>
    <row r="4451" spans="1:5" hidden="1" x14ac:dyDescent="0.15">
      <c r="A4451" s="1" t="s">
        <v>20</v>
      </c>
      <c r="B4451" s="2">
        <v>714533</v>
      </c>
      <c r="C4451" s="3">
        <v>5.2999999999999999E-2</v>
      </c>
      <c r="D4451" s="4" t="s">
        <v>498</v>
      </c>
      <c r="E4451" s="4" t="s">
        <v>241</v>
      </c>
    </row>
    <row r="4452" spans="1:5" ht="26" hidden="1" x14ac:dyDescent="0.15">
      <c r="A4452" s="1" t="s">
        <v>21</v>
      </c>
      <c r="B4452" s="2">
        <v>488698</v>
      </c>
      <c r="C4452" s="3">
        <v>3.6000000000000004E-2</v>
      </c>
      <c r="D4452" s="4" t="s">
        <v>498</v>
      </c>
      <c r="E4452" s="4" t="s">
        <v>241</v>
      </c>
    </row>
    <row r="4453" spans="1:5" ht="26" hidden="1" x14ac:dyDescent="0.15">
      <c r="A4453" s="1" t="s">
        <v>22</v>
      </c>
      <c r="B4453" s="2">
        <v>1183256</v>
      </c>
      <c r="C4453" s="3">
        <v>8.6999999999999994E-2</v>
      </c>
      <c r="D4453" s="4" t="s">
        <v>498</v>
      </c>
      <c r="E4453" s="4" t="s">
        <v>241</v>
      </c>
    </row>
    <row r="4454" spans="1:5" ht="26" hidden="1" x14ac:dyDescent="0.15">
      <c r="A4454" s="1" t="s">
        <v>23</v>
      </c>
      <c r="B4454" s="2">
        <v>214589</v>
      </c>
      <c r="C4454" s="3">
        <v>1.6E-2</v>
      </c>
      <c r="D4454" s="4" t="s">
        <v>498</v>
      </c>
      <c r="E4454" s="4" t="s">
        <v>241</v>
      </c>
    </row>
    <row r="4455" spans="1:5" ht="26" hidden="1" x14ac:dyDescent="0.15">
      <c r="A4455" s="1" t="s">
        <v>24</v>
      </c>
      <c r="B4455" s="2">
        <v>60267</v>
      </c>
      <c r="C4455" s="3">
        <v>4.0000000000000001E-3</v>
      </c>
      <c r="D4455" s="4" t="s">
        <v>498</v>
      </c>
      <c r="E4455" s="4" t="s">
        <v>241</v>
      </c>
    </row>
    <row r="4456" spans="1:5" ht="26" hidden="1" x14ac:dyDescent="0.15">
      <c r="A4456" s="1" t="s">
        <v>25</v>
      </c>
      <c r="B4456" s="2">
        <v>330431</v>
      </c>
      <c r="C4456" s="3">
        <v>2.4E-2</v>
      </c>
      <c r="D4456" s="4" t="s">
        <v>498</v>
      </c>
      <c r="E4456" s="4" t="s">
        <v>241</v>
      </c>
    </row>
    <row r="4457" spans="1:5" hidden="1" x14ac:dyDescent="0.15">
      <c r="A4457" s="1" t="s">
        <v>26</v>
      </c>
      <c r="B4457" s="2">
        <v>205728</v>
      </c>
      <c r="C4457" s="3">
        <v>1.4999999999999999E-2</v>
      </c>
      <c r="D4457" s="4" t="s">
        <v>498</v>
      </c>
      <c r="E4457" s="4" t="s">
        <v>241</v>
      </c>
    </row>
    <row r="4458" spans="1:5" hidden="1" x14ac:dyDescent="0.15">
      <c r="A4458" s="1" t="s">
        <v>27</v>
      </c>
      <c r="B4458" s="2">
        <v>619954</v>
      </c>
      <c r="C4458" s="3">
        <v>4.5999999999999999E-2</v>
      </c>
      <c r="D4458" s="4" t="s">
        <v>498</v>
      </c>
      <c r="E4458" s="4" t="s">
        <v>241</v>
      </c>
    </row>
    <row r="4459" spans="1:5" hidden="1" x14ac:dyDescent="0.15">
      <c r="A4459" s="1" t="s">
        <v>28</v>
      </c>
      <c r="B4459" s="2">
        <v>2195563</v>
      </c>
      <c r="C4459" s="3">
        <v>0.16200000000000001</v>
      </c>
      <c r="D4459" s="4" t="s">
        <v>498</v>
      </c>
      <c r="E4459" s="4" t="s">
        <v>241</v>
      </c>
    </row>
    <row r="4460" spans="1:5" hidden="1" x14ac:dyDescent="0.15">
      <c r="A4460" s="1" t="s">
        <v>29</v>
      </c>
      <c r="B4460" s="2">
        <v>2871307</v>
      </c>
      <c r="C4460" s="3">
        <v>0.21199999999999999</v>
      </c>
      <c r="D4460" s="4" t="s">
        <v>498</v>
      </c>
      <c r="E4460" s="4" t="s">
        <v>241</v>
      </c>
    </row>
    <row r="4461" spans="1:5" hidden="1" x14ac:dyDescent="0.15">
      <c r="A4461" s="1" t="s">
        <v>30</v>
      </c>
      <c r="B4461" s="2">
        <v>548087</v>
      </c>
      <c r="C4461" s="3">
        <v>0.04</v>
      </c>
      <c r="D4461" s="4" t="s">
        <v>498</v>
      </c>
      <c r="E4461" s="4" t="s">
        <v>241</v>
      </c>
    </row>
    <row r="4462" spans="1:5" ht="39" hidden="1" x14ac:dyDescent="0.15">
      <c r="A4462" s="1" t="s">
        <v>31</v>
      </c>
      <c r="B4462" s="2">
        <v>202396</v>
      </c>
      <c r="C4462" s="3">
        <v>1.4999999999999999E-2</v>
      </c>
      <c r="D4462" s="4" t="s">
        <v>498</v>
      </c>
      <c r="E4462" s="4" t="s">
        <v>241</v>
      </c>
    </row>
    <row r="4463" spans="1:5" hidden="1" x14ac:dyDescent="0.15">
      <c r="A4463" s="1" t="s">
        <v>32</v>
      </c>
      <c r="B4463" s="2">
        <v>343811</v>
      </c>
      <c r="C4463" s="3">
        <v>2.5000000000000001E-2</v>
      </c>
      <c r="D4463" s="4" t="s">
        <v>498</v>
      </c>
      <c r="E4463" s="4" t="s">
        <v>241</v>
      </c>
    </row>
    <row r="4464" spans="1:5" hidden="1" x14ac:dyDescent="0.15">
      <c r="A4464" s="1" t="s">
        <v>33</v>
      </c>
      <c r="B4464" s="2">
        <v>3760829</v>
      </c>
      <c r="C4464" s="3">
        <v>0.27699999999999997</v>
      </c>
      <c r="D4464" s="4" t="s">
        <v>498</v>
      </c>
      <c r="E4464" s="4" t="s">
        <v>241</v>
      </c>
    </row>
    <row r="4465" spans="1:5" hidden="1" x14ac:dyDescent="0.15">
      <c r="A4465" s="1" t="s">
        <v>34</v>
      </c>
      <c r="B4465" s="2">
        <v>819869</v>
      </c>
      <c r="C4465" s="3">
        <v>0.06</v>
      </c>
      <c r="D4465" s="4" t="s">
        <v>498</v>
      </c>
      <c r="E4465" s="4" t="s">
        <v>241</v>
      </c>
    </row>
    <row r="4466" spans="1:5" hidden="1" x14ac:dyDescent="0.15">
      <c r="A4466" s="1" t="s">
        <v>35</v>
      </c>
      <c r="B4466" s="2">
        <v>1325647</v>
      </c>
      <c r="C4466" s="3">
        <v>9.8000000000000004E-2</v>
      </c>
      <c r="D4466" s="4" t="s">
        <v>498</v>
      </c>
      <c r="E4466" s="4" t="s">
        <v>241</v>
      </c>
    </row>
    <row r="4467" spans="1:5" ht="26" hidden="1" x14ac:dyDescent="0.15">
      <c r="A4467" s="1" t="s">
        <v>36</v>
      </c>
      <c r="B4467" s="2">
        <v>260714</v>
      </c>
      <c r="C4467" s="3">
        <v>1.9E-2</v>
      </c>
      <c r="D4467" s="4" t="s">
        <v>498</v>
      </c>
      <c r="E4467" s="4" t="s">
        <v>241</v>
      </c>
    </row>
    <row r="4468" spans="1:5" hidden="1" x14ac:dyDescent="0.15">
      <c r="A4468" s="1" t="s">
        <v>37</v>
      </c>
      <c r="B4468" s="2">
        <v>272221</v>
      </c>
      <c r="C4468" s="3">
        <v>0.02</v>
      </c>
      <c r="D4468" s="4" t="s">
        <v>498</v>
      </c>
      <c r="E4468" s="4" t="s">
        <v>241</v>
      </c>
    </row>
    <row r="4469" spans="1:5" ht="39" hidden="1" x14ac:dyDescent="0.15">
      <c r="A4469" s="1" t="s">
        <v>38</v>
      </c>
      <c r="B4469" s="2">
        <v>424057</v>
      </c>
      <c r="C4469" s="3">
        <v>3.1E-2</v>
      </c>
      <c r="D4469" s="4" t="s">
        <v>498</v>
      </c>
      <c r="E4469" s="4" t="s">
        <v>241</v>
      </c>
    </row>
    <row r="4470" spans="1:5" hidden="1" x14ac:dyDescent="0.15">
      <c r="A4470" s="1" t="s">
        <v>39</v>
      </c>
      <c r="B4470" s="2">
        <v>887220</v>
      </c>
      <c r="C4470" s="3">
        <v>6.5000000000000002E-2</v>
      </c>
      <c r="D4470" s="4" t="s">
        <v>498</v>
      </c>
      <c r="E4470" s="4" t="s">
        <v>241</v>
      </c>
    </row>
    <row r="4471" spans="1:5" hidden="1" x14ac:dyDescent="0.15">
      <c r="A4471" s="1" t="s">
        <v>40</v>
      </c>
      <c r="B4471" s="2">
        <v>140493</v>
      </c>
      <c r="C4471" s="3">
        <v>0.01</v>
      </c>
      <c r="D4471" s="4" t="s">
        <v>498</v>
      </c>
      <c r="E4471" s="4" t="s">
        <v>241</v>
      </c>
    </row>
    <row r="4472" spans="1:5" hidden="1" x14ac:dyDescent="0.15">
      <c r="A4472" s="1" t="s">
        <v>41</v>
      </c>
      <c r="B4472" s="2">
        <v>448760</v>
      </c>
      <c r="C4472" s="3">
        <v>3.3000000000000002E-2</v>
      </c>
      <c r="D4472" s="4" t="s">
        <v>498</v>
      </c>
      <c r="E4472" s="4" t="s">
        <v>241</v>
      </c>
    </row>
    <row r="4473" spans="1:5" hidden="1" x14ac:dyDescent="0.15">
      <c r="A4473" s="1" t="s">
        <v>42</v>
      </c>
      <c r="B4473" s="2">
        <v>373010</v>
      </c>
      <c r="C4473" s="3">
        <v>2.7000000000000003E-2</v>
      </c>
      <c r="D4473" s="4" t="s">
        <v>498</v>
      </c>
      <c r="E4473" s="4" t="s">
        <v>241</v>
      </c>
    </row>
    <row r="4474" spans="1:5" hidden="1" x14ac:dyDescent="0.15">
      <c r="A4474" s="1" t="s">
        <v>43</v>
      </c>
      <c r="B4474" s="2">
        <v>1246712</v>
      </c>
      <c r="C4474" s="3">
        <v>9.1999999999999998E-2</v>
      </c>
      <c r="D4474" s="4" t="s">
        <v>498</v>
      </c>
      <c r="E4474" s="4" t="s">
        <v>241</v>
      </c>
    </row>
    <row r="4475" spans="1:5" ht="26" hidden="1" x14ac:dyDescent="0.15">
      <c r="A4475" s="1" t="s">
        <v>44</v>
      </c>
      <c r="B4475" s="2">
        <v>1098374</v>
      </c>
      <c r="C4475" s="3">
        <v>8.1000000000000003E-2</v>
      </c>
      <c r="D4475" s="4" t="s">
        <v>498</v>
      </c>
      <c r="E4475" s="4" t="s">
        <v>241</v>
      </c>
    </row>
    <row r="4476" spans="1:5" hidden="1" x14ac:dyDescent="0.15">
      <c r="A4476" s="1" t="s">
        <v>45</v>
      </c>
      <c r="B4476" s="2">
        <v>2127888</v>
      </c>
      <c r="C4476" s="3">
        <v>0.157</v>
      </c>
      <c r="D4476" s="4" t="s">
        <v>498</v>
      </c>
      <c r="E4476" s="4" t="s">
        <v>241</v>
      </c>
    </row>
    <row r="4477" spans="1:5" ht="26" hidden="1" x14ac:dyDescent="0.15">
      <c r="A4477" s="1" t="s">
        <v>46</v>
      </c>
      <c r="B4477" s="2">
        <v>3385407</v>
      </c>
      <c r="C4477" s="3">
        <v>0.249</v>
      </c>
      <c r="D4477" s="4" t="s">
        <v>498</v>
      </c>
      <c r="E4477" s="4" t="s">
        <v>241</v>
      </c>
    </row>
    <row r="4478" spans="1:5" hidden="1" x14ac:dyDescent="0.15">
      <c r="A4478" s="1" t="s">
        <v>47</v>
      </c>
      <c r="B4478" s="2">
        <v>4301968</v>
      </c>
      <c r="C4478" s="3">
        <v>0.317</v>
      </c>
      <c r="D4478" s="4" t="s">
        <v>498</v>
      </c>
      <c r="E4478" s="4" t="s">
        <v>241</v>
      </c>
    </row>
    <row r="4479" spans="1:5" hidden="1" x14ac:dyDescent="0.15">
      <c r="A4479" s="1" t="s">
        <v>48</v>
      </c>
      <c r="B4479" s="2">
        <v>865457</v>
      </c>
      <c r="C4479" s="3">
        <v>6.4000000000000001E-2</v>
      </c>
      <c r="D4479" s="4" t="s">
        <v>498</v>
      </c>
      <c r="E4479" s="4" t="s">
        <v>241</v>
      </c>
    </row>
    <row r="4480" spans="1:5" hidden="1" x14ac:dyDescent="0.15">
      <c r="A4480" s="1" t="s">
        <v>49</v>
      </c>
      <c r="B4480" s="2">
        <v>2729434</v>
      </c>
      <c r="C4480" s="3">
        <v>0.20100000000000001</v>
      </c>
      <c r="D4480" s="4" t="s">
        <v>498</v>
      </c>
      <c r="E4480" s="4" t="s">
        <v>241</v>
      </c>
    </row>
    <row r="4481" spans="1:5" ht="26" hidden="1" x14ac:dyDescent="0.15">
      <c r="A4481" s="1" t="s">
        <v>50</v>
      </c>
      <c r="B4481" s="2">
        <v>2332996</v>
      </c>
      <c r="C4481" s="3">
        <v>0.17199999999999999</v>
      </c>
      <c r="D4481" s="4" t="s">
        <v>498</v>
      </c>
      <c r="E4481" s="4" t="s">
        <v>241</v>
      </c>
    </row>
    <row r="4482" spans="1:5" hidden="1" x14ac:dyDescent="0.15">
      <c r="A4482" s="1" t="s">
        <v>51</v>
      </c>
      <c r="B4482" s="2">
        <v>3938381</v>
      </c>
      <c r="C4482" s="3">
        <v>0.28999999999999998</v>
      </c>
      <c r="D4482" s="4" t="s">
        <v>498</v>
      </c>
      <c r="E4482" s="4" t="s">
        <v>241</v>
      </c>
    </row>
    <row r="4483" spans="1:5" hidden="1" x14ac:dyDescent="0.15">
      <c r="A4483" s="1" t="s">
        <v>52</v>
      </c>
      <c r="B4483" s="2">
        <v>2024314</v>
      </c>
      <c r="C4483" s="3">
        <v>0.14899999999999999</v>
      </c>
      <c r="D4483" s="4" t="s">
        <v>498</v>
      </c>
      <c r="E4483" s="4" t="s">
        <v>241</v>
      </c>
    </row>
    <row r="4484" spans="1:5" ht="26" hidden="1" x14ac:dyDescent="0.15">
      <c r="A4484" s="1" t="s">
        <v>53</v>
      </c>
      <c r="B4484" s="2">
        <v>1161877</v>
      </c>
      <c r="C4484" s="3">
        <v>8.5999999999999993E-2</v>
      </c>
      <c r="D4484" s="4" t="s">
        <v>498</v>
      </c>
      <c r="E4484" s="4" t="s">
        <v>241</v>
      </c>
    </row>
    <row r="4485" spans="1:5" hidden="1" x14ac:dyDescent="0.15">
      <c r="A4485" s="1" t="s">
        <v>54</v>
      </c>
      <c r="B4485" s="2">
        <v>4859890</v>
      </c>
      <c r="C4485" s="3">
        <v>0.35799999999999998</v>
      </c>
      <c r="D4485" s="4" t="s">
        <v>498</v>
      </c>
      <c r="E4485" s="4" t="s">
        <v>241</v>
      </c>
    </row>
    <row r="4486" spans="1:5" ht="26" hidden="1" x14ac:dyDescent="0.15">
      <c r="A4486" s="1" t="s">
        <v>55</v>
      </c>
      <c r="B4486" s="2">
        <v>2658937</v>
      </c>
      <c r="C4486" s="3">
        <v>0.19600000000000001</v>
      </c>
      <c r="D4486" s="4" t="s">
        <v>498</v>
      </c>
      <c r="E4486" s="4" t="s">
        <v>241</v>
      </c>
    </row>
    <row r="4487" spans="1:5" hidden="1" x14ac:dyDescent="0.15">
      <c r="A4487" s="1" t="s">
        <v>56</v>
      </c>
      <c r="B4487" s="2">
        <v>2719567</v>
      </c>
      <c r="C4487" s="3">
        <v>0.2</v>
      </c>
      <c r="D4487" s="4" t="s">
        <v>498</v>
      </c>
      <c r="E4487" s="4" t="s">
        <v>241</v>
      </c>
    </row>
    <row r="4488" spans="1:5" hidden="1" x14ac:dyDescent="0.15">
      <c r="A4488" s="1" t="s">
        <v>57</v>
      </c>
      <c r="B4488" s="2">
        <v>1816904</v>
      </c>
      <c r="C4488" s="3">
        <v>0.13400000000000001</v>
      </c>
      <c r="D4488" s="4" t="s">
        <v>498</v>
      </c>
      <c r="E4488" s="4" t="s">
        <v>241</v>
      </c>
    </row>
    <row r="4489" spans="1:5" hidden="1" x14ac:dyDescent="0.15">
      <c r="A4489" s="1" t="s">
        <v>58</v>
      </c>
      <c r="B4489" s="2">
        <v>1354340</v>
      </c>
      <c r="C4489" s="3">
        <v>0.1</v>
      </c>
      <c r="D4489" s="4" t="s">
        <v>498</v>
      </c>
      <c r="E4489" s="4" t="s">
        <v>241</v>
      </c>
    </row>
    <row r="4490" spans="1:5" hidden="1" x14ac:dyDescent="0.15">
      <c r="A4490" s="1" t="s">
        <v>59</v>
      </c>
      <c r="B4490" s="2">
        <v>6024671</v>
      </c>
      <c r="C4490" s="3">
        <v>0.44400000000000001</v>
      </c>
      <c r="D4490" s="4" t="s">
        <v>498</v>
      </c>
      <c r="E4490" s="4" t="s">
        <v>241</v>
      </c>
    </row>
    <row r="4491" spans="1:5" hidden="1" x14ac:dyDescent="0.15">
      <c r="A4491" s="1" t="s">
        <v>60</v>
      </c>
      <c r="B4491" s="2">
        <v>3392619</v>
      </c>
      <c r="C4491" s="3">
        <v>0.25</v>
      </c>
      <c r="D4491" s="4" t="s">
        <v>498</v>
      </c>
      <c r="E4491" s="4" t="s">
        <v>241</v>
      </c>
    </row>
    <row r="4492" spans="1:5" ht="26" hidden="1" x14ac:dyDescent="0.15">
      <c r="A4492" s="1" t="s">
        <v>61</v>
      </c>
      <c r="B4492" s="2">
        <v>2592649</v>
      </c>
      <c r="C4492" s="3">
        <v>0.191</v>
      </c>
      <c r="D4492" s="4" t="s">
        <v>498</v>
      </c>
      <c r="E4492" s="4" t="s">
        <v>241</v>
      </c>
    </row>
    <row r="4493" spans="1:5" hidden="1" x14ac:dyDescent="0.15">
      <c r="A4493" s="1" t="s">
        <v>62</v>
      </c>
      <c r="B4493" s="2">
        <v>3168161</v>
      </c>
      <c r="C4493" s="3">
        <v>0.23300000000000001</v>
      </c>
      <c r="D4493" s="4" t="s">
        <v>498</v>
      </c>
      <c r="E4493" s="4" t="s">
        <v>241</v>
      </c>
    </row>
    <row r="4494" spans="1:5" ht="26" hidden="1" x14ac:dyDescent="0.15">
      <c r="A4494" s="1" t="s">
        <v>63</v>
      </c>
      <c r="B4494" s="2">
        <v>1394093</v>
      </c>
      <c r="C4494" s="3">
        <v>0.10300000000000001</v>
      </c>
      <c r="D4494" s="4" t="s">
        <v>498</v>
      </c>
      <c r="E4494" s="4" t="s">
        <v>241</v>
      </c>
    </row>
    <row r="4495" spans="1:5" ht="26" hidden="1" x14ac:dyDescent="0.15">
      <c r="A4495" s="1" t="s">
        <v>64</v>
      </c>
      <c r="B4495" s="2">
        <v>637162</v>
      </c>
      <c r="C4495" s="3">
        <v>4.7E-2</v>
      </c>
      <c r="D4495" s="4" t="s">
        <v>498</v>
      </c>
      <c r="E4495" s="4" t="s">
        <v>241</v>
      </c>
    </row>
    <row r="4496" spans="1:5" hidden="1" x14ac:dyDescent="0.15">
      <c r="A4496" s="1" t="s">
        <v>65</v>
      </c>
      <c r="B4496" s="2">
        <v>1670758</v>
      </c>
      <c r="C4496" s="3">
        <v>0.12300000000000001</v>
      </c>
      <c r="D4496" s="4" t="s">
        <v>498</v>
      </c>
      <c r="E4496" s="4" t="s">
        <v>241</v>
      </c>
    </row>
    <row r="4497" spans="1:5" hidden="1" x14ac:dyDescent="0.15">
      <c r="A4497" s="1" t="s">
        <v>66</v>
      </c>
      <c r="B4497" s="2">
        <v>1262188</v>
      </c>
      <c r="C4497" s="3">
        <v>9.3000000000000013E-2</v>
      </c>
      <c r="D4497" s="4" t="s">
        <v>498</v>
      </c>
      <c r="E4497" s="4" t="s">
        <v>241</v>
      </c>
    </row>
    <row r="4498" spans="1:5" hidden="1" x14ac:dyDescent="0.15">
      <c r="A4498" s="1" t="s">
        <v>67</v>
      </c>
      <c r="B4498" s="2">
        <v>2608911</v>
      </c>
      <c r="C4498" s="3">
        <v>0.192</v>
      </c>
      <c r="D4498" s="4" t="s">
        <v>498</v>
      </c>
      <c r="E4498" s="4" t="s">
        <v>241</v>
      </c>
    </row>
    <row r="4499" spans="1:5" hidden="1" x14ac:dyDescent="0.15">
      <c r="A4499" s="1" t="s">
        <v>68</v>
      </c>
      <c r="B4499" s="2">
        <v>5818497</v>
      </c>
      <c r="C4499" s="3">
        <v>0.42899999999999999</v>
      </c>
      <c r="D4499" s="4" t="s">
        <v>498</v>
      </c>
      <c r="E4499" s="4" t="s">
        <v>241</v>
      </c>
    </row>
    <row r="4500" spans="1:5" hidden="1" x14ac:dyDescent="0.15">
      <c r="A4500" s="1" t="s">
        <v>69</v>
      </c>
      <c r="B4500" s="2">
        <v>6863460</v>
      </c>
      <c r="C4500" s="3">
        <v>0.50600000000000001</v>
      </c>
      <c r="D4500" s="4" t="s">
        <v>498</v>
      </c>
      <c r="E4500" s="4" t="s">
        <v>241</v>
      </c>
    </row>
    <row r="4501" spans="1:5" hidden="1" x14ac:dyDescent="0.15">
      <c r="A4501" s="1" t="s">
        <v>70</v>
      </c>
      <c r="B4501" s="2">
        <v>3069852</v>
      </c>
      <c r="C4501" s="3">
        <v>0.22600000000000001</v>
      </c>
      <c r="D4501" s="4" t="s">
        <v>498</v>
      </c>
      <c r="E4501" s="4" t="s">
        <v>241</v>
      </c>
    </row>
    <row r="4502" spans="1:5" ht="26" hidden="1" x14ac:dyDescent="0.15">
      <c r="A4502" s="1" t="s">
        <v>71</v>
      </c>
      <c r="B4502" s="2">
        <v>995512</v>
      </c>
      <c r="C4502" s="3">
        <v>7.2999999999999995E-2</v>
      </c>
      <c r="D4502" s="4" t="s">
        <v>498</v>
      </c>
      <c r="E4502" s="4" t="s">
        <v>241</v>
      </c>
    </row>
    <row r="4503" spans="1:5" hidden="1" x14ac:dyDescent="0.15">
      <c r="A4503" s="1" t="s">
        <v>72</v>
      </c>
      <c r="B4503" s="2">
        <v>1601245</v>
      </c>
      <c r="C4503" s="3">
        <v>0.11800000000000001</v>
      </c>
      <c r="D4503" s="4" t="s">
        <v>498</v>
      </c>
      <c r="E4503" s="4" t="s">
        <v>241</v>
      </c>
    </row>
    <row r="4504" spans="1:5" hidden="1" x14ac:dyDescent="0.15">
      <c r="A4504" s="1" t="s">
        <v>73</v>
      </c>
      <c r="B4504" s="2">
        <v>8061569</v>
      </c>
      <c r="C4504" s="3">
        <v>0.59399999999999997</v>
      </c>
      <c r="D4504" s="4" t="s">
        <v>498</v>
      </c>
      <c r="E4504" s="4" t="s">
        <v>241</v>
      </c>
    </row>
    <row r="4505" spans="1:5" hidden="1" x14ac:dyDescent="0.15">
      <c r="A4505" s="1" t="s">
        <v>74</v>
      </c>
      <c r="B4505" s="2">
        <v>2776680</v>
      </c>
      <c r="C4505" s="3">
        <v>0.20499999999999999</v>
      </c>
      <c r="D4505" s="4" t="s">
        <v>498</v>
      </c>
      <c r="E4505" s="4" t="s">
        <v>241</v>
      </c>
    </row>
    <row r="4506" spans="1:5" hidden="1" x14ac:dyDescent="0.15">
      <c r="A4506" s="1" t="s">
        <v>75</v>
      </c>
      <c r="B4506" s="2">
        <v>3809368</v>
      </c>
      <c r="C4506" s="3">
        <v>0.28100000000000003</v>
      </c>
      <c r="D4506" s="4" t="s">
        <v>498</v>
      </c>
      <c r="E4506" s="4" t="s">
        <v>241</v>
      </c>
    </row>
    <row r="4507" spans="1:5" hidden="1" x14ac:dyDescent="0.15">
      <c r="A4507" s="1" t="s">
        <v>76</v>
      </c>
      <c r="B4507" s="2">
        <v>1438284</v>
      </c>
      <c r="C4507" s="3">
        <v>0.106</v>
      </c>
      <c r="D4507" s="4" t="s">
        <v>498</v>
      </c>
      <c r="E4507" s="4" t="s">
        <v>241</v>
      </c>
    </row>
    <row r="4508" spans="1:5" hidden="1" x14ac:dyDescent="0.15">
      <c r="A4508" s="1" t="s">
        <v>77</v>
      </c>
      <c r="B4508" s="2">
        <v>1410560</v>
      </c>
      <c r="C4508" s="3">
        <v>0.10400000000000001</v>
      </c>
      <c r="D4508" s="4" t="s">
        <v>498</v>
      </c>
      <c r="E4508" s="4" t="s">
        <v>241</v>
      </c>
    </row>
    <row r="4509" spans="1:5" ht="26" hidden="1" x14ac:dyDescent="0.15">
      <c r="A4509" s="1" t="s">
        <v>78</v>
      </c>
      <c r="B4509" s="2">
        <v>1750588</v>
      </c>
      <c r="C4509" s="3">
        <v>0.129</v>
      </c>
      <c r="D4509" s="4" t="s">
        <v>498</v>
      </c>
      <c r="E4509" s="4" t="s">
        <v>241</v>
      </c>
    </row>
    <row r="4510" spans="1:5" hidden="1" x14ac:dyDescent="0.15">
      <c r="A4510" s="1" t="s">
        <v>79</v>
      </c>
      <c r="B4510" s="2">
        <v>2533549</v>
      </c>
      <c r="C4510" s="3">
        <v>0.187</v>
      </c>
      <c r="D4510" s="4" t="s">
        <v>498</v>
      </c>
      <c r="E4510" s="4" t="s">
        <v>241</v>
      </c>
    </row>
    <row r="4511" spans="1:5" hidden="1" x14ac:dyDescent="0.15">
      <c r="A4511" s="1" t="s">
        <v>80</v>
      </c>
      <c r="B4511" s="2">
        <v>1483951</v>
      </c>
      <c r="C4511" s="3">
        <v>0.109</v>
      </c>
      <c r="D4511" s="4" t="s">
        <v>498</v>
      </c>
      <c r="E4511" s="4" t="s">
        <v>241</v>
      </c>
    </row>
    <row r="4512" spans="1:5" ht="26" hidden="1" x14ac:dyDescent="0.15">
      <c r="A4512" s="1" t="s">
        <v>81</v>
      </c>
      <c r="B4512" s="2">
        <v>2511195</v>
      </c>
      <c r="C4512" s="3">
        <v>0.185</v>
      </c>
      <c r="D4512" s="4" t="s">
        <v>498</v>
      </c>
      <c r="E4512" s="4" t="s">
        <v>241</v>
      </c>
    </row>
    <row r="4513" spans="1:5" hidden="1" x14ac:dyDescent="0.15">
      <c r="A4513" s="1" t="s">
        <v>82</v>
      </c>
      <c r="B4513" s="2">
        <v>1543232</v>
      </c>
      <c r="C4513" s="3">
        <v>0.114</v>
      </c>
      <c r="D4513" s="4" t="s">
        <v>498</v>
      </c>
      <c r="E4513" s="4" t="s">
        <v>241</v>
      </c>
    </row>
    <row r="4514" spans="1:5" hidden="1" x14ac:dyDescent="0.15">
      <c r="A4514" s="4"/>
      <c r="B4514" s="4"/>
      <c r="C4514" s="4"/>
      <c r="D4514" s="4" t="s">
        <v>498</v>
      </c>
      <c r="E4514" s="4" t="s">
        <v>241</v>
      </c>
    </row>
    <row r="4515" spans="1:5" hidden="1" x14ac:dyDescent="0.15">
      <c r="A4515" s="4"/>
      <c r="B4515" s="4"/>
      <c r="C4515" s="4"/>
      <c r="D4515" s="4" t="s">
        <v>498</v>
      </c>
      <c r="E4515" s="4" t="s">
        <v>241</v>
      </c>
    </row>
    <row r="4516" spans="1:5" hidden="1" x14ac:dyDescent="0.15">
      <c r="A4516" s="4"/>
      <c r="B4516" s="4"/>
      <c r="C4516" s="4"/>
      <c r="D4516" s="4" t="s">
        <v>498</v>
      </c>
      <c r="E4516" s="4" t="s">
        <v>241</v>
      </c>
    </row>
    <row r="4517" spans="1:5" ht="26" hidden="1" x14ac:dyDescent="0.15">
      <c r="A4517" s="1" t="s">
        <v>259</v>
      </c>
      <c r="B4517" s="2">
        <v>3665370</v>
      </c>
      <c r="C4517" s="3">
        <v>0.27</v>
      </c>
      <c r="D4517" s="4" t="s">
        <v>498</v>
      </c>
      <c r="E4517" s="4" t="s">
        <v>241</v>
      </c>
    </row>
    <row r="4518" spans="1:5" ht="26" hidden="1" x14ac:dyDescent="0.15">
      <c r="A4518" s="1" t="s">
        <v>260</v>
      </c>
      <c r="B4518" s="2">
        <v>4419310</v>
      </c>
      <c r="C4518" s="3">
        <v>0.32600000000000001</v>
      </c>
      <c r="D4518" s="4" t="s">
        <v>498</v>
      </c>
      <c r="E4518" s="4" t="s">
        <v>241</v>
      </c>
    </row>
    <row r="4519" spans="1:5" ht="26" hidden="1" x14ac:dyDescent="0.15">
      <c r="A4519" s="1" t="s">
        <v>261</v>
      </c>
      <c r="B4519" s="2">
        <v>758945</v>
      </c>
      <c r="C4519" s="3">
        <v>5.5999999999999994E-2</v>
      </c>
      <c r="D4519" s="4" t="s">
        <v>498</v>
      </c>
      <c r="E4519" s="4" t="s">
        <v>241</v>
      </c>
    </row>
    <row r="4520" spans="1:5" hidden="1" x14ac:dyDescent="0.15">
      <c r="A4520" s="1" t="s">
        <v>499</v>
      </c>
      <c r="B4520" s="2">
        <v>1079942</v>
      </c>
      <c r="C4520" s="3">
        <v>0.08</v>
      </c>
      <c r="D4520" s="4" t="s">
        <v>498</v>
      </c>
      <c r="E4520" s="4" t="s">
        <v>241</v>
      </c>
    </row>
    <row r="4521" spans="1:5" hidden="1" x14ac:dyDescent="0.15">
      <c r="A4521" s="1" t="s">
        <v>262</v>
      </c>
      <c r="B4521" s="2">
        <v>1579755</v>
      </c>
      <c r="C4521" s="3">
        <v>0.11599999999999999</v>
      </c>
      <c r="D4521" s="4" t="s">
        <v>498</v>
      </c>
      <c r="E4521" s="4" t="s">
        <v>241</v>
      </c>
    </row>
    <row r="4522" spans="1:5" ht="26" hidden="1" x14ac:dyDescent="0.15">
      <c r="A4522" s="1" t="s">
        <v>263</v>
      </c>
      <c r="B4522" s="2">
        <v>2905607</v>
      </c>
      <c r="C4522" s="3">
        <v>0.214</v>
      </c>
      <c r="D4522" s="4" t="s">
        <v>498</v>
      </c>
      <c r="E4522" s="4" t="s">
        <v>241</v>
      </c>
    </row>
    <row r="4523" spans="1:5" ht="26" hidden="1" x14ac:dyDescent="0.15">
      <c r="A4523" s="1" t="s">
        <v>264</v>
      </c>
      <c r="B4523" s="2">
        <v>5519381</v>
      </c>
      <c r="C4523" s="3">
        <v>0.40700000000000003</v>
      </c>
      <c r="D4523" s="4" t="s">
        <v>498</v>
      </c>
      <c r="E4523" s="4" t="s">
        <v>241</v>
      </c>
    </row>
    <row r="4524" spans="1:5" hidden="1" x14ac:dyDescent="0.15">
      <c r="A4524" s="1" t="s">
        <v>246</v>
      </c>
      <c r="B4524" s="2">
        <v>2061903</v>
      </c>
      <c r="C4524" s="3">
        <v>0.152</v>
      </c>
      <c r="D4524" s="4" t="s">
        <v>498</v>
      </c>
      <c r="E4524" s="4" t="s">
        <v>241</v>
      </c>
    </row>
    <row r="4525" spans="1:5" ht="26" hidden="1" x14ac:dyDescent="0.15">
      <c r="A4525" s="1" t="s">
        <v>265</v>
      </c>
      <c r="B4525" s="2">
        <v>2292594</v>
      </c>
      <c r="C4525" s="3">
        <v>0.16899999999999998</v>
      </c>
      <c r="D4525" s="4" t="s">
        <v>498</v>
      </c>
      <c r="E4525" s="4" t="s">
        <v>241</v>
      </c>
    </row>
    <row r="4526" spans="1:5" hidden="1" x14ac:dyDescent="0.15">
      <c r="A4526" s="1" t="s">
        <v>266</v>
      </c>
      <c r="B4526" s="2">
        <v>1164580</v>
      </c>
      <c r="C4526" s="3">
        <v>8.5999999999999993E-2</v>
      </c>
      <c r="D4526" s="4" t="s">
        <v>498</v>
      </c>
      <c r="E4526" s="4" t="s">
        <v>241</v>
      </c>
    </row>
    <row r="4527" spans="1:5" ht="26" hidden="1" x14ac:dyDescent="0.15">
      <c r="A4527" s="1" t="s">
        <v>267</v>
      </c>
      <c r="B4527" s="2">
        <v>1830747</v>
      </c>
      <c r="C4527" s="3">
        <v>0.13500000000000001</v>
      </c>
      <c r="D4527" s="4" t="s">
        <v>498</v>
      </c>
      <c r="E4527" s="4" t="s">
        <v>241</v>
      </c>
    </row>
    <row r="4528" spans="1:5" ht="26" hidden="1" x14ac:dyDescent="0.15">
      <c r="A4528" s="1" t="s">
        <v>500</v>
      </c>
      <c r="B4528" s="2">
        <v>636477</v>
      </c>
      <c r="C4528" s="3">
        <v>4.7E-2</v>
      </c>
      <c r="D4528" s="4" t="s">
        <v>498</v>
      </c>
      <c r="E4528" s="4" t="s">
        <v>241</v>
      </c>
    </row>
    <row r="4529" spans="1:5" ht="26" hidden="1" x14ac:dyDescent="0.15">
      <c r="A4529" s="1" t="s">
        <v>501</v>
      </c>
      <c r="B4529" s="2">
        <v>1434128</v>
      </c>
      <c r="C4529" s="3">
        <v>0.106</v>
      </c>
      <c r="D4529" s="4" t="s">
        <v>498</v>
      </c>
      <c r="E4529" s="4" t="s">
        <v>241</v>
      </c>
    </row>
    <row r="4530" spans="1:5" hidden="1" x14ac:dyDescent="0.15">
      <c r="A4530" s="1" t="s">
        <v>502</v>
      </c>
      <c r="B4530" s="2">
        <v>2090905</v>
      </c>
      <c r="C4530" s="3">
        <v>0.154</v>
      </c>
      <c r="D4530" s="4" t="s">
        <v>498</v>
      </c>
      <c r="E4530" s="4" t="s">
        <v>241</v>
      </c>
    </row>
    <row r="4531" spans="1:5" ht="39" hidden="1" x14ac:dyDescent="0.15">
      <c r="A4531" s="1" t="s">
        <v>503</v>
      </c>
      <c r="B4531" s="2">
        <v>287695</v>
      </c>
      <c r="C4531" s="3">
        <v>2.1000000000000001E-2</v>
      </c>
      <c r="D4531" s="4" t="s">
        <v>498</v>
      </c>
      <c r="E4531" s="4" t="s">
        <v>241</v>
      </c>
    </row>
    <row r="4532" spans="1:5" ht="26" hidden="1" x14ac:dyDescent="0.15">
      <c r="A4532" s="1" t="s">
        <v>504</v>
      </c>
      <c r="B4532" s="2">
        <v>1099229</v>
      </c>
      <c r="C4532" s="3">
        <v>8.1000000000000003E-2</v>
      </c>
      <c r="D4532" s="4" t="s">
        <v>498</v>
      </c>
      <c r="E4532" s="4" t="s">
        <v>241</v>
      </c>
    </row>
    <row r="4533" spans="1:5" hidden="1" x14ac:dyDescent="0.15">
      <c r="A4533" s="1" t="s">
        <v>505</v>
      </c>
      <c r="B4533" s="2">
        <v>2559160</v>
      </c>
      <c r="C4533" s="3">
        <v>0.18899999999999997</v>
      </c>
      <c r="D4533" s="4" t="s">
        <v>498</v>
      </c>
      <c r="E4533" s="4" t="s">
        <v>241</v>
      </c>
    </row>
    <row r="4534" spans="1:5" ht="39" hidden="1" x14ac:dyDescent="0.15">
      <c r="A4534" s="1" t="s">
        <v>506</v>
      </c>
      <c r="B4534" s="2">
        <v>256534</v>
      </c>
      <c r="C4534" s="3">
        <v>1.9E-2</v>
      </c>
      <c r="D4534" s="4" t="s">
        <v>498</v>
      </c>
      <c r="E4534" s="4" t="s">
        <v>241</v>
      </c>
    </row>
    <row r="4535" spans="1:5" hidden="1" x14ac:dyDescent="0.15">
      <c r="A4535" s="1" t="s">
        <v>0</v>
      </c>
      <c r="B4535" s="2">
        <v>982660</v>
      </c>
      <c r="C4535" s="3">
        <v>1</v>
      </c>
      <c r="D4535" s="4" t="s">
        <v>507</v>
      </c>
      <c r="E4535" s="4" t="s">
        <v>477</v>
      </c>
    </row>
    <row r="4536" spans="1:5" ht="26" hidden="1" x14ac:dyDescent="0.15">
      <c r="A4536" s="1" t="s">
        <v>3</v>
      </c>
      <c r="B4536" s="2">
        <v>22872</v>
      </c>
      <c r="C4536" s="3">
        <v>2.3E-2</v>
      </c>
      <c r="D4536" s="4" t="s">
        <v>507</v>
      </c>
      <c r="E4536" s="4" t="s">
        <v>477</v>
      </c>
    </row>
    <row r="4537" spans="1:5" hidden="1" x14ac:dyDescent="0.15">
      <c r="A4537" s="1" t="s">
        <v>4</v>
      </c>
      <c r="B4537" s="2">
        <v>11165</v>
      </c>
      <c r="C4537" s="3">
        <v>1.1000000000000001E-2</v>
      </c>
      <c r="D4537" s="4" t="s">
        <v>507</v>
      </c>
      <c r="E4537" s="4" t="s">
        <v>477</v>
      </c>
    </row>
    <row r="4538" spans="1:5" ht="26" hidden="1" x14ac:dyDescent="0.15">
      <c r="A4538" s="1" t="s">
        <v>5</v>
      </c>
      <c r="B4538" s="2">
        <v>83735</v>
      </c>
      <c r="C4538" s="3">
        <v>8.5000000000000006E-2</v>
      </c>
      <c r="D4538" s="4" t="s">
        <v>507</v>
      </c>
      <c r="E4538" s="4" t="s">
        <v>477</v>
      </c>
    </row>
    <row r="4539" spans="1:5" ht="26" hidden="1" x14ac:dyDescent="0.15">
      <c r="A4539" s="1" t="s">
        <v>6</v>
      </c>
      <c r="B4539" s="2">
        <v>472414</v>
      </c>
      <c r="C4539" s="3">
        <v>0.48100000000000004</v>
      </c>
      <c r="D4539" s="4" t="s">
        <v>507</v>
      </c>
      <c r="E4539" s="4" t="s">
        <v>477</v>
      </c>
    </row>
    <row r="4540" spans="1:5" ht="26" hidden="1" x14ac:dyDescent="0.15">
      <c r="A4540" s="1" t="s">
        <v>7</v>
      </c>
      <c r="B4540" s="2">
        <v>243843</v>
      </c>
      <c r="C4540" s="3">
        <v>0.248</v>
      </c>
      <c r="D4540" s="4" t="s">
        <v>507</v>
      </c>
      <c r="E4540" s="4" t="s">
        <v>477</v>
      </c>
    </row>
    <row r="4541" spans="1:5" ht="26" hidden="1" x14ac:dyDescent="0.15">
      <c r="A4541" s="1" t="s">
        <v>8</v>
      </c>
      <c r="B4541" s="2">
        <v>1395</v>
      </c>
      <c r="C4541" s="3">
        <v>1E-3</v>
      </c>
      <c r="D4541" s="4" t="s">
        <v>507</v>
      </c>
      <c r="E4541" s="4" t="s">
        <v>477</v>
      </c>
    </row>
    <row r="4542" spans="1:5" ht="26" hidden="1" x14ac:dyDescent="0.15">
      <c r="A4542" s="1" t="s">
        <v>9</v>
      </c>
      <c r="B4542" s="2">
        <v>5573</v>
      </c>
      <c r="C4542" s="3">
        <v>6.0000000000000001E-3</v>
      </c>
      <c r="D4542" s="4" t="s">
        <v>507</v>
      </c>
      <c r="E4542" s="4" t="s">
        <v>477</v>
      </c>
    </row>
    <row r="4543" spans="1:5" ht="26" hidden="1" x14ac:dyDescent="0.15">
      <c r="A4543" s="1" t="s">
        <v>10</v>
      </c>
      <c r="B4543" s="2">
        <v>19800</v>
      </c>
      <c r="C4543" s="3">
        <v>0.02</v>
      </c>
      <c r="D4543" s="4" t="s">
        <v>507</v>
      </c>
      <c r="E4543" s="4" t="s">
        <v>477</v>
      </c>
    </row>
    <row r="4544" spans="1:5" ht="26" hidden="1" x14ac:dyDescent="0.15">
      <c r="A4544" s="1" t="s">
        <v>11</v>
      </c>
      <c r="B4544" s="2">
        <v>31471</v>
      </c>
      <c r="C4544" s="3">
        <v>3.2000000000000001E-2</v>
      </c>
      <c r="D4544" s="4" t="s">
        <v>507</v>
      </c>
      <c r="E4544" s="4" t="s">
        <v>477</v>
      </c>
    </row>
    <row r="4545" spans="1:5" ht="26" hidden="1" x14ac:dyDescent="0.15">
      <c r="A4545" s="1" t="s">
        <v>12</v>
      </c>
      <c r="B4545" s="2">
        <v>3834</v>
      </c>
      <c r="C4545" s="3">
        <v>4.0000000000000001E-3</v>
      </c>
      <c r="D4545" s="4" t="s">
        <v>507</v>
      </c>
      <c r="E4545" s="4" t="s">
        <v>477</v>
      </c>
    </row>
    <row r="4546" spans="1:5" ht="26" hidden="1" x14ac:dyDescent="0.15">
      <c r="A4546" s="1" t="s">
        <v>13</v>
      </c>
      <c r="B4546" s="2">
        <v>4699</v>
      </c>
      <c r="C4546" s="3">
        <v>5.0000000000000001E-3</v>
      </c>
      <c r="D4546" s="4" t="s">
        <v>507</v>
      </c>
      <c r="E4546" s="4" t="s">
        <v>477</v>
      </c>
    </row>
    <row r="4547" spans="1:5" hidden="1" x14ac:dyDescent="0.15">
      <c r="A4547" s="1" t="s">
        <v>14</v>
      </c>
      <c r="B4547" s="2">
        <v>41845</v>
      </c>
      <c r="C4547" s="3">
        <v>4.2999999999999997E-2</v>
      </c>
      <c r="D4547" s="4" t="s">
        <v>507</v>
      </c>
      <c r="E4547" s="4" t="s">
        <v>477</v>
      </c>
    </row>
    <row r="4548" spans="1:5" ht="26" hidden="1" x14ac:dyDescent="0.15">
      <c r="A4548" s="1" t="s">
        <v>15</v>
      </c>
      <c r="B4548" s="2">
        <v>66314</v>
      </c>
      <c r="C4548" s="3">
        <v>6.7000000000000004E-2</v>
      </c>
      <c r="D4548" s="4" t="s">
        <v>507</v>
      </c>
      <c r="E4548" s="4" t="s">
        <v>477</v>
      </c>
    </row>
    <row r="4549" spans="1:5" ht="26" hidden="1" x14ac:dyDescent="0.15">
      <c r="A4549" s="1" t="s">
        <v>16</v>
      </c>
      <c r="B4549" s="2">
        <v>71839</v>
      </c>
      <c r="C4549" s="3">
        <v>7.2999999999999995E-2</v>
      </c>
      <c r="D4549" s="4" t="s">
        <v>507</v>
      </c>
      <c r="E4549" s="4" t="s">
        <v>477</v>
      </c>
    </row>
    <row r="4550" spans="1:5" ht="26" hidden="1" x14ac:dyDescent="0.15">
      <c r="A4550" s="1" t="s">
        <v>17</v>
      </c>
      <c r="B4550" s="2">
        <v>11204</v>
      </c>
      <c r="C4550" s="3">
        <v>1.1000000000000001E-2</v>
      </c>
      <c r="D4550" s="4" t="s">
        <v>507</v>
      </c>
      <c r="E4550" s="4" t="s">
        <v>477</v>
      </c>
    </row>
    <row r="4551" spans="1:5" hidden="1" x14ac:dyDescent="0.15">
      <c r="A4551" s="1" t="s">
        <v>18</v>
      </c>
      <c r="B4551" s="2">
        <v>8648</v>
      </c>
      <c r="C4551" s="3">
        <v>9.0000000000000011E-3</v>
      </c>
      <c r="D4551" s="4" t="s">
        <v>507</v>
      </c>
      <c r="E4551" s="4" t="s">
        <v>477</v>
      </c>
    </row>
    <row r="4552" spans="1:5" hidden="1" x14ac:dyDescent="0.15">
      <c r="A4552" s="1" t="s">
        <v>19</v>
      </c>
      <c r="B4552" s="2">
        <v>100982</v>
      </c>
      <c r="C4552" s="3">
        <v>0.10300000000000001</v>
      </c>
      <c r="D4552" s="4" t="s">
        <v>507</v>
      </c>
      <c r="E4552" s="4" t="s">
        <v>477</v>
      </c>
    </row>
    <row r="4553" spans="1:5" hidden="1" x14ac:dyDescent="0.15">
      <c r="A4553" s="1" t="s">
        <v>20</v>
      </c>
      <c r="B4553" s="2">
        <v>6485</v>
      </c>
      <c r="C4553" s="3">
        <v>6.9999999999999993E-3</v>
      </c>
      <c r="D4553" s="4" t="s">
        <v>507</v>
      </c>
      <c r="E4553" s="4" t="s">
        <v>477</v>
      </c>
    </row>
    <row r="4554" spans="1:5" ht="26" hidden="1" x14ac:dyDescent="0.15">
      <c r="A4554" s="1" t="s">
        <v>21</v>
      </c>
      <c r="B4554" s="2">
        <v>18175</v>
      </c>
      <c r="C4554" s="3">
        <v>1.8000000000000002E-2</v>
      </c>
      <c r="D4554" s="4" t="s">
        <v>507</v>
      </c>
      <c r="E4554" s="4" t="s">
        <v>477</v>
      </c>
    </row>
    <row r="4555" spans="1:5" ht="26" hidden="1" x14ac:dyDescent="0.15">
      <c r="A4555" s="1" t="s">
        <v>22</v>
      </c>
      <c r="B4555" s="2">
        <v>6768</v>
      </c>
      <c r="C4555" s="3">
        <v>6.9999999999999993E-3</v>
      </c>
      <c r="D4555" s="4" t="s">
        <v>507</v>
      </c>
      <c r="E4555" s="4" t="s">
        <v>477</v>
      </c>
    </row>
    <row r="4556" spans="1:5" ht="26" hidden="1" x14ac:dyDescent="0.15">
      <c r="A4556" s="1" t="s">
        <v>23</v>
      </c>
      <c r="B4556" s="2">
        <v>21168</v>
      </c>
      <c r="C4556" s="3">
        <v>2.2000000000000002E-2</v>
      </c>
      <c r="D4556" s="4" t="s">
        <v>507</v>
      </c>
      <c r="E4556" s="4" t="s">
        <v>477</v>
      </c>
    </row>
    <row r="4557" spans="1:5" ht="26" hidden="1" x14ac:dyDescent="0.15">
      <c r="A4557" s="1" t="s">
        <v>24</v>
      </c>
      <c r="B4557" s="2">
        <v>887</v>
      </c>
      <c r="C4557" s="3">
        <v>1E-3</v>
      </c>
      <c r="D4557" s="4" t="s">
        <v>507</v>
      </c>
      <c r="E4557" s="4" t="s">
        <v>477</v>
      </c>
    </row>
    <row r="4558" spans="1:5" ht="26" hidden="1" x14ac:dyDescent="0.15">
      <c r="A4558" s="1" t="s">
        <v>25</v>
      </c>
      <c r="B4558" s="2">
        <v>32896</v>
      </c>
      <c r="C4558" s="3">
        <v>3.3000000000000002E-2</v>
      </c>
      <c r="D4558" s="4" t="s">
        <v>507</v>
      </c>
      <c r="E4558" s="4" t="s">
        <v>477</v>
      </c>
    </row>
    <row r="4559" spans="1:5" hidden="1" x14ac:dyDescent="0.15">
      <c r="A4559" s="1" t="s">
        <v>26</v>
      </c>
      <c r="B4559" s="2">
        <v>15012</v>
      </c>
      <c r="C4559" s="3">
        <v>1.4999999999999999E-2</v>
      </c>
      <c r="D4559" s="4" t="s">
        <v>507</v>
      </c>
      <c r="E4559" s="4" t="s">
        <v>477</v>
      </c>
    </row>
    <row r="4560" spans="1:5" hidden="1" x14ac:dyDescent="0.15">
      <c r="A4560" s="1" t="s">
        <v>27</v>
      </c>
      <c r="B4560" s="2">
        <v>119215</v>
      </c>
      <c r="C4560" s="3">
        <v>0.121</v>
      </c>
      <c r="D4560" s="4" t="s">
        <v>507</v>
      </c>
      <c r="E4560" s="4" t="s">
        <v>477</v>
      </c>
    </row>
    <row r="4561" spans="1:5" hidden="1" x14ac:dyDescent="0.15">
      <c r="A4561" s="1" t="s">
        <v>28</v>
      </c>
      <c r="B4561" s="2">
        <v>121666</v>
      </c>
      <c r="C4561" s="3">
        <v>0.124</v>
      </c>
      <c r="D4561" s="4" t="s">
        <v>507</v>
      </c>
      <c r="E4561" s="4" t="s">
        <v>477</v>
      </c>
    </row>
    <row r="4562" spans="1:5" hidden="1" x14ac:dyDescent="0.15">
      <c r="A4562" s="1" t="s">
        <v>29</v>
      </c>
      <c r="B4562" s="2">
        <v>184032</v>
      </c>
      <c r="C4562" s="3">
        <v>0.187</v>
      </c>
      <c r="D4562" s="4" t="s">
        <v>507</v>
      </c>
      <c r="E4562" s="4" t="s">
        <v>477</v>
      </c>
    </row>
    <row r="4563" spans="1:5" hidden="1" x14ac:dyDescent="0.15">
      <c r="A4563" s="1" t="s">
        <v>30</v>
      </c>
      <c r="B4563" s="2">
        <v>11368</v>
      </c>
      <c r="C4563" s="3">
        <v>1.2E-2</v>
      </c>
      <c r="D4563" s="4" t="s">
        <v>507</v>
      </c>
      <c r="E4563" s="4" t="s">
        <v>477</v>
      </c>
    </row>
    <row r="4564" spans="1:5" ht="39" hidden="1" x14ac:dyDescent="0.15">
      <c r="A4564" s="1" t="s">
        <v>31</v>
      </c>
      <c r="B4564" s="2">
        <v>13464</v>
      </c>
      <c r="C4564" s="3">
        <v>1.3999999999999999E-2</v>
      </c>
      <c r="D4564" s="4" t="s">
        <v>507</v>
      </c>
      <c r="E4564" s="4" t="s">
        <v>477</v>
      </c>
    </row>
    <row r="4565" spans="1:5" hidden="1" x14ac:dyDescent="0.15">
      <c r="A4565" s="1" t="s">
        <v>32</v>
      </c>
      <c r="B4565" s="2">
        <v>27406</v>
      </c>
      <c r="C4565" s="3">
        <v>2.7999999999999997E-2</v>
      </c>
      <c r="D4565" s="4" t="s">
        <v>507</v>
      </c>
      <c r="E4565" s="4" t="s">
        <v>477</v>
      </c>
    </row>
    <row r="4566" spans="1:5" hidden="1" x14ac:dyDescent="0.15">
      <c r="A4566" s="1" t="s">
        <v>33</v>
      </c>
      <c r="B4566" s="2">
        <v>163781</v>
      </c>
      <c r="C4566" s="3">
        <v>0.16699999999999998</v>
      </c>
      <c r="D4566" s="4" t="s">
        <v>507</v>
      </c>
      <c r="E4566" s="4" t="s">
        <v>477</v>
      </c>
    </row>
    <row r="4567" spans="1:5" hidden="1" x14ac:dyDescent="0.15">
      <c r="A4567" s="1" t="s">
        <v>34</v>
      </c>
      <c r="B4567" s="2">
        <v>51033</v>
      </c>
      <c r="C4567" s="3">
        <v>5.2000000000000005E-2</v>
      </c>
      <c r="D4567" s="4" t="s">
        <v>507</v>
      </c>
      <c r="E4567" s="4" t="s">
        <v>477</v>
      </c>
    </row>
    <row r="4568" spans="1:5" hidden="1" x14ac:dyDescent="0.15">
      <c r="A4568" s="1" t="s">
        <v>35</v>
      </c>
      <c r="B4568" s="2">
        <v>34198</v>
      </c>
      <c r="C4568" s="3">
        <v>3.5000000000000003E-2</v>
      </c>
      <c r="D4568" s="4" t="s">
        <v>507</v>
      </c>
      <c r="E4568" s="4" t="s">
        <v>477</v>
      </c>
    </row>
    <row r="4569" spans="1:5" ht="26" hidden="1" x14ac:dyDescent="0.15">
      <c r="A4569" s="1" t="s">
        <v>36</v>
      </c>
      <c r="B4569" s="2">
        <v>32035</v>
      </c>
      <c r="C4569" s="3">
        <v>3.3000000000000002E-2</v>
      </c>
      <c r="D4569" s="4" t="s">
        <v>507</v>
      </c>
      <c r="E4569" s="4" t="s">
        <v>477</v>
      </c>
    </row>
    <row r="4570" spans="1:5" hidden="1" x14ac:dyDescent="0.15">
      <c r="A4570" s="1" t="s">
        <v>37</v>
      </c>
      <c r="B4570" s="2">
        <v>18723</v>
      </c>
      <c r="C4570" s="3">
        <v>1.9E-2</v>
      </c>
      <c r="D4570" s="4" t="s">
        <v>507</v>
      </c>
      <c r="E4570" s="4" t="s">
        <v>477</v>
      </c>
    </row>
    <row r="4571" spans="1:5" ht="39" hidden="1" x14ac:dyDescent="0.15">
      <c r="A4571" s="1" t="s">
        <v>38</v>
      </c>
      <c r="B4571" s="2">
        <v>25992</v>
      </c>
      <c r="C4571" s="3">
        <v>2.6000000000000002E-2</v>
      </c>
      <c r="D4571" s="4" t="s">
        <v>507</v>
      </c>
      <c r="E4571" s="4" t="s">
        <v>477</v>
      </c>
    </row>
    <row r="4572" spans="1:5" hidden="1" x14ac:dyDescent="0.15">
      <c r="A4572" s="1" t="s">
        <v>39</v>
      </c>
      <c r="B4572" s="2">
        <v>58044</v>
      </c>
      <c r="C4572" s="3">
        <v>5.9000000000000004E-2</v>
      </c>
      <c r="D4572" s="4" t="s">
        <v>507</v>
      </c>
      <c r="E4572" s="4" t="s">
        <v>477</v>
      </c>
    </row>
    <row r="4573" spans="1:5" hidden="1" x14ac:dyDescent="0.15">
      <c r="A4573" s="1" t="s">
        <v>40</v>
      </c>
      <c r="B4573" s="2">
        <v>11759</v>
      </c>
      <c r="C4573" s="3">
        <v>1.2E-2</v>
      </c>
      <c r="D4573" s="4" t="s">
        <v>507</v>
      </c>
      <c r="E4573" s="4" t="s">
        <v>477</v>
      </c>
    </row>
    <row r="4574" spans="1:5" hidden="1" x14ac:dyDescent="0.15">
      <c r="A4574" s="1" t="s">
        <v>41</v>
      </c>
      <c r="B4574" s="2">
        <v>17928</v>
      </c>
      <c r="C4574" s="3">
        <v>1.8000000000000002E-2</v>
      </c>
      <c r="D4574" s="4" t="s">
        <v>507</v>
      </c>
      <c r="E4574" s="4" t="s">
        <v>477</v>
      </c>
    </row>
    <row r="4575" spans="1:5" hidden="1" x14ac:dyDescent="0.15">
      <c r="A4575" s="1" t="s">
        <v>42</v>
      </c>
      <c r="B4575" s="2">
        <v>33106</v>
      </c>
      <c r="C4575" s="3">
        <v>3.4000000000000002E-2</v>
      </c>
      <c r="D4575" s="4" t="s">
        <v>507</v>
      </c>
      <c r="E4575" s="4" t="s">
        <v>477</v>
      </c>
    </row>
    <row r="4576" spans="1:5" hidden="1" x14ac:dyDescent="0.15">
      <c r="A4576" s="1" t="s">
        <v>43</v>
      </c>
      <c r="B4576" s="2">
        <v>115892</v>
      </c>
      <c r="C4576" s="3">
        <v>0.11800000000000001</v>
      </c>
      <c r="D4576" s="4" t="s">
        <v>507</v>
      </c>
      <c r="E4576" s="4" t="s">
        <v>477</v>
      </c>
    </row>
    <row r="4577" spans="1:5" ht="26" hidden="1" x14ac:dyDescent="0.15">
      <c r="A4577" s="1" t="s">
        <v>44</v>
      </c>
      <c r="B4577" s="2">
        <v>88535</v>
      </c>
      <c r="C4577" s="3">
        <v>0.09</v>
      </c>
      <c r="D4577" s="4" t="s">
        <v>507</v>
      </c>
      <c r="E4577" s="4" t="s">
        <v>477</v>
      </c>
    </row>
    <row r="4578" spans="1:5" hidden="1" x14ac:dyDescent="0.15">
      <c r="A4578" s="1" t="s">
        <v>45</v>
      </c>
      <c r="B4578" s="2">
        <v>316110</v>
      </c>
      <c r="C4578" s="3">
        <v>0.32200000000000001</v>
      </c>
      <c r="D4578" s="4" t="s">
        <v>507</v>
      </c>
      <c r="E4578" s="4" t="s">
        <v>477</v>
      </c>
    </row>
    <row r="4579" spans="1:5" ht="26" hidden="1" x14ac:dyDescent="0.15">
      <c r="A4579" s="1" t="s">
        <v>46</v>
      </c>
      <c r="B4579" s="2">
        <v>715982</v>
      </c>
      <c r="C4579" s="3">
        <v>0.72900000000000009</v>
      </c>
      <c r="D4579" s="4" t="s">
        <v>507</v>
      </c>
      <c r="E4579" s="4" t="s">
        <v>477</v>
      </c>
    </row>
    <row r="4580" spans="1:5" hidden="1" x14ac:dyDescent="0.15">
      <c r="A4580" s="1" t="s">
        <v>47</v>
      </c>
      <c r="B4580" s="2">
        <v>543456</v>
      </c>
      <c r="C4580" s="3">
        <v>0.55299999999999994</v>
      </c>
      <c r="D4580" s="4" t="s">
        <v>507</v>
      </c>
      <c r="E4580" s="4" t="s">
        <v>477</v>
      </c>
    </row>
    <row r="4581" spans="1:5" hidden="1" x14ac:dyDescent="0.15">
      <c r="A4581" s="1" t="s">
        <v>48</v>
      </c>
      <c r="B4581" s="2">
        <v>71872</v>
      </c>
      <c r="C4581" s="3">
        <v>7.2999999999999995E-2</v>
      </c>
      <c r="D4581" s="4" t="s">
        <v>507</v>
      </c>
      <c r="E4581" s="4" t="s">
        <v>477</v>
      </c>
    </row>
    <row r="4582" spans="1:5" hidden="1" x14ac:dyDescent="0.15">
      <c r="A4582" s="1" t="s">
        <v>49</v>
      </c>
      <c r="B4582" s="2">
        <v>72991</v>
      </c>
      <c r="C4582" s="3">
        <v>7.400000000000001E-2</v>
      </c>
      <c r="D4582" s="4" t="s">
        <v>507</v>
      </c>
      <c r="E4582" s="4" t="s">
        <v>477</v>
      </c>
    </row>
    <row r="4583" spans="1:5" ht="26" hidden="1" x14ac:dyDescent="0.15">
      <c r="A4583" s="1" t="s">
        <v>50</v>
      </c>
      <c r="B4583" s="2">
        <v>162635</v>
      </c>
      <c r="C4583" s="3">
        <v>0.16600000000000001</v>
      </c>
      <c r="D4583" s="4" t="s">
        <v>507</v>
      </c>
      <c r="E4583" s="4" t="s">
        <v>477</v>
      </c>
    </row>
    <row r="4584" spans="1:5" hidden="1" x14ac:dyDescent="0.15">
      <c r="A4584" s="1" t="s">
        <v>51</v>
      </c>
      <c r="B4584" s="2">
        <v>274562</v>
      </c>
      <c r="C4584" s="3">
        <v>0.27899999999999997</v>
      </c>
      <c r="D4584" s="4" t="s">
        <v>507</v>
      </c>
      <c r="E4584" s="4" t="s">
        <v>477</v>
      </c>
    </row>
    <row r="4585" spans="1:5" hidden="1" x14ac:dyDescent="0.15">
      <c r="A4585" s="1" t="s">
        <v>52</v>
      </c>
      <c r="B4585" s="2">
        <v>89961</v>
      </c>
      <c r="C4585" s="3">
        <v>9.1999999999999998E-2</v>
      </c>
      <c r="D4585" s="4" t="s">
        <v>507</v>
      </c>
      <c r="E4585" s="4" t="s">
        <v>477</v>
      </c>
    </row>
    <row r="4586" spans="1:5" ht="26" hidden="1" x14ac:dyDescent="0.15">
      <c r="A4586" s="1" t="s">
        <v>53</v>
      </c>
      <c r="B4586" s="2">
        <v>78047</v>
      </c>
      <c r="C4586" s="3">
        <v>7.9000000000000001E-2</v>
      </c>
      <c r="D4586" s="4" t="s">
        <v>507</v>
      </c>
      <c r="E4586" s="4" t="s">
        <v>477</v>
      </c>
    </row>
    <row r="4587" spans="1:5" hidden="1" x14ac:dyDescent="0.15">
      <c r="A4587" s="1" t="s">
        <v>54</v>
      </c>
      <c r="B4587" s="2">
        <v>284200</v>
      </c>
      <c r="C4587" s="3">
        <v>0.28899999999999998</v>
      </c>
      <c r="D4587" s="4" t="s">
        <v>507</v>
      </c>
      <c r="E4587" s="4" t="s">
        <v>477</v>
      </c>
    </row>
    <row r="4588" spans="1:5" ht="26" hidden="1" x14ac:dyDescent="0.15">
      <c r="A4588" s="1" t="s">
        <v>55</v>
      </c>
      <c r="B4588" s="2">
        <v>341269</v>
      </c>
      <c r="C4588" s="3">
        <v>0.34700000000000003</v>
      </c>
      <c r="D4588" s="4" t="s">
        <v>507</v>
      </c>
      <c r="E4588" s="4" t="s">
        <v>477</v>
      </c>
    </row>
    <row r="4589" spans="1:5" hidden="1" x14ac:dyDescent="0.15">
      <c r="A4589" s="1" t="s">
        <v>56</v>
      </c>
      <c r="B4589" s="2">
        <v>419925</v>
      </c>
      <c r="C4589" s="3">
        <v>0.42700000000000005</v>
      </c>
      <c r="D4589" s="4" t="s">
        <v>507</v>
      </c>
      <c r="E4589" s="4" t="s">
        <v>477</v>
      </c>
    </row>
    <row r="4590" spans="1:5" hidden="1" x14ac:dyDescent="0.15">
      <c r="A4590" s="1" t="s">
        <v>57</v>
      </c>
      <c r="B4590" s="2">
        <v>147939</v>
      </c>
      <c r="C4590" s="3">
        <v>0.151</v>
      </c>
      <c r="D4590" s="4" t="s">
        <v>507</v>
      </c>
      <c r="E4590" s="4" t="s">
        <v>477</v>
      </c>
    </row>
    <row r="4591" spans="1:5" hidden="1" x14ac:dyDescent="0.15">
      <c r="A4591" s="1" t="s">
        <v>58</v>
      </c>
      <c r="B4591" s="2">
        <v>87060</v>
      </c>
      <c r="C4591" s="3">
        <v>8.900000000000001E-2</v>
      </c>
      <c r="D4591" s="4" t="s">
        <v>507</v>
      </c>
      <c r="E4591" s="4" t="s">
        <v>477</v>
      </c>
    </row>
    <row r="4592" spans="1:5" hidden="1" x14ac:dyDescent="0.15">
      <c r="A4592" s="1" t="s">
        <v>59</v>
      </c>
      <c r="B4592" s="2">
        <v>396091</v>
      </c>
      <c r="C4592" s="3">
        <v>0.40299999999999997</v>
      </c>
      <c r="D4592" s="4" t="s">
        <v>507</v>
      </c>
      <c r="E4592" s="4" t="s">
        <v>477</v>
      </c>
    </row>
    <row r="4593" spans="1:5" hidden="1" x14ac:dyDescent="0.15">
      <c r="A4593" s="1" t="s">
        <v>60</v>
      </c>
      <c r="B4593" s="2">
        <v>91771</v>
      </c>
      <c r="C4593" s="3">
        <v>9.3000000000000013E-2</v>
      </c>
      <c r="D4593" s="4" t="s">
        <v>507</v>
      </c>
      <c r="E4593" s="4" t="s">
        <v>477</v>
      </c>
    </row>
    <row r="4594" spans="1:5" ht="26" hidden="1" x14ac:dyDescent="0.15">
      <c r="A4594" s="1" t="s">
        <v>61</v>
      </c>
      <c r="B4594" s="2">
        <v>127113</v>
      </c>
      <c r="C4594" s="3">
        <v>0.129</v>
      </c>
      <c r="D4594" s="4" t="s">
        <v>507</v>
      </c>
      <c r="E4594" s="4" t="s">
        <v>477</v>
      </c>
    </row>
    <row r="4595" spans="1:5" hidden="1" x14ac:dyDescent="0.15">
      <c r="A4595" s="1" t="s">
        <v>62</v>
      </c>
      <c r="B4595" s="2">
        <v>60128</v>
      </c>
      <c r="C4595" s="3">
        <v>6.0999999999999999E-2</v>
      </c>
      <c r="D4595" s="4" t="s">
        <v>507</v>
      </c>
      <c r="E4595" s="4" t="s">
        <v>477</v>
      </c>
    </row>
    <row r="4596" spans="1:5" ht="26" hidden="1" x14ac:dyDescent="0.15">
      <c r="A4596" s="1" t="s">
        <v>63</v>
      </c>
      <c r="B4596" s="2">
        <v>153019</v>
      </c>
      <c r="C4596" s="3">
        <v>0.156</v>
      </c>
      <c r="D4596" s="4" t="s">
        <v>507</v>
      </c>
      <c r="E4596" s="4" t="s">
        <v>477</v>
      </c>
    </row>
    <row r="4597" spans="1:5" ht="26" hidden="1" x14ac:dyDescent="0.15">
      <c r="A4597" s="1" t="s">
        <v>64</v>
      </c>
      <c r="B4597" s="2">
        <v>31105</v>
      </c>
      <c r="C4597" s="3">
        <v>3.2000000000000001E-2</v>
      </c>
      <c r="D4597" s="4" t="s">
        <v>507</v>
      </c>
      <c r="E4597" s="4" t="s">
        <v>477</v>
      </c>
    </row>
    <row r="4598" spans="1:5" hidden="1" x14ac:dyDescent="0.15">
      <c r="A4598" s="1" t="s">
        <v>65</v>
      </c>
      <c r="B4598" s="2">
        <v>203203</v>
      </c>
      <c r="C4598" s="3">
        <v>0.20699999999999999</v>
      </c>
      <c r="D4598" s="4" t="s">
        <v>507</v>
      </c>
      <c r="E4598" s="4" t="s">
        <v>477</v>
      </c>
    </row>
    <row r="4599" spans="1:5" hidden="1" x14ac:dyDescent="0.15">
      <c r="A4599" s="1" t="s">
        <v>66</v>
      </c>
      <c r="B4599" s="2">
        <v>81498</v>
      </c>
      <c r="C4599" s="3">
        <v>8.3000000000000004E-2</v>
      </c>
      <c r="D4599" s="4" t="s">
        <v>507</v>
      </c>
      <c r="E4599" s="4" t="s">
        <v>477</v>
      </c>
    </row>
    <row r="4600" spans="1:5" hidden="1" x14ac:dyDescent="0.15">
      <c r="A4600" s="1" t="s">
        <v>67</v>
      </c>
      <c r="B4600" s="2">
        <v>364356</v>
      </c>
      <c r="C4600" s="3">
        <v>0.371</v>
      </c>
      <c r="D4600" s="4" t="s">
        <v>507</v>
      </c>
      <c r="E4600" s="4" t="s">
        <v>477</v>
      </c>
    </row>
    <row r="4601" spans="1:5" hidden="1" x14ac:dyDescent="0.15">
      <c r="A4601" s="1" t="s">
        <v>68</v>
      </c>
      <c r="B4601" s="2">
        <v>426319</v>
      </c>
      <c r="C4601" s="3">
        <v>0.434</v>
      </c>
      <c r="D4601" s="4" t="s">
        <v>507</v>
      </c>
      <c r="E4601" s="4" t="s">
        <v>477</v>
      </c>
    </row>
    <row r="4602" spans="1:5" hidden="1" x14ac:dyDescent="0.15">
      <c r="A4602" s="1" t="s">
        <v>69</v>
      </c>
      <c r="B4602" s="2">
        <v>529834</v>
      </c>
      <c r="C4602" s="3">
        <v>0.53900000000000003</v>
      </c>
      <c r="D4602" s="4" t="s">
        <v>507</v>
      </c>
      <c r="E4602" s="4" t="s">
        <v>477</v>
      </c>
    </row>
    <row r="4603" spans="1:5" hidden="1" x14ac:dyDescent="0.15">
      <c r="A4603" s="1" t="s">
        <v>70</v>
      </c>
      <c r="B4603" s="2">
        <v>113133</v>
      </c>
      <c r="C4603" s="3">
        <v>0.115</v>
      </c>
      <c r="D4603" s="4" t="s">
        <v>507</v>
      </c>
      <c r="E4603" s="4" t="s">
        <v>477</v>
      </c>
    </row>
    <row r="4604" spans="1:5" ht="26" hidden="1" x14ac:dyDescent="0.15">
      <c r="A4604" s="1" t="s">
        <v>71</v>
      </c>
      <c r="B4604" s="2">
        <v>76178</v>
      </c>
      <c r="C4604" s="3">
        <v>7.8E-2</v>
      </c>
      <c r="D4604" s="4" t="s">
        <v>507</v>
      </c>
      <c r="E4604" s="4" t="s">
        <v>477</v>
      </c>
    </row>
    <row r="4605" spans="1:5" hidden="1" x14ac:dyDescent="0.15">
      <c r="A4605" s="1" t="s">
        <v>72</v>
      </c>
      <c r="B4605" s="2">
        <v>148193</v>
      </c>
      <c r="C4605" s="3">
        <v>0.151</v>
      </c>
      <c r="D4605" s="4" t="s">
        <v>507</v>
      </c>
      <c r="E4605" s="4" t="s">
        <v>477</v>
      </c>
    </row>
    <row r="4606" spans="1:5" hidden="1" x14ac:dyDescent="0.15">
      <c r="A4606" s="1" t="s">
        <v>73</v>
      </c>
      <c r="B4606" s="2">
        <v>512355</v>
      </c>
      <c r="C4606" s="3">
        <v>0.52100000000000002</v>
      </c>
      <c r="D4606" s="4" t="s">
        <v>507</v>
      </c>
      <c r="E4606" s="4" t="s">
        <v>477</v>
      </c>
    </row>
    <row r="4607" spans="1:5" hidden="1" x14ac:dyDescent="0.15">
      <c r="A4607" s="1" t="s">
        <v>74</v>
      </c>
      <c r="B4607" s="2">
        <v>214812</v>
      </c>
      <c r="C4607" s="3">
        <v>0.21899999999999997</v>
      </c>
      <c r="D4607" s="4" t="s">
        <v>507</v>
      </c>
      <c r="E4607" s="4" t="s">
        <v>477</v>
      </c>
    </row>
    <row r="4608" spans="1:5" hidden="1" x14ac:dyDescent="0.15">
      <c r="A4608" s="1" t="s">
        <v>75</v>
      </c>
      <c r="B4608" s="2">
        <v>207628</v>
      </c>
      <c r="C4608" s="3">
        <v>0.21100000000000002</v>
      </c>
      <c r="D4608" s="4" t="s">
        <v>507</v>
      </c>
      <c r="E4608" s="4" t="s">
        <v>477</v>
      </c>
    </row>
    <row r="4609" spans="1:5" hidden="1" x14ac:dyDescent="0.15">
      <c r="A4609" s="1" t="s">
        <v>76</v>
      </c>
      <c r="B4609" s="2">
        <v>201359</v>
      </c>
      <c r="C4609" s="3">
        <v>0.20499999999999999</v>
      </c>
      <c r="D4609" s="4" t="s">
        <v>507</v>
      </c>
      <c r="E4609" s="4" t="s">
        <v>477</v>
      </c>
    </row>
    <row r="4610" spans="1:5" hidden="1" x14ac:dyDescent="0.15">
      <c r="A4610" s="1" t="s">
        <v>77</v>
      </c>
      <c r="B4610" s="2">
        <v>160906</v>
      </c>
      <c r="C4610" s="3">
        <v>0.16399999999999998</v>
      </c>
      <c r="D4610" s="4" t="s">
        <v>507</v>
      </c>
      <c r="E4610" s="4" t="s">
        <v>477</v>
      </c>
    </row>
    <row r="4611" spans="1:5" ht="26" hidden="1" x14ac:dyDescent="0.15">
      <c r="A4611" s="1" t="s">
        <v>78</v>
      </c>
      <c r="B4611" s="2">
        <v>141604</v>
      </c>
      <c r="C4611" s="3">
        <v>0.14400000000000002</v>
      </c>
      <c r="D4611" s="4" t="s">
        <v>507</v>
      </c>
      <c r="E4611" s="4" t="s">
        <v>477</v>
      </c>
    </row>
    <row r="4612" spans="1:5" hidden="1" x14ac:dyDescent="0.15">
      <c r="A4612" s="1" t="s">
        <v>79</v>
      </c>
      <c r="B4612" s="2">
        <v>207374</v>
      </c>
      <c r="C4612" s="3">
        <v>0.21100000000000002</v>
      </c>
      <c r="D4612" s="4" t="s">
        <v>507</v>
      </c>
      <c r="E4612" s="4" t="s">
        <v>477</v>
      </c>
    </row>
    <row r="4613" spans="1:5" hidden="1" x14ac:dyDescent="0.15">
      <c r="A4613" s="1" t="s">
        <v>80</v>
      </c>
      <c r="B4613" s="2">
        <v>136866</v>
      </c>
      <c r="C4613" s="3">
        <v>0.13900000000000001</v>
      </c>
      <c r="D4613" s="4" t="s">
        <v>507</v>
      </c>
      <c r="E4613" s="4" t="s">
        <v>477</v>
      </c>
    </row>
    <row r="4614" spans="1:5" ht="26" hidden="1" x14ac:dyDescent="0.15">
      <c r="A4614" s="1" t="s">
        <v>81</v>
      </c>
      <c r="B4614" s="2">
        <v>116615</v>
      </c>
      <c r="C4614" s="3">
        <v>0.11900000000000001</v>
      </c>
      <c r="D4614" s="4" t="s">
        <v>507</v>
      </c>
      <c r="E4614" s="4" t="s">
        <v>477</v>
      </c>
    </row>
    <row r="4615" spans="1:5" hidden="1" x14ac:dyDescent="0.15">
      <c r="A4615" s="1" t="s">
        <v>82</v>
      </c>
      <c r="B4615" s="2">
        <v>169005</v>
      </c>
      <c r="C4615" s="3">
        <v>0.17199999999999999</v>
      </c>
      <c r="D4615" s="4" t="s">
        <v>507</v>
      </c>
      <c r="E4615" s="4" t="s">
        <v>477</v>
      </c>
    </row>
    <row r="4616" spans="1:5" hidden="1" x14ac:dyDescent="0.15">
      <c r="A4616" s="4"/>
      <c r="B4616" s="4"/>
      <c r="C4616" s="4"/>
      <c r="D4616" s="4" t="s">
        <v>507</v>
      </c>
      <c r="E4616" s="4" t="s">
        <v>477</v>
      </c>
    </row>
    <row r="4617" spans="1:5" hidden="1" x14ac:dyDescent="0.15">
      <c r="A4617" s="5"/>
      <c r="B4617" s="5"/>
      <c r="C4617" s="5"/>
      <c r="D4617" s="4" t="s">
        <v>507</v>
      </c>
      <c r="E4617" s="4" t="s">
        <v>477</v>
      </c>
    </row>
    <row r="4618" spans="1:5" hidden="1" x14ac:dyDescent="0.15">
      <c r="A4618" s="1" t="s">
        <v>478</v>
      </c>
      <c r="B4618" s="2">
        <v>289355</v>
      </c>
      <c r="C4618" s="3">
        <v>0.29399999999999998</v>
      </c>
      <c r="D4618" s="4" t="s">
        <v>507</v>
      </c>
      <c r="E4618" s="4" t="s">
        <v>477</v>
      </c>
    </row>
    <row r="4619" spans="1:5" hidden="1" x14ac:dyDescent="0.15">
      <c r="A4619" s="4"/>
      <c r="B4619" s="4"/>
      <c r="C4619" s="4"/>
      <c r="D4619" s="4" t="s">
        <v>507</v>
      </c>
      <c r="E4619" s="4" t="s">
        <v>477</v>
      </c>
    </row>
    <row r="4620" spans="1:5" hidden="1" x14ac:dyDescent="0.15">
      <c r="A4620" s="5"/>
      <c r="B4620" s="5"/>
      <c r="C4620" s="5"/>
      <c r="D4620" s="4" t="s">
        <v>507</v>
      </c>
      <c r="E4620" s="4" t="s">
        <v>477</v>
      </c>
    </row>
    <row r="4621" spans="1:5" ht="26" hidden="1" x14ac:dyDescent="0.15">
      <c r="A4621" s="1" t="s">
        <v>480</v>
      </c>
      <c r="B4621" s="2">
        <v>266532</v>
      </c>
      <c r="C4621" s="3">
        <v>0.27100000000000002</v>
      </c>
      <c r="D4621" s="4" t="s">
        <v>507</v>
      </c>
      <c r="E4621" s="4" t="s">
        <v>477</v>
      </c>
    </row>
    <row r="4622" spans="1:5" hidden="1" x14ac:dyDescent="0.15">
      <c r="A4622" s="4"/>
      <c r="B4622" s="4"/>
      <c r="C4622" s="4"/>
      <c r="D4622" s="4" t="s">
        <v>507</v>
      </c>
      <c r="E4622" s="4" t="s">
        <v>477</v>
      </c>
    </row>
    <row r="4623" spans="1:5" hidden="1" x14ac:dyDescent="0.15">
      <c r="A4623" s="5"/>
      <c r="B4623" s="5"/>
      <c r="C4623" s="5"/>
      <c r="D4623" s="4" t="s">
        <v>507</v>
      </c>
      <c r="E4623" s="4" t="s">
        <v>477</v>
      </c>
    </row>
    <row r="4624" spans="1:5" ht="26" hidden="1" x14ac:dyDescent="0.15">
      <c r="A4624" s="1" t="s">
        <v>174</v>
      </c>
      <c r="B4624" s="2">
        <v>22267</v>
      </c>
      <c r="C4624" s="3">
        <v>2.3E-2</v>
      </c>
      <c r="D4624" s="4" t="s">
        <v>507</v>
      </c>
      <c r="E4624" s="4" t="s">
        <v>477</v>
      </c>
    </row>
    <row r="4625" spans="1:5" hidden="1" x14ac:dyDescent="0.15">
      <c r="A4625" s="4"/>
      <c r="B4625" s="4"/>
      <c r="C4625" s="4"/>
      <c r="D4625" s="4" t="s">
        <v>507</v>
      </c>
      <c r="E4625" s="4" t="s">
        <v>477</v>
      </c>
    </row>
    <row r="4626" spans="1:5" hidden="1" x14ac:dyDescent="0.15">
      <c r="A4626" s="5"/>
      <c r="B4626" s="5"/>
      <c r="C4626" s="5"/>
      <c r="D4626" s="4" t="s">
        <v>507</v>
      </c>
      <c r="E4626" s="4" t="s">
        <v>477</v>
      </c>
    </row>
    <row r="4627" spans="1:5" ht="26" hidden="1" x14ac:dyDescent="0.15">
      <c r="A4627" s="1" t="s">
        <v>508</v>
      </c>
      <c r="B4627" s="2">
        <v>703776</v>
      </c>
      <c r="C4627" s="3">
        <v>0.71599999999999997</v>
      </c>
      <c r="D4627" s="4" t="s">
        <v>507</v>
      </c>
      <c r="E4627" s="4" t="s">
        <v>477</v>
      </c>
    </row>
    <row r="4628" spans="1:5" ht="26" hidden="1" x14ac:dyDescent="0.15">
      <c r="A4628" s="1" t="s">
        <v>509</v>
      </c>
      <c r="B4628" s="2">
        <v>250052</v>
      </c>
      <c r="C4628" s="3">
        <v>0.254</v>
      </c>
      <c r="D4628" s="4" t="s">
        <v>507</v>
      </c>
      <c r="E4628" s="4" t="s">
        <v>477</v>
      </c>
    </row>
    <row r="4629" spans="1:5" ht="26" hidden="1" x14ac:dyDescent="0.15">
      <c r="A4629" s="1" t="s">
        <v>484</v>
      </c>
      <c r="B4629" s="2">
        <v>495912</v>
      </c>
      <c r="C4629" s="3">
        <v>0.505</v>
      </c>
      <c r="D4629" s="4" t="s">
        <v>507</v>
      </c>
      <c r="E4629" s="4" t="s">
        <v>477</v>
      </c>
    </row>
    <row r="4630" spans="1:5" hidden="1" x14ac:dyDescent="0.15">
      <c r="A4630" s="1" t="s">
        <v>510</v>
      </c>
      <c r="B4630" s="2">
        <v>29471</v>
      </c>
      <c r="C4630" s="3">
        <v>0.03</v>
      </c>
      <c r="D4630" s="4" t="s">
        <v>507</v>
      </c>
      <c r="E4630" s="4" t="s">
        <v>477</v>
      </c>
    </row>
    <row r="4631" spans="1:5" ht="26" hidden="1" x14ac:dyDescent="0.15">
      <c r="A4631" s="1" t="s">
        <v>486</v>
      </c>
      <c r="B4631" s="2">
        <v>200199</v>
      </c>
      <c r="C4631" s="3">
        <v>0.20399999999999999</v>
      </c>
      <c r="D4631" s="4" t="s">
        <v>507</v>
      </c>
      <c r="E4631" s="4" t="s">
        <v>477</v>
      </c>
    </row>
    <row r="4632" spans="1:5" ht="26" hidden="1" x14ac:dyDescent="0.15">
      <c r="A4632" s="1" t="s">
        <v>487</v>
      </c>
      <c r="B4632" s="2">
        <v>134257</v>
      </c>
      <c r="C4632" s="3">
        <v>0.13699999999999998</v>
      </c>
      <c r="D4632" s="4" t="s">
        <v>507</v>
      </c>
      <c r="E4632" s="4" t="s">
        <v>477</v>
      </c>
    </row>
    <row r="4633" spans="1:5" ht="26" hidden="1" x14ac:dyDescent="0.15">
      <c r="A4633" s="1" t="s">
        <v>475</v>
      </c>
      <c r="B4633" s="2">
        <v>84774</v>
      </c>
      <c r="C4633" s="3">
        <v>8.5999999999999993E-2</v>
      </c>
      <c r="D4633" s="4" t="s">
        <v>507</v>
      </c>
      <c r="E4633" s="4" t="s">
        <v>477</v>
      </c>
    </row>
    <row r="4634" spans="1:5" ht="26" hidden="1" x14ac:dyDescent="0.15">
      <c r="A4634" s="1" t="s">
        <v>490</v>
      </c>
      <c r="B4634" s="2">
        <v>61219</v>
      </c>
      <c r="C4634" s="3">
        <v>6.2E-2</v>
      </c>
      <c r="D4634" s="4" t="s">
        <v>507</v>
      </c>
      <c r="E4634" s="4" t="s">
        <v>477</v>
      </c>
    </row>
    <row r="4635" spans="1:5" hidden="1" x14ac:dyDescent="0.15">
      <c r="A4635" s="1" t="s">
        <v>0</v>
      </c>
      <c r="B4635" s="2">
        <v>1531099</v>
      </c>
      <c r="C4635" s="3">
        <v>1</v>
      </c>
      <c r="D4635" s="4" t="s">
        <v>511</v>
      </c>
      <c r="E4635" s="4" t="s">
        <v>512</v>
      </c>
    </row>
    <row r="4636" spans="1:5" ht="26" hidden="1" x14ac:dyDescent="0.15">
      <c r="A4636" s="1" t="s">
        <v>3</v>
      </c>
      <c r="B4636" s="2">
        <v>23110</v>
      </c>
      <c r="C4636" s="3">
        <v>1.4999999999999999E-2</v>
      </c>
      <c r="D4636" s="4" t="s">
        <v>511</v>
      </c>
      <c r="E4636" s="4" t="s">
        <v>512</v>
      </c>
    </row>
    <row r="4637" spans="1:5" hidden="1" x14ac:dyDescent="0.15">
      <c r="A4637" s="1" t="s">
        <v>4</v>
      </c>
      <c r="B4637" s="2">
        <v>15714</v>
      </c>
      <c r="C4637" s="3">
        <v>0.01</v>
      </c>
      <c r="D4637" s="4" t="s">
        <v>511</v>
      </c>
      <c r="E4637" s="4" t="s">
        <v>512</v>
      </c>
    </row>
    <row r="4638" spans="1:5" ht="26" hidden="1" x14ac:dyDescent="0.15">
      <c r="A4638" s="1" t="s">
        <v>5</v>
      </c>
      <c r="B4638" s="2">
        <v>28827</v>
      </c>
      <c r="C4638" s="3">
        <v>1.9E-2</v>
      </c>
      <c r="D4638" s="4" t="s">
        <v>511</v>
      </c>
      <c r="E4638" s="4" t="s">
        <v>512</v>
      </c>
    </row>
    <row r="4639" spans="1:5" ht="26" hidden="1" x14ac:dyDescent="0.15">
      <c r="A4639" s="1" t="s">
        <v>6</v>
      </c>
      <c r="B4639" s="2">
        <v>136811</v>
      </c>
      <c r="C4639" s="3">
        <v>8.900000000000001E-2</v>
      </c>
      <c r="D4639" s="4" t="s">
        <v>511</v>
      </c>
      <c r="E4639" s="4" t="s">
        <v>512</v>
      </c>
    </row>
    <row r="4640" spans="1:5" ht="26" hidden="1" x14ac:dyDescent="0.15">
      <c r="A4640" s="1" t="s">
        <v>7</v>
      </c>
      <c r="B4640" s="2">
        <v>204582</v>
      </c>
      <c r="C4640" s="3">
        <v>0.13400000000000001</v>
      </c>
      <c r="D4640" s="4" t="s">
        <v>511</v>
      </c>
      <c r="E4640" s="4" t="s">
        <v>512</v>
      </c>
    </row>
    <row r="4641" spans="1:5" ht="26" hidden="1" x14ac:dyDescent="0.15">
      <c r="A4641" s="1" t="s">
        <v>8</v>
      </c>
      <c r="B4641" s="2">
        <v>14007</v>
      </c>
      <c r="C4641" s="3">
        <v>9.0000000000000011E-3</v>
      </c>
      <c r="D4641" s="4" t="s">
        <v>511</v>
      </c>
      <c r="E4641" s="4" t="s">
        <v>512</v>
      </c>
    </row>
    <row r="4642" spans="1:5" ht="26" hidden="1" x14ac:dyDescent="0.15">
      <c r="A4642" s="1" t="s">
        <v>9</v>
      </c>
      <c r="B4642" s="2">
        <v>45972</v>
      </c>
      <c r="C4642" s="3">
        <v>0.03</v>
      </c>
      <c r="D4642" s="4" t="s">
        <v>511</v>
      </c>
      <c r="E4642" s="4" t="s">
        <v>512</v>
      </c>
    </row>
    <row r="4643" spans="1:5" ht="26" hidden="1" x14ac:dyDescent="0.15">
      <c r="A4643" s="1" t="s">
        <v>10</v>
      </c>
      <c r="B4643" s="2">
        <v>51678</v>
      </c>
      <c r="C4643" s="3">
        <v>3.4000000000000002E-2</v>
      </c>
      <c r="D4643" s="4" t="s">
        <v>511</v>
      </c>
      <c r="E4643" s="4" t="s">
        <v>512</v>
      </c>
    </row>
    <row r="4644" spans="1:5" ht="26" hidden="1" x14ac:dyDescent="0.15">
      <c r="A4644" s="1" t="s">
        <v>11</v>
      </c>
      <c r="B4644" s="2">
        <v>77261</v>
      </c>
      <c r="C4644" s="3">
        <v>0.05</v>
      </c>
      <c r="D4644" s="4" t="s">
        <v>511</v>
      </c>
      <c r="E4644" s="4" t="s">
        <v>512</v>
      </c>
    </row>
    <row r="4645" spans="1:5" ht="26" hidden="1" x14ac:dyDescent="0.15">
      <c r="A4645" s="1" t="s">
        <v>12</v>
      </c>
      <c r="B4645" s="2">
        <v>36065</v>
      </c>
      <c r="C4645" s="3">
        <v>2.4E-2</v>
      </c>
      <c r="D4645" s="4" t="s">
        <v>511</v>
      </c>
      <c r="E4645" s="4" t="s">
        <v>512</v>
      </c>
    </row>
    <row r="4646" spans="1:5" ht="26" hidden="1" x14ac:dyDescent="0.15">
      <c r="A4646" s="1" t="s">
        <v>13</v>
      </c>
      <c r="B4646" s="2">
        <v>17278</v>
      </c>
      <c r="C4646" s="3">
        <v>1.1000000000000001E-2</v>
      </c>
      <c r="D4646" s="4" t="s">
        <v>511</v>
      </c>
      <c r="E4646" s="4" t="s">
        <v>512</v>
      </c>
    </row>
    <row r="4647" spans="1:5" hidden="1" x14ac:dyDescent="0.15">
      <c r="A4647" s="1" t="s">
        <v>14</v>
      </c>
      <c r="B4647" s="2">
        <v>134260</v>
      </c>
      <c r="C4647" s="3">
        <v>8.8000000000000009E-2</v>
      </c>
      <c r="D4647" s="4" t="s">
        <v>511</v>
      </c>
      <c r="E4647" s="4" t="s">
        <v>512</v>
      </c>
    </row>
    <row r="4648" spans="1:5" ht="26" hidden="1" x14ac:dyDescent="0.15">
      <c r="A4648" s="1" t="s">
        <v>15</v>
      </c>
      <c r="B4648" s="2">
        <v>38602</v>
      </c>
      <c r="C4648" s="3">
        <v>2.5000000000000001E-2</v>
      </c>
      <c r="D4648" s="4" t="s">
        <v>511</v>
      </c>
      <c r="E4648" s="4" t="s">
        <v>512</v>
      </c>
    </row>
    <row r="4649" spans="1:5" ht="26" hidden="1" x14ac:dyDescent="0.15">
      <c r="A4649" s="1" t="s">
        <v>16</v>
      </c>
      <c r="B4649" s="2">
        <v>37075</v>
      </c>
      <c r="C4649" s="3">
        <v>2.4E-2</v>
      </c>
      <c r="D4649" s="4" t="s">
        <v>511</v>
      </c>
      <c r="E4649" s="4" t="s">
        <v>512</v>
      </c>
    </row>
    <row r="4650" spans="1:5" ht="26" hidden="1" x14ac:dyDescent="0.15">
      <c r="A4650" s="1" t="s">
        <v>17</v>
      </c>
      <c r="B4650" s="2">
        <v>44013</v>
      </c>
      <c r="C4650" s="3">
        <v>2.8999999999999998E-2</v>
      </c>
      <c r="D4650" s="4" t="s">
        <v>511</v>
      </c>
      <c r="E4650" s="4" t="s">
        <v>512</v>
      </c>
    </row>
    <row r="4651" spans="1:5" hidden="1" x14ac:dyDescent="0.15">
      <c r="A4651" s="1" t="s">
        <v>18</v>
      </c>
      <c r="B4651" s="2">
        <v>26240</v>
      </c>
      <c r="C4651" s="3">
        <v>1.7000000000000001E-2</v>
      </c>
      <c r="D4651" s="4" t="s">
        <v>511</v>
      </c>
      <c r="E4651" s="4" t="s">
        <v>512</v>
      </c>
    </row>
    <row r="4652" spans="1:5" hidden="1" x14ac:dyDescent="0.15">
      <c r="A4652" s="1" t="s">
        <v>19</v>
      </c>
      <c r="B4652" s="2">
        <v>169385</v>
      </c>
      <c r="C4652" s="3">
        <v>0.111</v>
      </c>
      <c r="D4652" s="4" t="s">
        <v>511</v>
      </c>
      <c r="E4652" s="4" t="s">
        <v>512</v>
      </c>
    </row>
    <row r="4653" spans="1:5" hidden="1" x14ac:dyDescent="0.15">
      <c r="A4653" s="1" t="s">
        <v>20</v>
      </c>
      <c r="B4653" s="2">
        <v>23864</v>
      </c>
      <c r="C4653" s="3">
        <v>1.6E-2</v>
      </c>
      <c r="D4653" s="4" t="s">
        <v>511</v>
      </c>
      <c r="E4653" s="4" t="s">
        <v>512</v>
      </c>
    </row>
    <row r="4654" spans="1:5" ht="26" hidden="1" x14ac:dyDescent="0.15">
      <c r="A4654" s="1" t="s">
        <v>21</v>
      </c>
      <c r="B4654" s="2">
        <v>54469</v>
      </c>
      <c r="C4654" s="3">
        <v>3.6000000000000004E-2</v>
      </c>
      <c r="D4654" s="4" t="s">
        <v>511</v>
      </c>
      <c r="E4654" s="4" t="s">
        <v>512</v>
      </c>
    </row>
    <row r="4655" spans="1:5" ht="26" hidden="1" x14ac:dyDescent="0.15">
      <c r="A4655" s="1" t="s">
        <v>22</v>
      </c>
      <c r="B4655" s="2">
        <v>31559</v>
      </c>
      <c r="C4655" s="3">
        <v>2.1000000000000001E-2</v>
      </c>
      <c r="D4655" s="4" t="s">
        <v>511</v>
      </c>
      <c r="E4655" s="4" t="s">
        <v>512</v>
      </c>
    </row>
    <row r="4656" spans="1:5" ht="26" hidden="1" x14ac:dyDescent="0.15">
      <c r="A4656" s="1" t="s">
        <v>23</v>
      </c>
      <c r="B4656" s="2">
        <v>20311</v>
      </c>
      <c r="C4656" s="3">
        <v>1.3000000000000001E-2</v>
      </c>
      <c r="D4656" s="4" t="s">
        <v>511</v>
      </c>
      <c r="E4656" s="4" t="s">
        <v>512</v>
      </c>
    </row>
    <row r="4657" spans="1:5" ht="26" hidden="1" x14ac:dyDescent="0.15">
      <c r="A4657" s="1" t="s">
        <v>24</v>
      </c>
      <c r="B4657" s="2">
        <v>15801</v>
      </c>
      <c r="C4657" s="3">
        <v>0.01</v>
      </c>
      <c r="D4657" s="4" t="s">
        <v>511</v>
      </c>
      <c r="E4657" s="4" t="s">
        <v>512</v>
      </c>
    </row>
    <row r="4658" spans="1:5" ht="26" hidden="1" x14ac:dyDescent="0.15">
      <c r="A4658" s="1" t="s">
        <v>25</v>
      </c>
      <c r="B4658" s="2">
        <v>32469</v>
      </c>
      <c r="C4658" s="3">
        <v>2.1000000000000001E-2</v>
      </c>
      <c r="D4658" s="4" t="s">
        <v>511</v>
      </c>
      <c r="E4658" s="4" t="s">
        <v>512</v>
      </c>
    </row>
    <row r="4659" spans="1:5" hidden="1" x14ac:dyDescent="0.15">
      <c r="A4659" s="1" t="s">
        <v>26</v>
      </c>
      <c r="B4659" s="2">
        <v>31650</v>
      </c>
      <c r="C4659" s="3">
        <v>2.1000000000000001E-2</v>
      </c>
      <c r="D4659" s="4" t="s">
        <v>511</v>
      </c>
      <c r="E4659" s="4" t="s">
        <v>512</v>
      </c>
    </row>
    <row r="4660" spans="1:5" hidden="1" x14ac:dyDescent="0.15">
      <c r="A4660" s="1" t="s">
        <v>27</v>
      </c>
      <c r="B4660" s="2">
        <v>135541</v>
      </c>
      <c r="C4660" s="3">
        <v>8.900000000000001E-2</v>
      </c>
      <c r="D4660" s="4" t="s">
        <v>511</v>
      </c>
      <c r="E4660" s="4" t="s">
        <v>512</v>
      </c>
    </row>
    <row r="4661" spans="1:5" hidden="1" x14ac:dyDescent="0.15">
      <c r="A4661" s="1" t="s">
        <v>28</v>
      </c>
      <c r="B4661" s="2">
        <v>157905</v>
      </c>
      <c r="C4661" s="3">
        <v>0.10300000000000001</v>
      </c>
      <c r="D4661" s="4" t="s">
        <v>511</v>
      </c>
      <c r="E4661" s="4" t="s">
        <v>512</v>
      </c>
    </row>
    <row r="4662" spans="1:5" hidden="1" x14ac:dyDescent="0.15">
      <c r="A4662" s="1" t="s">
        <v>29</v>
      </c>
      <c r="B4662" s="2">
        <v>421518</v>
      </c>
      <c r="C4662" s="3">
        <v>0.27500000000000002</v>
      </c>
      <c r="D4662" s="4" t="s">
        <v>511</v>
      </c>
      <c r="E4662" s="4" t="s">
        <v>512</v>
      </c>
    </row>
    <row r="4663" spans="1:5" hidden="1" x14ac:dyDescent="0.15">
      <c r="A4663" s="1" t="s">
        <v>30</v>
      </c>
      <c r="B4663" s="2">
        <v>51547</v>
      </c>
      <c r="C4663" s="3">
        <v>3.4000000000000002E-2</v>
      </c>
      <c r="D4663" s="4" t="s">
        <v>511</v>
      </c>
      <c r="E4663" s="4" t="s">
        <v>512</v>
      </c>
    </row>
    <row r="4664" spans="1:5" ht="39" hidden="1" x14ac:dyDescent="0.15">
      <c r="A4664" s="1" t="s">
        <v>31</v>
      </c>
      <c r="B4664" s="2">
        <v>11822</v>
      </c>
      <c r="C4664" s="3">
        <v>8.0000000000000002E-3</v>
      </c>
      <c r="D4664" s="4" t="s">
        <v>511</v>
      </c>
      <c r="E4664" s="4" t="s">
        <v>512</v>
      </c>
    </row>
    <row r="4665" spans="1:5" hidden="1" x14ac:dyDescent="0.15">
      <c r="A4665" s="1" t="s">
        <v>32</v>
      </c>
      <c r="B4665" s="2">
        <v>71701</v>
      </c>
      <c r="C4665" s="3">
        <v>4.7E-2</v>
      </c>
      <c r="D4665" s="4" t="s">
        <v>511</v>
      </c>
      <c r="E4665" s="4" t="s">
        <v>512</v>
      </c>
    </row>
    <row r="4666" spans="1:5" hidden="1" x14ac:dyDescent="0.15">
      <c r="A4666" s="1" t="s">
        <v>33</v>
      </c>
      <c r="B4666" s="2">
        <v>381711</v>
      </c>
      <c r="C4666" s="3">
        <v>0.249</v>
      </c>
      <c r="D4666" s="4" t="s">
        <v>511</v>
      </c>
      <c r="E4666" s="4" t="s">
        <v>512</v>
      </c>
    </row>
    <row r="4667" spans="1:5" hidden="1" x14ac:dyDescent="0.15">
      <c r="A4667" s="1" t="s">
        <v>34</v>
      </c>
      <c r="B4667" s="2">
        <v>131916</v>
      </c>
      <c r="C4667" s="3">
        <v>8.5999999999999993E-2</v>
      </c>
      <c r="D4667" s="4" t="s">
        <v>511</v>
      </c>
      <c r="E4667" s="4" t="s">
        <v>512</v>
      </c>
    </row>
    <row r="4668" spans="1:5" hidden="1" x14ac:dyDescent="0.15">
      <c r="A4668" s="1" t="s">
        <v>35</v>
      </c>
      <c r="B4668" s="2">
        <v>102809</v>
      </c>
      <c r="C4668" s="3">
        <v>6.7000000000000004E-2</v>
      </c>
      <c r="D4668" s="4" t="s">
        <v>511</v>
      </c>
      <c r="E4668" s="4" t="s">
        <v>512</v>
      </c>
    </row>
    <row r="4669" spans="1:5" ht="26" hidden="1" x14ac:dyDescent="0.15">
      <c r="A4669" s="1" t="s">
        <v>36</v>
      </c>
      <c r="B4669" s="2">
        <v>40006</v>
      </c>
      <c r="C4669" s="3">
        <v>2.6000000000000002E-2</v>
      </c>
      <c r="D4669" s="4" t="s">
        <v>511</v>
      </c>
      <c r="E4669" s="4" t="s">
        <v>512</v>
      </c>
    </row>
    <row r="4670" spans="1:5" hidden="1" x14ac:dyDescent="0.15">
      <c r="A4670" s="1" t="s">
        <v>37</v>
      </c>
      <c r="B4670" s="2">
        <v>29356</v>
      </c>
      <c r="C4670" s="3">
        <v>1.9E-2</v>
      </c>
      <c r="D4670" s="4" t="s">
        <v>511</v>
      </c>
      <c r="E4670" s="4" t="s">
        <v>512</v>
      </c>
    </row>
    <row r="4671" spans="1:5" ht="39" hidden="1" x14ac:dyDescent="0.15">
      <c r="A4671" s="1" t="s">
        <v>38</v>
      </c>
      <c r="B4671" s="2">
        <v>40689</v>
      </c>
      <c r="C4671" s="3">
        <v>2.7000000000000003E-2</v>
      </c>
      <c r="D4671" s="4" t="s">
        <v>511</v>
      </c>
      <c r="E4671" s="4" t="s">
        <v>512</v>
      </c>
    </row>
    <row r="4672" spans="1:5" hidden="1" x14ac:dyDescent="0.15">
      <c r="A4672" s="1" t="s">
        <v>39</v>
      </c>
      <c r="B4672" s="2">
        <v>112029</v>
      </c>
      <c r="C4672" s="3">
        <v>7.2999999999999995E-2</v>
      </c>
      <c r="D4672" s="4" t="s">
        <v>511</v>
      </c>
      <c r="E4672" s="4" t="s">
        <v>512</v>
      </c>
    </row>
    <row r="4673" spans="1:5" hidden="1" x14ac:dyDescent="0.15">
      <c r="A4673" s="1" t="s">
        <v>40</v>
      </c>
      <c r="B4673" s="2">
        <v>11489</v>
      </c>
      <c r="C4673" s="3">
        <v>8.0000000000000002E-3</v>
      </c>
      <c r="D4673" s="4" t="s">
        <v>511</v>
      </c>
      <c r="E4673" s="4" t="s">
        <v>512</v>
      </c>
    </row>
    <row r="4674" spans="1:5" hidden="1" x14ac:dyDescent="0.15">
      <c r="A4674" s="1" t="s">
        <v>41</v>
      </c>
      <c r="B4674" s="2">
        <v>46458</v>
      </c>
      <c r="C4674" s="3">
        <v>0.03</v>
      </c>
      <c r="D4674" s="4" t="s">
        <v>511</v>
      </c>
      <c r="E4674" s="4" t="s">
        <v>512</v>
      </c>
    </row>
    <row r="4675" spans="1:5" hidden="1" x14ac:dyDescent="0.15">
      <c r="A4675" s="1" t="s">
        <v>42</v>
      </c>
      <c r="B4675" s="2">
        <v>36686</v>
      </c>
      <c r="C4675" s="3">
        <v>2.4E-2</v>
      </c>
      <c r="D4675" s="4" t="s">
        <v>511</v>
      </c>
      <c r="E4675" s="4" t="s">
        <v>512</v>
      </c>
    </row>
    <row r="4676" spans="1:5" hidden="1" x14ac:dyDescent="0.15">
      <c r="A4676" s="1" t="s">
        <v>43</v>
      </c>
      <c r="B4676" s="2">
        <v>145264</v>
      </c>
      <c r="C4676" s="3">
        <v>9.5000000000000001E-2</v>
      </c>
      <c r="D4676" s="4" t="s">
        <v>511</v>
      </c>
      <c r="E4676" s="4" t="s">
        <v>512</v>
      </c>
    </row>
    <row r="4677" spans="1:5" ht="26" hidden="1" x14ac:dyDescent="0.15">
      <c r="A4677" s="1" t="s">
        <v>44</v>
      </c>
      <c r="B4677" s="2">
        <v>157074</v>
      </c>
      <c r="C4677" s="3">
        <v>0.10300000000000001</v>
      </c>
      <c r="D4677" s="4" t="s">
        <v>511</v>
      </c>
      <c r="E4677" s="4" t="s">
        <v>512</v>
      </c>
    </row>
    <row r="4678" spans="1:5" hidden="1" x14ac:dyDescent="0.15">
      <c r="A4678" s="1" t="s">
        <v>45</v>
      </c>
      <c r="B4678" s="2">
        <v>258344</v>
      </c>
      <c r="C4678" s="3">
        <v>0.16899999999999998</v>
      </c>
      <c r="D4678" s="4" t="s">
        <v>511</v>
      </c>
      <c r="E4678" s="4" t="s">
        <v>512</v>
      </c>
    </row>
    <row r="4679" spans="1:5" ht="26" hidden="1" x14ac:dyDescent="0.15">
      <c r="A4679" s="1" t="s">
        <v>46</v>
      </c>
      <c r="B4679" s="2">
        <v>447433</v>
      </c>
      <c r="C4679" s="3">
        <v>0.29199999999999998</v>
      </c>
      <c r="D4679" s="4" t="s">
        <v>511</v>
      </c>
      <c r="E4679" s="4" t="s">
        <v>512</v>
      </c>
    </row>
    <row r="4680" spans="1:5" hidden="1" x14ac:dyDescent="0.15">
      <c r="A4680" s="1" t="s">
        <v>47</v>
      </c>
      <c r="B4680" s="2">
        <v>561402</v>
      </c>
      <c r="C4680" s="3">
        <v>0.36700000000000005</v>
      </c>
      <c r="D4680" s="4" t="s">
        <v>511</v>
      </c>
      <c r="E4680" s="4" t="s">
        <v>512</v>
      </c>
    </row>
    <row r="4681" spans="1:5" hidden="1" x14ac:dyDescent="0.15">
      <c r="A4681" s="1" t="s">
        <v>48</v>
      </c>
      <c r="B4681" s="2">
        <v>122456</v>
      </c>
      <c r="C4681" s="3">
        <v>0.08</v>
      </c>
      <c r="D4681" s="4" t="s">
        <v>511</v>
      </c>
      <c r="E4681" s="4" t="s">
        <v>512</v>
      </c>
    </row>
    <row r="4682" spans="1:5" hidden="1" x14ac:dyDescent="0.15">
      <c r="A4682" s="1" t="s">
        <v>49</v>
      </c>
      <c r="B4682" s="2">
        <v>244630</v>
      </c>
      <c r="C4682" s="3">
        <v>0.16</v>
      </c>
      <c r="D4682" s="4" t="s">
        <v>511</v>
      </c>
      <c r="E4682" s="4" t="s">
        <v>512</v>
      </c>
    </row>
    <row r="4683" spans="1:5" ht="26" hidden="1" x14ac:dyDescent="0.15">
      <c r="A4683" s="1" t="s">
        <v>50</v>
      </c>
      <c r="B4683" s="2">
        <v>256787</v>
      </c>
      <c r="C4683" s="3">
        <v>0.16800000000000001</v>
      </c>
      <c r="D4683" s="4" t="s">
        <v>511</v>
      </c>
      <c r="E4683" s="4" t="s">
        <v>512</v>
      </c>
    </row>
    <row r="4684" spans="1:5" hidden="1" x14ac:dyDescent="0.15">
      <c r="A4684" s="1" t="s">
        <v>51</v>
      </c>
      <c r="B4684" s="2">
        <v>433605</v>
      </c>
      <c r="C4684" s="3">
        <v>0.28300000000000003</v>
      </c>
      <c r="D4684" s="4" t="s">
        <v>511</v>
      </c>
      <c r="E4684" s="4" t="s">
        <v>512</v>
      </c>
    </row>
    <row r="4685" spans="1:5" hidden="1" x14ac:dyDescent="0.15">
      <c r="A4685" s="1" t="s">
        <v>52</v>
      </c>
      <c r="B4685" s="2">
        <v>223045</v>
      </c>
      <c r="C4685" s="3">
        <v>0.14599999999999999</v>
      </c>
      <c r="D4685" s="4" t="s">
        <v>511</v>
      </c>
      <c r="E4685" s="4" t="s">
        <v>512</v>
      </c>
    </row>
    <row r="4686" spans="1:5" ht="26" hidden="1" x14ac:dyDescent="0.15">
      <c r="A4686" s="1" t="s">
        <v>53</v>
      </c>
      <c r="B4686" s="2">
        <v>139933</v>
      </c>
      <c r="C4686" s="3">
        <v>9.0999999999999998E-2</v>
      </c>
      <c r="D4686" s="4" t="s">
        <v>511</v>
      </c>
      <c r="E4686" s="4" t="s">
        <v>512</v>
      </c>
    </row>
    <row r="4687" spans="1:5" hidden="1" x14ac:dyDescent="0.15">
      <c r="A4687" s="1" t="s">
        <v>54</v>
      </c>
      <c r="B4687" s="2">
        <v>526080</v>
      </c>
      <c r="C4687" s="3">
        <v>0.34399999999999997</v>
      </c>
      <c r="D4687" s="4" t="s">
        <v>511</v>
      </c>
      <c r="E4687" s="4" t="s">
        <v>512</v>
      </c>
    </row>
    <row r="4688" spans="1:5" ht="26" hidden="1" x14ac:dyDescent="0.15">
      <c r="A4688" s="1" t="s">
        <v>55</v>
      </c>
      <c r="B4688" s="2">
        <v>266962</v>
      </c>
      <c r="C4688" s="3">
        <v>0.17399999999999999</v>
      </c>
      <c r="D4688" s="4" t="s">
        <v>511</v>
      </c>
      <c r="E4688" s="4" t="s">
        <v>512</v>
      </c>
    </row>
    <row r="4689" spans="1:5" hidden="1" x14ac:dyDescent="0.15">
      <c r="A4689" s="1" t="s">
        <v>56</v>
      </c>
      <c r="B4689" s="2">
        <v>340152</v>
      </c>
      <c r="C4689" s="3">
        <v>0.222</v>
      </c>
      <c r="D4689" s="4" t="s">
        <v>511</v>
      </c>
      <c r="E4689" s="4" t="s">
        <v>512</v>
      </c>
    </row>
    <row r="4690" spans="1:5" hidden="1" x14ac:dyDescent="0.15">
      <c r="A4690" s="1" t="s">
        <v>57</v>
      </c>
      <c r="B4690" s="2">
        <v>268018</v>
      </c>
      <c r="C4690" s="3">
        <v>0.17499999999999999</v>
      </c>
      <c r="D4690" s="4" t="s">
        <v>511</v>
      </c>
      <c r="E4690" s="4" t="s">
        <v>512</v>
      </c>
    </row>
    <row r="4691" spans="1:5" hidden="1" x14ac:dyDescent="0.15">
      <c r="A4691" s="1" t="s">
        <v>58</v>
      </c>
      <c r="B4691" s="2">
        <v>175286</v>
      </c>
      <c r="C4691" s="3">
        <v>0.114</v>
      </c>
      <c r="D4691" s="4" t="s">
        <v>511</v>
      </c>
      <c r="E4691" s="4" t="s">
        <v>512</v>
      </c>
    </row>
    <row r="4692" spans="1:5" hidden="1" x14ac:dyDescent="0.15">
      <c r="A4692" s="1" t="s">
        <v>59</v>
      </c>
      <c r="B4692" s="2">
        <v>615076</v>
      </c>
      <c r="C4692" s="3">
        <v>0.40200000000000002</v>
      </c>
      <c r="D4692" s="4" t="s">
        <v>511</v>
      </c>
      <c r="E4692" s="4" t="s">
        <v>512</v>
      </c>
    </row>
    <row r="4693" spans="1:5" hidden="1" x14ac:dyDescent="0.15">
      <c r="A4693" s="1" t="s">
        <v>60</v>
      </c>
      <c r="B4693" s="2">
        <v>256950</v>
      </c>
      <c r="C4693" s="3">
        <v>0.16800000000000001</v>
      </c>
      <c r="D4693" s="4" t="s">
        <v>511</v>
      </c>
      <c r="E4693" s="4" t="s">
        <v>512</v>
      </c>
    </row>
    <row r="4694" spans="1:5" ht="26" hidden="1" x14ac:dyDescent="0.15">
      <c r="A4694" s="1" t="s">
        <v>61</v>
      </c>
      <c r="B4694" s="2">
        <v>268720</v>
      </c>
      <c r="C4694" s="3">
        <v>0.17600000000000002</v>
      </c>
      <c r="D4694" s="4" t="s">
        <v>511</v>
      </c>
      <c r="E4694" s="4" t="s">
        <v>512</v>
      </c>
    </row>
    <row r="4695" spans="1:5" hidden="1" x14ac:dyDescent="0.15">
      <c r="A4695" s="1" t="s">
        <v>62</v>
      </c>
      <c r="B4695" s="2">
        <v>245440</v>
      </c>
      <c r="C4695" s="3">
        <v>0.16</v>
      </c>
      <c r="D4695" s="4" t="s">
        <v>511</v>
      </c>
      <c r="E4695" s="4" t="s">
        <v>512</v>
      </c>
    </row>
    <row r="4696" spans="1:5" ht="26" hidden="1" x14ac:dyDescent="0.15">
      <c r="A4696" s="1" t="s">
        <v>63</v>
      </c>
      <c r="B4696" s="2">
        <v>220652</v>
      </c>
      <c r="C4696" s="3">
        <v>0.14400000000000002</v>
      </c>
      <c r="D4696" s="4" t="s">
        <v>511</v>
      </c>
      <c r="E4696" s="4" t="s">
        <v>512</v>
      </c>
    </row>
    <row r="4697" spans="1:5" ht="26" hidden="1" x14ac:dyDescent="0.15">
      <c r="A4697" s="1" t="s">
        <v>64</v>
      </c>
      <c r="B4697" s="2">
        <v>75952</v>
      </c>
      <c r="C4697" s="3">
        <v>0.05</v>
      </c>
      <c r="D4697" s="4" t="s">
        <v>511</v>
      </c>
      <c r="E4697" s="4" t="s">
        <v>512</v>
      </c>
    </row>
    <row r="4698" spans="1:5" hidden="1" x14ac:dyDescent="0.15">
      <c r="A4698" s="1" t="s">
        <v>65</v>
      </c>
      <c r="B4698" s="2">
        <v>187790</v>
      </c>
      <c r="C4698" s="3">
        <v>0.12300000000000001</v>
      </c>
      <c r="D4698" s="4" t="s">
        <v>511</v>
      </c>
      <c r="E4698" s="4" t="s">
        <v>512</v>
      </c>
    </row>
    <row r="4699" spans="1:5" hidden="1" x14ac:dyDescent="0.15">
      <c r="A4699" s="1" t="s">
        <v>66</v>
      </c>
      <c r="B4699" s="2">
        <v>141037</v>
      </c>
      <c r="C4699" s="3">
        <v>9.1999999999999998E-2</v>
      </c>
      <c r="D4699" s="4" t="s">
        <v>511</v>
      </c>
      <c r="E4699" s="4" t="s">
        <v>512</v>
      </c>
    </row>
    <row r="4700" spans="1:5" hidden="1" x14ac:dyDescent="0.15">
      <c r="A4700" s="1" t="s">
        <v>67</v>
      </c>
      <c r="B4700" s="2">
        <v>427481</v>
      </c>
      <c r="C4700" s="3">
        <v>0.27899999999999997</v>
      </c>
      <c r="D4700" s="4" t="s">
        <v>511</v>
      </c>
      <c r="E4700" s="4" t="s">
        <v>512</v>
      </c>
    </row>
    <row r="4701" spans="1:5" hidden="1" x14ac:dyDescent="0.15">
      <c r="A4701" s="1" t="s">
        <v>68</v>
      </c>
      <c r="B4701" s="2">
        <v>560037</v>
      </c>
      <c r="C4701" s="3">
        <v>0.36599999999999999</v>
      </c>
      <c r="D4701" s="4" t="s">
        <v>511</v>
      </c>
      <c r="E4701" s="4" t="s">
        <v>512</v>
      </c>
    </row>
    <row r="4702" spans="1:5" hidden="1" x14ac:dyDescent="0.15">
      <c r="A4702" s="1" t="s">
        <v>69</v>
      </c>
      <c r="B4702" s="2">
        <v>889183</v>
      </c>
      <c r="C4702" s="3">
        <v>0.58099999999999996</v>
      </c>
      <c r="D4702" s="4" t="s">
        <v>511</v>
      </c>
      <c r="E4702" s="4" t="s">
        <v>512</v>
      </c>
    </row>
    <row r="4703" spans="1:5" hidden="1" x14ac:dyDescent="0.15">
      <c r="A4703" s="1" t="s">
        <v>70</v>
      </c>
      <c r="B4703" s="2">
        <v>349766</v>
      </c>
      <c r="C4703" s="3">
        <v>0.22800000000000001</v>
      </c>
      <c r="D4703" s="4" t="s">
        <v>511</v>
      </c>
      <c r="E4703" s="4" t="s">
        <v>512</v>
      </c>
    </row>
    <row r="4704" spans="1:5" ht="26" hidden="1" x14ac:dyDescent="0.15">
      <c r="A4704" s="1" t="s">
        <v>71</v>
      </c>
      <c r="B4704" s="2">
        <v>99238</v>
      </c>
      <c r="C4704" s="3">
        <v>6.5000000000000002E-2</v>
      </c>
      <c r="D4704" s="4" t="s">
        <v>511</v>
      </c>
      <c r="E4704" s="4" t="s">
        <v>512</v>
      </c>
    </row>
    <row r="4705" spans="1:5" hidden="1" x14ac:dyDescent="0.15">
      <c r="A4705" s="1" t="s">
        <v>72</v>
      </c>
      <c r="B4705" s="2">
        <v>229915</v>
      </c>
      <c r="C4705" s="3">
        <v>0.15</v>
      </c>
      <c r="D4705" s="4" t="s">
        <v>511</v>
      </c>
      <c r="E4705" s="4" t="s">
        <v>512</v>
      </c>
    </row>
    <row r="4706" spans="1:5" hidden="1" x14ac:dyDescent="0.15">
      <c r="A4706" s="1" t="s">
        <v>73</v>
      </c>
      <c r="B4706" s="2">
        <v>881383</v>
      </c>
      <c r="C4706" s="3">
        <v>0.57600000000000007</v>
      </c>
      <c r="D4706" s="4" t="s">
        <v>511</v>
      </c>
      <c r="E4706" s="4" t="s">
        <v>512</v>
      </c>
    </row>
    <row r="4707" spans="1:5" hidden="1" x14ac:dyDescent="0.15">
      <c r="A4707" s="1" t="s">
        <v>74</v>
      </c>
      <c r="B4707" s="2">
        <v>388261</v>
      </c>
      <c r="C4707" s="3">
        <v>0.254</v>
      </c>
      <c r="D4707" s="4" t="s">
        <v>511</v>
      </c>
      <c r="E4707" s="4" t="s">
        <v>512</v>
      </c>
    </row>
    <row r="4708" spans="1:5" hidden="1" x14ac:dyDescent="0.15">
      <c r="A4708" s="1" t="s">
        <v>75</v>
      </c>
      <c r="B4708" s="2">
        <v>453233</v>
      </c>
      <c r="C4708" s="3">
        <v>0.29600000000000004</v>
      </c>
      <c r="D4708" s="4" t="s">
        <v>511</v>
      </c>
      <c r="E4708" s="4" t="s">
        <v>512</v>
      </c>
    </row>
    <row r="4709" spans="1:5" hidden="1" x14ac:dyDescent="0.15">
      <c r="A4709" s="1" t="s">
        <v>76</v>
      </c>
      <c r="B4709" s="2">
        <v>302338</v>
      </c>
      <c r="C4709" s="3">
        <v>0.19699999999999998</v>
      </c>
      <c r="D4709" s="4" t="s">
        <v>511</v>
      </c>
      <c r="E4709" s="4" t="s">
        <v>512</v>
      </c>
    </row>
    <row r="4710" spans="1:5" hidden="1" x14ac:dyDescent="0.15">
      <c r="A4710" s="1" t="s">
        <v>77</v>
      </c>
      <c r="B4710" s="2">
        <v>284712</v>
      </c>
      <c r="C4710" s="3">
        <v>0.18600000000000003</v>
      </c>
      <c r="D4710" s="4" t="s">
        <v>511</v>
      </c>
      <c r="E4710" s="4" t="s">
        <v>512</v>
      </c>
    </row>
    <row r="4711" spans="1:5" ht="26" hidden="1" x14ac:dyDescent="0.15">
      <c r="A4711" s="1" t="s">
        <v>78</v>
      </c>
      <c r="B4711" s="2">
        <v>198783</v>
      </c>
      <c r="C4711" s="3">
        <v>0.13</v>
      </c>
      <c r="D4711" s="4" t="s">
        <v>511</v>
      </c>
      <c r="E4711" s="4" t="s">
        <v>512</v>
      </c>
    </row>
    <row r="4712" spans="1:5" hidden="1" x14ac:dyDescent="0.15">
      <c r="A4712" s="1" t="s">
        <v>79</v>
      </c>
      <c r="B4712" s="2">
        <v>374229</v>
      </c>
      <c r="C4712" s="3">
        <v>0.24399999999999999</v>
      </c>
      <c r="D4712" s="4" t="s">
        <v>511</v>
      </c>
      <c r="E4712" s="4" t="s">
        <v>512</v>
      </c>
    </row>
    <row r="4713" spans="1:5" hidden="1" x14ac:dyDescent="0.15">
      <c r="A4713" s="1" t="s">
        <v>80</v>
      </c>
      <c r="B4713" s="2">
        <v>142710</v>
      </c>
      <c r="C4713" s="3">
        <v>9.3000000000000013E-2</v>
      </c>
      <c r="D4713" s="4" t="s">
        <v>511</v>
      </c>
      <c r="E4713" s="4" t="s">
        <v>512</v>
      </c>
    </row>
    <row r="4714" spans="1:5" ht="26" hidden="1" x14ac:dyDescent="0.15">
      <c r="A4714" s="1" t="s">
        <v>81</v>
      </c>
      <c r="B4714" s="2">
        <v>250882</v>
      </c>
      <c r="C4714" s="3">
        <v>0.16399999999999998</v>
      </c>
      <c r="D4714" s="4" t="s">
        <v>511</v>
      </c>
      <c r="E4714" s="4" t="s">
        <v>512</v>
      </c>
    </row>
    <row r="4715" spans="1:5" hidden="1" x14ac:dyDescent="0.15">
      <c r="A4715" s="1" t="s">
        <v>82</v>
      </c>
      <c r="B4715" s="2">
        <v>170711</v>
      </c>
      <c r="C4715" s="3">
        <v>0.111</v>
      </c>
      <c r="D4715" s="4" t="s">
        <v>511</v>
      </c>
      <c r="E4715" s="4" t="s">
        <v>512</v>
      </c>
    </row>
    <row r="4716" spans="1:5" hidden="1" x14ac:dyDescent="0.15">
      <c r="A4716" s="4"/>
      <c r="B4716" s="4"/>
      <c r="C4716" s="4"/>
      <c r="D4716" s="4" t="s">
        <v>511</v>
      </c>
      <c r="E4716" s="4" t="s">
        <v>512</v>
      </c>
    </row>
    <row r="4717" spans="1:5" hidden="1" x14ac:dyDescent="0.15">
      <c r="A4717" s="5"/>
      <c r="B4717" s="5"/>
      <c r="C4717" s="5"/>
      <c r="D4717" s="4" t="s">
        <v>511</v>
      </c>
      <c r="E4717" s="4" t="s">
        <v>512</v>
      </c>
    </row>
    <row r="4718" spans="1:5" ht="26" hidden="1" x14ac:dyDescent="0.15">
      <c r="A4718" s="1" t="s">
        <v>157</v>
      </c>
      <c r="B4718" s="2">
        <v>92994</v>
      </c>
      <c r="C4718" s="3">
        <v>6.0999999999999999E-2</v>
      </c>
      <c r="D4718" s="4" t="s">
        <v>511</v>
      </c>
      <c r="E4718" s="4" t="s">
        <v>512</v>
      </c>
    </row>
    <row r="4719" spans="1:5" ht="26" hidden="1" x14ac:dyDescent="0.15">
      <c r="A4719" s="1" t="s">
        <v>260</v>
      </c>
      <c r="B4719" s="2">
        <v>199369</v>
      </c>
      <c r="C4719" s="3">
        <v>0.13</v>
      </c>
      <c r="D4719" s="4" t="s">
        <v>511</v>
      </c>
      <c r="E4719" s="4" t="s">
        <v>512</v>
      </c>
    </row>
    <row r="4720" spans="1:5" ht="26" hidden="1" x14ac:dyDescent="0.15">
      <c r="A4720" s="1" t="s">
        <v>261</v>
      </c>
      <c r="B4720" s="2">
        <v>102832</v>
      </c>
      <c r="C4720" s="3">
        <v>6.7000000000000004E-2</v>
      </c>
      <c r="D4720" s="4" t="s">
        <v>511</v>
      </c>
      <c r="E4720" s="4" t="s">
        <v>512</v>
      </c>
    </row>
    <row r="4721" spans="1:5" ht="26" hidden="1" x14ac:dyDescent="0.15">
      <c r="A4721" s="1" t="s">
        <v>259</v>
      </c>
      <c r="B4721" s="2">
        <v>178460</v>
      </c>
      <c r="C4721" s="3">
        <v>0.11699999999999999</v>
      </c>
      <c r="D4721" s="4" t="s">
        <v>511</v>
      </c>
      <c r="E4721" s="4" t="s">
        <v>512</v>
      </c>
    </row>
    <row r="4722" spans="1:5" hidden="1" x14ac:dyDescent="0.15">
      <c r="A4722" s="4"/>
      <c r="B4722" s="4"/>
      <c r="C4722" s="4"/>
      <c r="D4722" s="4" t="s">
        <v>511</v>
      </c>
      <c r="E4722" s="4" t="s">
        <v>512</v>
      </c>
    </row>
    <row r="4723" spans="1:5" hidden="1" x14ac:dyDescent="0.15">
      <c r="A4723" s="5"/>
      <c r="B4723" s="5"/>
      <c r="C4723" s="5"/>
      <c r="D4723" s="4" t="s">
        <v>511</v>
      </c>
      <c r="E4723" s="4" t="s">
        <v>512</v>
      </c>
    </row>
    <row r="4724" spans="1:5" ht="26" hidden="1" x14ac:dyDescent="0.15">
      <c r="A4724" s="1" t="s">
        <v>264</v>
      </c>
      <c r="B4724" s="2">
        <v>276217</v>
      </c>
      <c r="C4724" s="3">
        <v>0.18</v>
      </c>
      <c r="D4724" s="4" t="s">
        <v>511</v>
      </c>
      <c r="E4724" s="4" t="s">
        <v>512</v>
      </c>
    </row>
    <row r="4725" spans="1:5" hidden="1" x14ac:dyDescent="0.15">
      <c r="A4725" s="1" t="s">
        <v>158</v>
      </c>
      <c r="B4725" s="2">
        <v>83223</v>
      </c>
      <c r="C4725" s="3">
        <v>5.4000000000000006E-2</v>
      </c>
      <c r="D4725" s="4" t="s">
        <v>511</v>
      </c>
      <c r="E4725" s="4" t="s">
        <v>512</v>
      </c>
    </row>
    <row r="4726" spans="1:5" hidden="1" x14ac:dyDescent="0.15">
      <c r="A4726" s="4"/>
      <c r="B4726" s="4"/>
      <c r="C4726" s="4"/>
      <c r="D4726" s="4" t="s">
        <v>511</v>
      </c>
      <c r="E4726" s="4" t="s">
        <v>512</v>
      </c>
    </row>
    <row r="4727" spans="1:5" hidden="1" x14ac:dyDescent="0.15">
      <c r="A4727" s="5"/>
      <c r="B4727" s="5"/>
      <c r="C4727" s="5"/>
      <c r="D4727" s="4" t="s">
        <v>511</v>
      </c>
      <c r="E4727" s="4" t="s">
        <v>512</v>
      </c>
    </row>
    <row r="4728" spans="1:5" ht="26" hidden="1" x14ac:dyDescent="0.15">
      <c r="A4728" s="1" t="s">
        <v>513</v>
      </c>
      <c r="B4728" s="2">
        <v>32773</v>
      </c>
      <c r="C4728" s="3">
        <v>2.1000000000000001E-2</v>
      </c>
      <c r="D4728" s="4" t="s">
        <v>511</v>
      </c>
      <c r="E4728" s="4" t="s">
        <v>512</v>
      </c>
    </row>
    <row r="4729" spans="1:5" ht="26" hidden="1" x14ac:dyDescent="0.15">
      <c r="A4729" s="1" t="s">
        <v>514</v>
      </c>
      <c r="B4729" s="2">
        <v>303407</v>
      </c>
      <c r="C4729" s="3">
        <v>0.19800000000000001</v>
      </c>
      <c r="D4729" s="4" t="s">
        <v>511</v>
      </c>
      <c r="E4729" s="4" t="s">
        <v>512</v>
      </c>
    </row>
    <row r="4730" spans="1:5" hidden="1" x14ac:dyDescent="0.15">
      <c r="A4730" s="1" t="s">
        <v>515</v>
      </c>
      <c r="B4730" s="2">
        <v>227116</v>
      </c>
      <c r="C4730" s="3">
        <v>0.14800000000000002</v>
      </c>
      <c r="D4730" s="4" t="s">
        <v>511</v>
      </c>
      <c r="E4730" s="4" t="s">
        <v>512</v>
      </c>
    </row>
    <row r="4731" spans="1:5" hidden="1" x14ac:dyDescent="0.15">
      <c r="A4731" s="1" t="s">
        <v>516</v>
      </c>
      <c r="B4731" s="2">
        <v>98028</v>
      </c>
      <c r="C4731" s="3">
        <v>6.4000000000000001E-2</v>
      </c>
      <c r="D4731" s="4" t="s">
        <v>511</v>
      </c>
      <c r="E4731" s="4" t="s">
        <v>512</v>
      </c>
    </row>
    <row r="4732" spans="1:5" hidden="1" x14ac:dyDescent="0.15">
      <c r="A4732" s="1" t="s">
        <v>0</v>
      </c>
      <c r="B4732" s="2">
        <v>1093333</v>
      </c>
      <c r="C4732" s="3">
        <v>1</v>
      </c>
      <c r="D4732" s="4" t="s">
        <v>517</v>
      </c>
      <c r="E4732" s="4" t="s">
        <v>206</v>
      </c>
    </row>
    <row r="4733" spans="1:5" ht="26" hidden="1" x14ac:dyDescent="0.15">
      <c r="A4733" s="1" t="s">
        <v>3</v>
      </c>
      <c r="B4733" s="2">
        <v>19921</v>
      </c>
      <c r="C4733" s="3">
        <v>1.8000000000000002E-2</v>
      </c>
      <c r="D4733" s="4" t="s">
        <v>517</v>
      </c>
      <c r="E4733" s="4" t="s">
        <v>206</v>
      </c>
    </row>
    <row r="4734" spans="1:5" hidden="1" x14ac:dyDescent="0.15">
      <c r="A4734" s="4"/>
      <c r="B4734" s="4"/>
      <c r="C4734" s="4"/>
      <c r="D4734" s="4" t="s">
        <v>517</v>
      </c>
      <c r="E4734" s="4" t="s">
        <v>206</v>
      </c>
    </row>
    <row r="4735" spans="1:5" hidden="1" x14ac:dyDescent="0.15">
      <c r="A4735" s="5"/>
      <c r="B4735" s="5"/>
      <c r="C4735" s="5"/>
      <c r="D4735" s="4" t="s">
        <v>517</v>
      </c>
      <c r="E4735" s="4" t="s">
        <v>206</v>
      </c>
    </row>
    <row r="4736" spans="1:5" ht="26" hidden="1" x14ac:dyDescent="0.15">
      <c r="A4736" s="1" t="s">
        <v>207</v>
      </c>
      <c r="B4736" s="2">
        <v>161355</v>
      </c>
      <c r="C4736" s="3">
        <v>0.14800000000000002</v>
      </c>
      <c r="D4736" s="4" t="s">
        <v>517</v>
      </c>
      <c r="E4736" s="4" t="s">
        <v>206</v>
      </c>
    </row>
    <row r="4737" spans="1:5" ht="26" hidden="1" x14ac:dyDescent="0.15">
      <c r="A4737" s="1" t="s">
        <v>96</v>
      </c>
      <c r="B4737" s="2">
        <v>585818</v>
      </c>
      <c r="C4737" s="3">
        <v>0.53600000000000003</v>
      </c>
      <c r="D4737" s="4" t="s">
        <v>517</v>
      </c>
      <c r="E4737" s="4" t="s">
        <v>206</v>
      </c>
    </row>
    <row r="4738" spans="1:5" hidden="1" x14ac:dyDescent="0.15">
      <c r="A4738" s="4"/>
      <c r="B4738" s="4"/>
      <c r="C4738" s="4"/>
      <c r="D4738" s="4" t="s">
        <v>517</v>
      </c>
      <c r="E4738" s="4" t="s">
        <v>206</v>
      </c>
    </row>
    <row r="4739" spans="1:5" hidden="1" x14ac:dyDescent="0.15">
      <c r="A4739" s="5" t="s">
        <v>397</v>
      </c>
      <c r="B4739" s="5"/>
      <c r="C4739" s="5"/>
      <c r="D4739" s="4" t="s">
        <v>517</v>
      </c>
      <c r="E4739" s="4" t="s">
        <v>206</v>
      </c>
    </row>
    <row r="4740" spans="1:5" hidden="1" x14ac:dyDescent="0.15">
      <c r="A4740" s="1" t="s">
        <v>4</v>
      </c>
      <c r="B4740" s="2">
        <v>24105</v>
      </c>
      <c r="C4740" s="3">
        <v>2.2000000000000002E-2</v>
      </c>
      <c r="D4740" s="4" t="s">
        <v>517</v>
      </c>
      <c r="E4740" s="4" t="s">
        <v>206</v>
      </c>
    </row>
    <row r="4741" spans="1:5" ht="26" hidden="1" x14ac:dyDescent="0.15">
      <c r="A4741" s="1" t="s">
        <v>5</v>
      </c>
      <c r="B4741" s="2">
        <v>37379</v>
      </c>
      <c r="C4741" s="3">
        <v>3.4000000000000002E-2</v>
      </c>
      <c r="D4741" s="4" t="s">
        <v>517</v>
      </c>
      <c r="E4741" s="4" t="s">
        <v>206</v>
      </c>
    </row>
    <row r="4742" spans="1:5" ht="26" hidden="1" x14ac:dyDescent="0.15">
      <c r="A4742" s="1" t="s">
        <v>6</v>
      </c>
      <c r="B4742" s="2">
        <v>210205</v>
      </c>
      <c r="C4742" s="3">
        <v>0.192</v>
      </c>
      <c r="D4742" s="4" t="s">
        <v>517</v>
      </c>
      <c r="E4742" s="4" t="s">
        <v>206</v>
      </c>
    </row>
    <row r="4743" spans="1:5" ht="26" hidden="1" x14ac:dyDescent="0.15">
      <c r="A4743" s="1" t="s">
        <v>7</v>
      </c>
      <c r="B4743" s="2">
        <v>233857</v>
      </c>
      <c r="C4743" s="3">
        <v>0.214</v>
      </c>
      <c r="D4743" s="4" t="s">
        <v>517</v>
      </c>
      <c r="E4743" s="4" t="s">
        <v>206</v>
      </c>
    </row>
    <row r="4744" spans="1:5" ht="26" hidden="1" x14ac:dyDescent="0.15">
      <c r="A4744" s="1" t="s">
        <v>8</v>
      </c>
      <c r="B4744" s="2">
        <v>3506</v>
      </c>
      <c r="C4744" s="3">
        <v>3.0000000000000001E-3</v>
      </c>
      <c r="D4744" s="4" t="s">
        <v>517</v>
      </c>
      <c r="E4744" s="4" t="s">
        <v>206</v>
      </c>
    </row>
    <row r="4745" spans="1:5" ht="26" hidden="1" x14ac:dyDescent="0.15">
      <c r="A4745" s="1" t="s">
        <v>9</v>
      </c>
      <c r="B4745" s="2">
        <v>26239</v>
      </c>
      <c r="C4745" s="3">
        <v>2.4E-2</v>
      </c>
      <c r="D4745" s="4" t="s">
        <v>517</v>
      </c>
      <c r="E4745" s="4" t="s">
        <v>206</v>
      </c>
    </row>
    <row r="4746" spans="1:5" ht="26" hidden="1" x14ac:dyDescent="0.15">
      <c r="A4746" s="1" t="s">
        <v>10</v>
      </c>
      <c r="B4746" s="2">
        <v>18651</v>
      </c>
      <c r="C4746" s="3">
        <v>1.7000000000000001E-2</v>
      </c>
      <c r="D4746" s="4" t="s">
        <v>517</v>
      </c>
      <c r="E4746" s="4" t="s">
        <v>206</v>
      </c>
    </row>
    <row r="4747" spans="1:5" ht="26" hidden="1" x14ac:dyDescent="0.15">
      <c r="A4747" s="1" t="s">
        <v>11</v>
      </c>
      <c r="B4747" s="2">
        <v>59356</v>
      </c>
      <c r="C4747" s="3">
        <v>5.4000000000000006E-2</v>
      </c>
      <c r="D4747" s="4" t="s">
        <v>517</v>
      </c>
      <c r="E4747" s="4" t="s">
        <v>206</v>
      </c>
    </row>
    <row r="4748" spans="1:5" ht="26" hidden="1" x14ac:dyDescent="0.15">
      <c r="A4748" s="1" t="s">
        <v>12</v>
      </c>
      <c r="B4748" s="2">
        <v>14394</v>
      </c>
      <c r="C4748" s="3">
        <v>1.3000000000000001E-2</v>
      </c>
      <c r="D4748" s="4" t="s">
        <v>517</v>
      </c>
      <c r="E4748" s="4" t="s">
        <v>206</v>
      </c>
    </row>
    <row r="4749" spans="1:5" ht="26" hidden="1" x14ac:dyDescent="0.15">
      <c r="A4749" s="1" t="s">
        <v>13</v>
      </c>
      <c r="B4749" s="2">
        <v>12929</v>
      </c>
      <c r="C4749" s="3">
        <v>1.2E-2</v>
      </c>
      <c r="D4749" s="4" t="s">
        <v>517</v>
      </c>
      <c r="E4749" s="4" t="s">
        <v>206</v>
      </c>
    </row>
    <row r="4750" spans="1:5" hidden="1" x14ac:dyDescent="0.15">
      <c r="A4750" s="1" t="s">
        <v>14</v>
      </c>
      <c r="B4750" s="2">
        <v>71891</v>
      </c>
      <c r="C4750" s="3">
        <v>6.6000000000000003E-2</v>
      </c>
      <c r="D4750" s="4" t="s">
        <v>517</v>
      </c>
      <c r="E4750" s="4" t="s">
        <v>206</v>
      </c>
    </row>
    <row r="4751" spans="1:5" ht="26" hidden="1" x14ac:dyDescent="0.15">
      <c r="A4751" s="1" t="s">
        <v>15</v>
      </c>
      <c r="B4751" s="2">
        <v>50944</v>
      </c>
      <c r="C4751" s="3">
        <v>4.7E-2</v>
      </c>
      <c r="D4751" s="4" t="s">
        <v>517</v>
      </c>
      <c r="E4751" s="4" t="s">
        <v>206</v>
      </c>
    </row>
    <row r="4752" spans="1:5" ht="26" hidden="1" x14ac:dyDescent="0.15">
      <c r="A4752" s="1" t="s">
        <v>16</v>
      </c>
      <c r="B4752" s="2">
        <v>39770</v>
      </c>
      <c r="C4752" s="3">
        <v>3.6000000000000004E-2</v>
      </c>
      <c r="D4752" s="4" t="s">
        <v>517</v>
      </c>
      <c r="E4752" s="4" t="s">
        <v>206</v>
      </c>
    </row>
    <row r="4753" spans="1:5" ht="26" hidden="1" x14ac:dyDescent="0.15">
      <c r="A4753" s="1" t="s">
        <v>17</v>
      </c>
      <c r="B4753" s="2">
        <v>21743</v>
      </c>
      <c r="C4753" s="3">
        <v>0.02</v>
      </c>
      <c r="D4753" s="4" t="s">
        <v>517</v>
      </c>
      <c r="E4753" s="4" t="s">
        <v>206</v>
      </c>
    </row>
    <row r="4754" spans="1:5" hidden="1" x14ac:dyDescent="0.15">
      <c r="A4754" s="1" t="s">
        <v>18</v>
      </c>
      <c r="B4754" s="2">
        <v>7194</v>
      </c>
      <c r="C4754" s="3">
        <v>6.9999999999999993E-3</v>
      </c>
      <c r="D4754" s="4" t="s">
        <v>517</v>
      </c>
      <c r="E4754" s="4" t="s">
        <v>206</v>
      </c>
    </row>
    <row r="4755" spans="1:5" hidden="1" x14ac:dyDescent="0.15">
      <c r="A4755" s="1" t="s">
        <v>19</v>
      </c>
      <c r="B4755" s="2">
        <v>153183</v>
      </c>
      <c r="C4755" s="3">
        <v>0.14000000000000001</v>
      </c>
      <c r="D4755" s="4" t="s">
        <v>517</v>
      </c>
      <c r="E4755" s="4" t="s">
        <v>206</v>
      </c>
    </row>
    <row r="4756" spans="1:5" hidden="1" x14ac:dyDescent="0.15">
      <c r="A4756" s="1" t="s">
        <v>20</v>
      </c>
      <c r="B4756" s="2">
        <v>49677</v>
      </c>
      <c r="C4756" s="3">
        <v>4.4999999999999998E-2</v>
      </c>
      <c r="D4756" s="4" t="s">
        <v>517</v>
      </c>
      <c r="E4756" s="4" t="s">
        <v>206</v>
      </c>
    </row>
    <row r="4757" spans="1:5" ht="26" hidden="1" x14ac:dyDescent="0.15">
      <c r="A4757" s="1" t="s">
        <v>21</v>
      </c>
      <c r="B4757" s="2">
        <v>15656</v>
      </c>
      <c r="C4757" s="3">
        <v>1.3999999999999999E-2</v>
      </c>
      <c r="D4757" s="4" t="s">
        <v>517</v>
      </c>
      <c r="E4757" s="4" t="s">
        <v>206</v>
      </c>
    </row>
    <row r="4758" spans="1:5" ht="26" hidden="1" x14ac:dyDescent="0.15">
      <c r="A4758" s="1" t="s">
        <v>22</v>
      </c>
      <c r="B4758" s="2">
        <v>8700</v>
      </c>
      <c r="C4758" s="3">
        <v>8.0000000000000002E-3</v>
      </c>
      <c r="D4758" s="4" t="s">
        <v>517</v>
      </c>
      <c r="E4758" s="4" t="s">
        <v>206</v>
      </c>
    </row>
    <row r="4759" spans="1:5" ht="26" hidden="1" x14ac:dyDescent="0.15">
      <c r="A4759" s="1" t="s">
        <v>23</v>
      </c>
      <c r="B4759" s="2">
        <v>11930</v>
      </c>
      <c r="C4759" s="3">
        <v>1.1000000000000001E-2</v>
      </c>
      <c r="D4759" s="4" t="s">
        <v>517</v>
      </c>
      <c r="E4759" s="4" t="s">
        <v>206</v>
      </c>
    </row>
    <row r="4760" spans="1:5" ht="26" hidden="1" x14ac:dyDescent="0.15">
      <c r="A4760" s="1" t="s">
        <v>24</v>
      </c>
      <c r="B4760" s="2">
        <v>10555</v>
      </c>
      <c r="C4760" s="3">
        <v>0.01</v>
      </c>
      <c r="D4760" s="4" t="s">
        <v>517</v>
      </c>
      <c r="E4760" s="4" t="s">
        <v>206</v>
      </c>
    </row>
    <row r="4761" spans="1:5" ht="26" hidden="1" x14ac:dyDescent="0.15">
      <c r="A4761" s="1" t="s">
        <v>25</v>
      </c>
      <c r="B4761" s="2">
        <v>52209</v>
      </c>
      <c r="C4761" s="3">
        <v>4.8000000000000001E-2</v>
      </c>
      <c r="D4761" s="4" t="s">
        <v>517</v>
      </c>
      <c r="E4761" s="4" t="s">
        <v>206</v>
      </c>
    </row>
    <row r="4762" spans="1:5" hidden="1" x14ac:dyDescent="0.15">
      <c r="A4762" s="1" t="s">
        <v>26</v>
      </c>
      <c r="B4762" s="2">
        <v>20803</v>
      </c>
      <c r="C4762" s="3">
        <v>1.9E-2</v>
      </c>
      <c r="D4762" s="4" t="s">
        <v>517</v>
      </c>
      <c r="E4762" s="4" t="s">
        <v>206</v>
      </c>
    </row>
    <row r="4763" spans="1:5" hidden="1" x14ac:dyDescent="0.15">
      <c r="A4763" s="1" t="s">
        <v>27</v>
      </c>
      <c r="B4763" s="2">
        <v>91031</v>
      </c>
      <c r="C4763" s="3">
        <v>8.3000000000000004E-2</v>
      </c>
      <c r="D4763" s="4" t="s">
        <v>517</v>
      </c>
      <c r="E4763" s="4" t="s">
        <v>206</v>
      </c>
    </row>
    <row r="4764" spans="1:5" hidden="1" x14ac:dyDescent="0.15">
      <c r="A4764" s="1" t="s">
        <v>28</v>
      </c>
      <c r="B4764" s="2">
        <v>85721</v>
      </c>
      <c r="C4764" s="3">
        <v>7.8E-2</v>
      </c>
      <c r="D4764" s="4" t="s">
        <v>517</v>
      </c>
      <c r="E4764" s="4" t="s">
        <v>206</v>
      </c>
    </row>
    <row r="4765" spans="1:5" hidden="1" x14ac:dyDescent="0.15">
      <c r="A4765" s="1" t="s">
        <v>29</v>
      </c>
      <c r="B4765" s="2">
        <v>374532</v>
      </c>
      <c r="C4765" s="3">
        <v>0.34299999999999997</v>
      </c>
      <c r="D4765" s="4" t="s">
        <v>517</v>
      </c>
      <c r="E4765" s="4" t="s">
        <v>206</v>
      </c>
    </row>
    <row r="4766" spans="1:5" hidden="1" x14ac:dyDescent="0.15">
      <c r="A4766" s="1" t="s">
        <v>30</v>
      </c>
      <c r="B4766" s="2">
        <v>17330</v>
      </c>
      <c r="C4766" s="3">
        <v>1.6E-2</v>
      </c>
      <c r="D4766" s="4" t="s">
        <v>517</v>
      </c>
      <c r="E4766" s="4" t="s">
        <v>206</v>
      </c>
    </row>
    <row r="4767" spans="1:5" ht="39" hidden="1" x14ac:dyDescent="0.15">
      <c r="A4767" s="1" t="s">
        <v>31</v>
      </c>
      <c r="B4767" s="2">
        <v>1589</v>
      </c>
      <c r="C4767" s="3">
        <v>1E-3</v>
      </c>
      <c r="D4767" s="4" t="s">
        <v>517</v>
      </c>
      <c r="E4767" s="4" t="s">
        <v>206</v>
      </c>
    </row>
    <row r="4768" spans="1:5" hidden="1" x14ac:dyDescent="0.15">
      <c r="A4768" s="1" t="s">
        <v>32</v>
      </c>
      <c r="B4768" s="2">
        <v>21341</v>
      </c>
      <c r="C4768" s="3">
        <v>0.02</v>
      </c>
      <c r="D4768" s="4" t="s">
        <v>517</v>
      </c>
      <c r="E4768" s="4" t="s">
        <v>206</v>
      </c>
    </row>
    <row r="4769" spans="1:5" hidden="1" x14ac:dyDescent="0.15">
      <c r="A4769" s="1" t="s">
        <v>33</v>
      </c>
      <c r="B4769" s="2">
        <v>252198</v>
      </c>
      <c r="C4769" s="3">
        <v>0.23100000000000001</v>
      </c>
      <c r="D4769" s="4" t="s">
        <v>517</v>
      </c>
      <c r="E4769" s="4" t="s">
        <v>206</v>
      </c>
    </row>
    <row r="4770" spans="1:5" hidden="1" x14ac:dyDescent="0.15">
      <c r="A4770" s="1" t="s">
        <v>34</v>
      </c>
      <c r="B4770" s="2">
        <v>50403</v>
      </c>
      <c r="C4770" s="3">
        <v>4.5999999999999999E-2</v>
      </c>
      <c r="D4770" s="4" t="s">
        <v>517</v>
      </c>
      <c r="E4770" s="4" t="s">
        <v>206</v>
      </c>
    </row>
    <row r="4771" spans="1:5" hidden="1" x14ac:dyDescent="0.15">
      <c r="A4771" s="1" t="s">
        <v>35</v>
      </c>
      <c r="B4771" s="2">
        <v>37131</v>
      </c>
      <c r="C4771" s="3">
        <v>3.4000000000000002E-2</v>
      </c>
      <c r="D4771" s="4" t="s">
        <v>517</v>
      </c>
      <c r="E4771" s="4" t="s">
        <v>206</v>
      </c>
    </row>
    <row r="4772" spans="1:5" ht="26" hidden="1" x14ac:dyDescent="0.15">
      <c r="A4772" s="1" t="s">
        <v>36</v>
      </c>
      <c r="B4772" s="2">
        <v>30516</v>
      </c>
      <c r="C4772" s="3">
        <v>2.7999999999999997E-2</v>
      </c>
      <c r="D4772" s="4" t="s">
        <v>517</v>
      </c>
      <c r="E4772" s="4" t="s">
        <v>206</v>
      </c>
    </row>
    <row r="4773" spans="1:5" hidden="1" x14ac:dyDescent="0.15">
      <c r="A4773" s="1" t="s">
        <v>37</v>
      </c>
      <c r="B4773" s="2">
        <v>16687</v>
      </c>
      <c r="C4773" s="3">
        <v>1.4999999999999999E-2</v>
      </c>
      <c r="D4773" s="4" t="s">
        <v>517</v>
      </c>
      <c r="E4773" s="4" t="s">
        <v>206</v>
      </c>
    </row>
    <row r="4774" spans="1:5" ht="39" hidden="1" x14ac:dyDescent="0.15">
      <c r="A4774" s="1" t="s">
        <v>38</v>
      </c>
      <c r="B4774" s="2">
        <v>20305</v>
      </c>
      <c r="C4774" s="3">
        <v>1.9E-2</v>
      </c>
      <c r="D4774" s="4" t="s">
        <v>517</v>
      </c>
      <c r="E4774" s="4" t="s">
        <v>206</v>
      </c>
    </row>
    <row r="4775" spans="1:5" hidden="1" x14ac:dyDescent="0.15">
      <c r="A4775" s="1" t="s">
        <v>39</v>
      </c>
      <c r="B4775" s="2">
        <v>34843</v>
      </c>
      <c r="C4775" s="3">
        <v>3.2000000000000001E-2</v>
      </c>
      <c r="D4775" s="4" t="s">
        <v>517</v>
      </c>
      <c r="E4775" s="4" t="s">
        <v>206</v>
      </c>
    </row>
    <row r="4776" spans="1:5" hidden="1" x14ac:dyDescent="0.15">
      <c r="A4776" s="1" t="s">
        <v>40</v>
      </c>
      <c r="B4776" s="2">
        <v>14129</v>
      </c>
      <c r="C4776" s="3">
        <v>1.3000000000000001E-2</v>
      </c>
      <c r="D4776" s="4" t="s">
        <v>517</v>
      </c>
      <c r="E4776" s="4" t="s">
        <v>206</v>
      </c>
    </row>
    <row r="4777" spans="1:5" hidden="1" x14ac:dyDescent="0.15">
      <c r="A4777" s="1" t="s">
        <v>41</v>
      </c>
      <c r="B4777" s="2">
        <v>24974</v>
      </c>
      <c r="C4777" s="3">
        <v>2.3E-2</v>
      </c>
      <c r="D4777" s="4" t="s">
        <v>517</v>
      </c>
      <c r="E4777" s="4" t="s">
        <v>206</v>
      </c>
    </row>
    <row r="4778" spans="1:5" hidden="1" x14ac:dyDescent="0.15">
      <c r="A4778" s="1" t="s">
        <v>42</v>
      </c>
      <c r="B4778" s="2">
        <v>29465</v>
      </c>
      <c r="C4778" s="3">
        <v>2.7000000000000003E-2</v>
      </c>
      <c r="D4778" s="4" t="s">
        <v>517</v>
      </c>
      <c r="E4778" s="4" t="s">
        <v>206</v>
      </c>
    </row>
    <row r="4779" spans="1:5" hidden="1" x14ac:dyDescent="0.15">
      <c r="A4779" s="1" t="s">
        <v>43</v>
      </c>
      <c r="B4779" s="2">
        <v>103918</v>
      </c>
      <c r="C4779" s="3">
        <v>9.5000000000000001E-2</v>
      </c>
      <c r="D4779" s="4" t="s">
        <v>517</v>
      </c>
      <c r="E4779" s="4" t="s">
        <v>206</v>
      </c>
    </row>
    <row r="4780" spans="1:5" ht="26" hidden="1" x14ac:dyDescent="0.15">
      <c r="A4780" s="1" t="s">
        <v>44</v>
      </c>
      <c r="B4780" s="2">
        <v>159684</v>
      </c>
      <c r="C4780" s="3">
        <v>0.14599999999999999</v>
      </c>
      <c r="D4780" s="4" t="s">
        <v>517</v>
      </c>
      <c r="E4780" s="4" t="s">
        <v>206</v>
      </c>
    </row>
    <row r="4781" spans="1:5" hidden="1" x14ac:dyDescent="0.15">
      <c r="A4781" s="1" t="s">
        <v>45</v>
      </c>
      <c r="B4781" s="2">
        <v>216374</v>
      </c>
      <c r="C4781" s="3">
        <v>0.19800000000000001</v>
      </c>
      <c r="D4781" s="4" t="s">
        <v>517</v>
      </c>
      <c r="E4781" s="4" t="s">
        <v>206</v>
      </c>
    </row>
    <row r="4782" spans="1:5" ht="26" hidden="1" x14ac:dyDescent="0.15">
      <c r="A4782" s="1" t="s">
        <v>46</v>
      </c>
      <c r="B4782" s="2">
        <v>448683</v>
      </c>
      <c r="C4782" s="3">
        <v>0.41</v>
      </c>
      <c r="D4782" s="4" t="s">
        <v>517</v>
      </c>
      <c r="E4782" s="4" t="s">
        <v>206</v>
      </c>
    </row>
    <row r="4783" spans="1:5" hidden="1" x14ac:dyDescent="0.15">
      <c r="A4783" s="1" t="s">
        <v>47</v>
      </c>
      <c r="B4783" s="2">
        <v>524925</v>
      </c>
      <c r="C4783" s="3">
        <v>0.48</v>
      </c>
      <c r="D4783" s="4" t="s">
        <v>517</v>
      </c>
      <c r="E4783" s="4" t="s">
        <v>206</v>
      </c>
    </row>
    <row r="4784" spans="1:5" hidden="1" x14ac:dyDescent="0.15">
      <c r="A4784" s="1" t="s">
        <v>48</v>
      </c>
      <c r="B4784" s="2">
        <v>67508</v>
      </c>
      <c r="C4784" s="3">
        <v>6.2E-2</v>
      </c>
      <c r="D4784" s="4" t="s">
        <v>517</v>
      </c>
      <c r="E4784" s="4" t="s">
        <v>206</v>
      </c>
    </row>
    <row r="4785" spans="1:5" hidden="1" x14ac:dyDescent="0.15">
      <c r="A4785" s="1" t="s">
        <v>49</v>
      </c>
      <c r="B4785" s="2">
        <v>113647</v>
      </c>
      <c r="C4785" s="3">
        <v>0.10400000000000001</v>
      </c>
      <c r="D4785" s="4" t="s">
        <v>517</v>
      </c>
      <c r="E4785" s="4" t="s">
        <v>206</v>
      </c>
    </row>
    <row r="4786" spans="1:5" ht="26" hidden="1" x14ac:dyDescent="0.15">
      <c r="A4786" s="1" t="s">
        <v>50</v>
      </c>
      <c r="B4786" s="2">
        <v>169380</v>
      </c>
      <c r="C4786" s="3">
        <v>0.155</v>
      </c>
      <c r="D4786" s="4" t="s">
        <v>517</v>
      </c>
      <c r="E4786" s="4" t="s">
        <v>206</v>
      </c>
    </row>
    <row r="4787" spans="1:5" hidden="1" x14ac:dyDescent="0.15">
      <c r="A4787" s="1" t="s">
        <v>51</v>
      </c>
      <c r="B4787" s="2">
        <v>307589</v>
      </c>
      <c r="C4787" s="3">
        <v>0.28100000000000003</v>
      </c>
      <c r="D4787" s="4" t="s">
        <v>517</v>
      </c>
      <c r="E4787" s="4" t="s">
        <v>206</v>
      </c>
    </row>
    <row r="4788" spans="1:5" hidden="1" x14ac:dyDescent="0.15">
      <c r="A4788" s="1" t="s">
        <v>52</v>
      </c>
      <c r="B4788" s="2">
        <v>108428</v>
      </c>
      <c r="C4788" s="3">
        <v>9.9000000000000005E-2</v>
      </c>
      <c r="D4788" s="4" t="s">
        <v>517</v>
      </c>
      <c r="E4788" s="4" t="s">
        <v>206</v>
      </c>
    </row>
    <row r="4789" spans="1:5" ht="26" hidden="1" x14ac:dyDescent="0.15">
      <c r="A4789" s="1" t="s">
        <v>53</v>
      </c>
      <c r="B4789" s="2">
        <v>77581</v>
      </c>
      <c r="C4789" s="3">
        <v>7.0999999999999994E-2</v>
      </c>
      <c r="D4789" s="4" t="s">
        <v>517</v>
      </c>
      <c r="E4789" s="4" t="s">
        <v>206</v>
      </c>
    </row>
    <row r="4790" spans="1:5" hidden="1" x14ac:dyDescent="0.15">
      <c r="A4790" s="1" t="s">
        <v>54</v>
      </c>
      <c r="B4790" s="2">
        <v>364573</v>
      </c>
      <c r="C4790" s="3">
        <v>0.33299999999999996</v>
      </c>
      <c r="D4790" s="4" t="s">
        <v>517</v>
      </c>
      <c r="E4790" s="4" t="s">
        <v>206</v>
      </c>
    </row>
    <row r="4791" spans="1:5" ht="26" hidden="1" x14ac:dyDescent="0.15">
      <c r="A4791" s="1" t="s">
        <v>55</v>
      </c>
      <c r="B4791" s="2">
        <v>352718</v>
      </c>
      <c r="C4791" s="3">
        <v>0.32299999999999995</v>
      </c>
      <c r="D4791" s="4" t="s">
        <v>517</v>
      </c>
      <c r="E4791" s="4" t="s">
        <v>206</v>
      </c>
    </row>
    <row r="4792" spans="1:5" hidden="1" x14ac:dyDescent="0.15">
      <c r="A4792" s="1" t="s">
        <v>56</v>
      </c>
      <c r="B4792" s="2">
        <v>247902</v>
      </c>
      <c r="C4792" s="3">
        <v>0.22699999999999998</v>
      </c>
      <c r="D4792" s="4" t="s">
        <v>517</v>
      </c>
      <c r="E4792" s="4" t="s">
        <v>206</v>
      </c>
    </row>
    <row r="4793" spans="1:5" hidden="1" x14ac:dyDescent="0.15">
      <c r="A4793" s="1" t="s">
        <v>57</v>
      </c>
      <c r="B4793" s="2">
        <v>151649</v>
      </c>
      <c r="C4793" s="3">
        <v>0.13900000000000001</v>
      </c>
      <c r="D4793" s="4" t="s">
        <v>517</v>
      </c>
      <c r="E4793" s="4" t="s">
        <v>206</v>
      </c>
    </row>
    <row r="4794" spans="1:5" hidden="1" x14ac:dyDescent="0.15">
      <c r="A4794" s="1" t="s">
        <v>58</v>
      </c>
      <c r="B4794" s="2">
        <v>92570</v>
      </c>
      <c r="C4794" s="3">
        <v>8.5000000000000006E-2</v>
      </c>
      <c r="D4794" s="4" t="s">
        <v>517</v>
      </c>
      <c r="E4794" s="4" t="s">
        <v>206</v>
      </c>
    </row>
    <row r="4795" spans="1:5" hidden="1" x14ac:dyDescent="0.15">
      <c r="A4795" s="1" t="s">
        <v>59</v>
      </c>
      <c r="B4795" s="2">
        <v>595566</v>
      </c>
      <c r="C4795" s="3">
        <v>0.54500000000000004</v>
      </c>
      <c r="D4795" s="4" t="s">
        <v>517</v>
      </c>
      <c r="E4795" s="4" t="s">
        <v>206</v>
      </c>
    </row>
    <row r="4796" spans="1:5" hidden="1" x14ac:dyDescent="0.15">
      <c r="A4796" s="1" t="s">
        <v>60</v>
      </c>
      <c r="B4796" s="2">
        <v>222761</v>
      </c>
      <c r="C4796" s="3">
        <v>0.20399999999999999</v>
      </c>
      <c r="D4796" s="4" t="s">
        <v>517</v>
      </c>
      <c r="E4796" s="4" t="s">
        <v>206</v>
      </c>
    </row>
    <row r="4797" spans="1:5" ht="26" hidden="1" x14ac:dyDescent="0.15">
      <c r="A4797" s="1" t="s">
        <v>61</v>
      </c>
      <c r="B4797" s="2">
        <v>145522</v>
      </c>
      <c r="C4797" s="3">
        <v>0.13300000000000001</v>
      </c>
      <c r="D4797" s="4" t="s">
        <v>517</v>
      </c>
      <c r="E4797" s="4" t="s">
        <v>206</v>
      </c>
    </row>
    <row r="4798" spans="1:5" hidden="1" x14ac:dyDescent="0.15">
      <c r="A4798" s="1" t="s">
        <v>62</v>
      </c>
      <c r="B4798" s="2">
        <v>66366</v>
      </c>
      <c r="C4798" s="3">
        <v>6.0999999999999999E-2</v>
      </c>
      <c r="D4798" s="4" t="s">
        <v>517</v>
      </c>
      <c r="E4798" s="4" t="s">
        <v>206</v>
      </c>
    </row>
    <row r="4799" spans="1:5" ht="26" hidden="1" x14ac:dyDescent="0.15">
      <c r="A4799" s="1" t="s">
        <v>63</v>
      </c>
      <c r="B4799" s="2">
        <v>132504</v>
      </c>
      <c r="C4799" s="3">
        <v>0.121</v>
      </c>
      <c r="D4799" s="4" t="s">
        <v>517</v>
      </c>
      <c r="E4799" s="4" t="s">
        <v>206</v>
      </c>
    </row>
    <row r="4800" spans="1:5" ht="26" hidden="1" x14ac:dyDescent="0.15">
      <c r="A4800" s="1" t="s">
        <v>64</v>
      </c>
      <c r="B4800" s="2">
        <v>79535</v>
      </c>
      <c r="C4800" s="3">
        <v>7.2999999999999995E-2</v>
      </c>
      <c r="D4800" s="4" t="s">
        <v>517</v>
      </c>
      <c r="E4800" s="4" t="s">
        <v>206</v>
      </c>
    </row>
    <row r="4801" spans="1:5" hidden="1" x14ac:dyDescent="0.15">
      <c r="A4801" s="1" t="s">
        <v>65</v>
      </c>
      <c r="B4801" s="2">
        <v>184004</v>
      </c>
      <c r="C4801" s="3">
        <v>0.16800000000000001</v>
      </c>
      <c r="D4801" s="4" t="s">
        <v>517</v>
      </c>
      <c r="E4801" s="4" t="s">
        <v>206</v>
      </c>
    </row>
    <row r="4802" spans="1:5" hidden="1" x14ac:dyDescent="0.15">
      <c r="A4802" s="1" t="s">
        <v>66</v>
      </c>
      <c r="B4802" s="2">
        <v>90238</v>
      </c>
      <c r="C4802" s="3">
        <v>8.3000000000000004E-2</v>
      </c>
      <c r="D4802" s="4" t="s">
        <v>517</v>
      </c>
      <c r="E4802" s="4" t="s">
        <v>206</v>
      </c>
    </row>
    <row r="4803" spans="1:5" hidden="1" x14ac:dyDescent="0.15">
      <c r="A4803" s="1" t="s">
        <v>67</v>
      </c>
      <c r="B4803" s="2">
        <v>298361</v>
      </c>
      <c r="C4803" s="3">
        <v>0.27300000000000002</v>
      </c>
      <c r="D4803" s="4" t="s">
        <v>517</v>
      </c>
      <c r="E4803" s="4" t="s">
        <v>206</v>
      </c>
    </row>
    <row r="4804" spans="1:5" hidden="1" x14ac:dyDescent="0.15">
      <c r="A4804" s="1" t="s">
        <v>68</v>
      </c>
      <c r="B4804" s="2">
        <v>315275</v>
      </c>
      <c r="C4804" s="3">
        <v>0.28800000000000003</v>
      </c>
      <c r="D4804" s="4" t="s">
        <v>517</v>
      </c>
      <c r="E4804" s="4" t="s">
        <v>206</v>
      </c>
    </row>
    <row r="4805" spans="1:5" hidden="1" x14ac:dyDescent="0.15">
      <c r="A4805" s="1" t="s">
        <v>69</v>
      </c>
      <c r="B4805" s="2">
        <v>716520</v>
      </c>
      <c r="C4805" s="3">
        <v>0.65500000000000003</v>
      </c>
      <c r="D4805" s="4" t="s">
        <v>517</v>
      </c>
      <c r="E4805" s="4" t="s">
        <v>206</v>
      </c>
    </row>
    <row r="4806" spans="1:5" hidden="1" x14ac:dyDescent="0.15">
      <c r="A4806" s="1" t="s">
        <v>70</v>
      </c>
      <c r="B4806" s="2">
        <v>193496</v>
      </c>
      <c r="C4806" s="3">
        <v>0.17699999999999999</v>
      </c>
      <c r="D4806" s="4" t="s">
        <v>517</v>
      </c>
      <c r="E4806" s="4" t="s">
        <v>206</v>
      </c>
    </row>
    <row r="4807" spans="1:5" ht="26" hidden="1" x14ac:dyDescent="0.15">
      <c r="A4807" s="1" t="s">
        <v>71</v>
      </c>
      <c r="B4807" s="2">
        <v>65214</v>
      </c>
      <c r="C4807" s="3">
        <v>0.06</v>
      </c>
      <c r="D4807" s="4" t="s">
        <v>517</v>
      </c>
      <c r="E4807" s="4" t="s">
        <v>206</v>
      </c>
    </row>
    <row r="4808" spans="1:5" hidden="1" x14ac:dyDescent="0.15">
      <c r="A4808" s="1" t="s">
        <v>72</v>
      </c>
      <c r="B4808" s="2">
        <v>141291</v>
      </c>
      <c r="C4808" s="3">
        <v>0.129</v>
      </c>
      <c r="D4808" s="4" t="s">
        <v>517</v>
      </c>
      <c r="E4808" s="4" t="s">
        <v>206</v>
      </c>
    </row>
    <row r="4809" spans="1:5" hidden="1" x14ac:dyDescent="0.15">
      <c r="A4809" s="1" t="s">
        <v>73</v>
      </c>
      <c r="B4809" s="2">
        <v>620690</v>
      </c>
      <c r="C4809" s="3">
        <v>0.56799999999999995</v>
      </c>
      <c r="D4809" s="4" t="s">
        <v>517</v>
      </c>
      <c r="E4809" s="4" t="s">
        <v>206</v>
      </c>
    </row>
    <row r="4810" spans="1:5" hidden="1" x14ac:dyDescent="0.15">
      <c r="A4810" s="1" t="s">
        <v>74</v>
      </c>
      <c r="B4810" s="2">
        <v>264610</v>
      </c>
      <c r="C4810" s="3">
        <v>0.24199999999999999</v>
      </c>
      <c r="D4810" s="4" t="s">
        <v>517</v>
      </c>
      <c r="E4810" s="4" t="s">
        <v>206</v>
      </c>
    </row>
    <row r="4811" spans="1:5" hidden="1" x14ac:dyDescent="0.15">
      <c r="A4811" s="1" t="s">
        <v>75</v>
      </c>
      <c r="B4811" s="2">
        <v>168810</v>
      </c>
      <c r="C4811" s="3">
        <v>0.154</v>
      </c>
      <c r="D4811" s="4" t="s">
        <v>517</v>
      </c>
      <c r="E4811" s="4" t="s">
        <v>206</v>
      </c>
    </row>
    <row r="4812" spans="1:5" hidden="1" x14ac:dyDescent="0.15">
      <c r="A4812" s="1" t="s">
        <v>76</v>
      </c>
      <c r="B4812" s="2">
        <v>194278</v>
      </c>
      <c r="C4812" s="3">
        <v>0.17800000000000002</v>
      </c>
      <c r="D4812" s="4" t="s">
        <v>517</v>
      </c>
      <c r="E4812" s="4" t="s">
        <v>206</v>
      </c>
    </row>
    <row r="4813" spans="1:5" hidden="1" x14ac:dyDescent="0.15">
      <c r="A4813" s="1" t="s">
        <v>77</v>
      </c>
      <c r="B4813" s="2">
        <v>184227</v>
      </c>
      <c r="C4813" s="3">
        <v>0.16899999999999998</v>
      </c>
      <c r="D4813" s="4" t="s">
        <v>517</v>
      </c>
      <c r="E4813" s="4" t="s">
        <v>206</v>
      </c>
    </row>
    <row r="4814" spans="1:5" ht="26" hidden="1" x14ac:dyDescent="0.15">
      <c r="A4814" s="1" t="s">
        <v>78</v>
      </c>
      <c r="B4814" s="2">
        <v>114646</v>
      </c>
      <c r="C4814" s="3">
        <v>0.105</v>
      </c>
      <c r="D4814" s="4" t="s">
        <v>517</v>
      </c>
      <c r="E4814" s="4" t="s">
        <v>206</v>
      </c>
    </row>
    <row r="4815" spans="1:5" hidden="1" x14ac:dyDescent="0.15">
      <c r="A4815" s="1" t="s">
        <v>79</v>
      </c>
      <c r="B4815" s="2">
        <v>178346</v>
      </c>
      <c r="C4815" s="3">
        <v>0.16300000000000001</v>
      </c>
      <c r="D4815" s="4" t="s">
        <v>517</v>
      </c>
      <c r="E4815" s="4" t="s">
        <v>206</v>
      </c>
    </row>
    <row r="4816" spans="1:5" hidden="1" x14ac:dyDescent="0.15">
      <c r="A4816" s="1" t="s">
        <v>80</v>
      </c>
      <c r="B4816" s="2">
        <v>127480</v>
      </c>
      <c r="C4816" s="3">
        <v>0.11699999999999999</v>
      </c>
      <c r="D4816" s="4" t="s">
        <v>517</v>
      </c>
      <c r="E4816" s="4" t="s">
        <v>206</v>
      </c>
    </row>
    <row r="4817" spans="1:5" ht="26" hidden="1" x14ac:dyDescent="0.15">
      <c r="A4817" s="1" t="s">
        <v>81</v>
      </c>
      <c r="B4817" s="2">
        <v>150343</v>
      </c>
      <c r="C4817" s="3">
        <v>0.13800000000000001</v>
      </c>
      <c r="D4817" s="4" t="s">
        <v>517</v>
      </c>
      <c r="E4817" s="4" t="s">
        <v>206</v>
      </c>
    </row>
    <row r="4818" spans="1:5" hidden="1" x14ac:dyDescent="0.15">
      <c r="A4818" s="1" t="s">
        <v>82</v>
      </c>
      <c r="B4818" s="2">
        <v>132978</v>
      </c>
      <c r="C4818" s="3">
        <v>0.122</v>
      </c>
      <c r="D4818" s="4" t="s">
        <v>517</v>
      </c>
      <c r="E4818" s="4" t="s">
        <v>206</v>
      </c>
    </row>
    <row r="4819" spans="1:5" hidden="1" x14ac:dyDescent="0.15">
      <c r="A4819" s="4"/>
      <c r="B4819" s="4"/>
      <c r="C4819" s="4"/>
      <c r="D4819" s="4" t="s">
        <v>517</v>
      </c>
      <c r="E4819" s="4" t="s">
        <v>206</v>
      </c>
    </row>
    <row r="4820" spans="1:5" hidden="1" x14ac:dyDescent="0.15">
      <c r="A4820" s="5"/>
      <c r="B4820" s="5"/>
      <c r="C4820" s="5"/>
      <c r="D4820" s="4" t="s">
        <v>517</v>
      </c>
      <c r="E4820" s="4" t="s">
        <v>206</v>
      </c>
    </row>
    <row r="4821" spans="1:5" hidden="1" x14ac:dyDescent="0.15">
      <c r="A4821" s="1" t="s">
        <v>193</v>
      </c>
      <c r="B4821" s="2">
        <v>0</v>
      </c>
      <c r="C4821" s="3">
        <v>0</v>
      </c>
      <c r="D4821" s="4" t="s">
        <v>517</v>
      </c>
      <c r="E4821" s="4" t="s">
        <v>206</v>
      </c>
    </row>
    <row r="4822" spans="1:5" ht="26" hidden="1" x14ac:dyDescent="0.15">
      <c r="A4822" s="1" t="s">
        <v>192</v>
      </c>
      <c r="B4822" s="2">
        <v>0</v>
      </c>
      <c r="C4822" s="3">
        <v>0</v>
      </c>
      <c r="D4822" s="4" t="s">
        <v>517</v>
      </c>
      <c r="E4822" s="4" t="s">
        <v>206</v>
      </c>
    </row>
    <row r="4823" spans="1:5" hidden="1" x14ac:dyDescent="0.15">
      <c r="A4823" s="4"/>
      <c r="B4823" s="4"/>
      <c r="C4823" s="4"/>
      <c r="D4823" s="4" t="s">
        <v>517</v>
      </c>
      <c r="E4823" s="4" t="s">
        <v>206</v>
      </c>
    </row>
    <row r="4824" spans="1:5" hidden="1" x14ac:dyDescent="0.15">
      <c r="A4824" s="5"/>
      <c r="B4824" s="5"/>
      <c r="C4824" s="5"/>
      <c r="D4824" s="4" t="s">
        <v>517</v>
      </c>
      <c r="E4824" s="4" t="s">
        <v>206</v>
      </c>
    </row>
    <row r="4825" spans="1:5" ht="26" hidden="1" x14ac:dyDescent="0.15">
      <c r="A4825" s="1" t="s">
        <v>390</v>
      </c>
      <c r="B4825" s="2">
        <v>0</v>
      </c>
      <c r="C4825" s="3">
        <v>0</v>
      </c>
      <c r="D4825" s="4" t="s">
        <v>517</v>
      </c>
      <c r="E4825" s="4" t="s">
        <v>206</v>
      </c>
    </row>
    <row r="4826" spans="1:5" hidden="1" x14ac:dyDescent="0.15">
      <c r="A4826" s="4"/>
      <c r="B4826" s="4"/>
      <c r="C4826" s="4"/>
      <c r="D4826" s="4" t="s">
        <v>517</v>
      </c>
      <c r="E4826" s="4" t="s">
        <v>206</v>
      </c>
    </row>
    <row r="4827" spans="1:5" hidden="1" x14ac:dyDescent="0.15">
      <c r="A4827" s="5"/>
      <c r="B4827" s="5"/>
      <c r="C4827" s="5"/>
      <c r="D4827" s="4" t="s">
        <v>517</v>
      </c>
      <c r="E4827" s="4" t="s">
        <v>206</v>
      </c>
    </row>
    <row r="4828" spans="1:5" ht="26" hidden="1" x14ac:dyDescent="0.15">
      <c r="A4828" s="1" t="s">
        <v>196</v>
      </c>
      <c r="B4828" s="2">
        <v>0</v>
      </c>
      <c r="C4828" s="3">
        <v>0</v>
      </c>
      <c r="D4828" s="4" t="s">
        <v>517</v>
      </c>
      <c r="E4828" s="4" t="s">
        <v>206</v>
      </c>
    </row>
    <row r="4829" spans="1:5" hidden="1" x14ac:dyDescent="0.15">
      <c r="A4829" s="4"/>
      <c r="B4829" s="4"/>
      <c r="C4829" s="4"/>
      <c r="D4829" s="4" t="s">
        <v>517</v>
      </c>
      <c r="E4829" s="4" t="s">
        <v>206</v>
      </c>
    </row>
    <row r="4830" spans="1:5" hidden="1" x14ac:dyDescent="0.15">
      <c r="A4830" s="5"/>
      <c r="B4830" s="5"/>
      <c r="C4830" s="5"/>
      <c r="D4830" s="4" t="s">
        <v>517</v>
      </c>
      <c r="E4830" s="4" t="s">
        <v>206</v>
      </c>
    </row>
    <row r="4831" spans="1:5" ht="26" hidden="1" x14ac:dyDescent="0.15">
      <c r="A4831" s="1" t="s">
        <v>197</v>
      </c>
      <c r="B4831" s="2">
        <v>0</v>
      </c>
      <c r="C4831" s="3">
        <v>0</v>
      </c>
      <c r="D4831" s="4" t="s">
        <v>517</v>
      </c>
      <c r="E4831" s="4" t="s">
        <v>206</v>
      </c>
    </row>
    <row r="4832" spans="1:5" hidden="1" x14ac:dyDescent="0.15">
      <c r="A4832" s="1" t="s">
        <v>198</v>
      </c>
      <c r="B4832" s="2">
        <v>0</v>
      </c>
      <c r="C4832" s="3">
        <v>0</v>
      </c>
      <c r="D4832" s="4" t="s">
        <v>517</v>
      </c>
      <c r="E4832" s="4" t="s">
        <v>206</v>
      </c>
    </row>
    <row r="4833" spans="1:5" hidden="1" x14ac:dyDescent="0.15">
      <c r="A4833" s="4"/>
      <c r="B4833" s="4"/>
      <c r="C4833" s="4"/>
      <c r="D4833" s="4" t="s">
        <v>517</v>
      </c>
      <c r="E4833" s="4" t="s">
        <v>206</v>
      </c>
    </row>
    <row r="4834" spans="1:5" hidden="1" x14ac:dyDescent="0.15">
      <c r="A4834" s="5"/>
      <c r="B4834" s="5"/>
      <c r="C4834" s="5"/>
      <c r="D4834" s="4" t="s">
        <v>517</v>
      </c>
      <c r="E4834" s="4" t="s">
        <v>206</v>
      </c>
    </row>
    <row r="4835" spans="1:5" ht="26" hidden="1" x14ac:dyDescent="0.15">
      <c r="A4835" s="1" t="s">
        <v>391</v>
      </c>
      <c r="B4835" s="2">
        <v>0</v>
      </c>
      <c r="C4835" s="3">
        <v>0</v>
      </c>
      <c r="D4835" s="4" t="s">
        <v>517</v>
      </c>
      <c r="E4835" s="4" t="s">
        <v>206</v>
      </c>
    </row>
    <row r="4836" spans="1:5" ht="26" hidden="1" x14ac:dyDescent="0.15">
      <c r="A4836" s="1" t="s">
        <v>392</v>
      </c>
      <c r="B4836" s="2">
        <v>0</v>
      </c>
      <c r="C4836" s="3">
        <v>0</v>
      </c>
      <c r="D4836" s="4" t="s">
        <v>517</v>
      </c>
      <c r="E4836" s="4" t="s">
        <v>206</v>
      </c>
    </row>
    <row r="4837" spans="1:5" ht="26" hidden="1" x14ac:dyDescent="0.15">
      <c r="A4837" s="1" t="s">
        <v>393</v>
      </c>
      <c r="B4837" s="2">
        <v>0</v>
      </c>
      <c r="C4837" s="3">
        <v>0</v>
      </c>
      <c r="D4837" s="4" t="s">
        <v>517</v>
      </c>
      <c r="E4837" s="4" t="s">
        <v>206</v>
      </c>
    </row>
    <row r="4838" spans="1:5" hidden="1" x14ac:dyDescent="0.15">
      <c r="A4838" s="4"/>
      <c r="B4838" s="4"/>
      <c r="C4838" s="4"/>
      <c r="D4838" s="4" t="s">
        <v>517</v>
      </c>
      <c r="E4838" s="4" t="s">
        <v>206</v>
      </c>
    </row>
    <row r="4839" spans="1:5" hidden="1" x14ac:dyDescent="0.15">
      <c r="A4839" s="5" t="s">
        <v>394</v>
      </c>
      <c r="B4839" s="5"/>
      <c r="C4839" s="5"/>
      <c r="D4839" s="4" t="s">
        <v>517</v>
      </c>
      <c r="E4839" s="4" t="s">
        <v>206</v>
      </c>
    </row>
    <row r="4840" spans="1:5" ht="78" hidden="1" x14ac:dyDescent="0.15">
      <c r="A4840" s="1" t="s">
        <v>395</v>
      </c>
      <c r="B4840" s="2">
        <v>0</v>
      </c>
      <c r="C4840" s="3">
        <v>0</v>
      </c>
      <c r="D4840" s="4" t="s">
        <v>517</v>
      </c>
      <c r="E4840" s="4" t="s">
        <v>206</v>
      </c>
    </row>
    <row r="4841" spans="1:5" hidden="1" x14ac:dyDescent="0.15">
      <c r="A4841" s="4"/>
      <c r="B4841" s="4"/>
      <c r="C4841" s="4"/>
      <c r="D4841" s="4" t="s">
        <v>517</v>
      </c>
      <c r="E4841" s="4" t="s">
        <v>206</v>
      </c>
    </row>
    <row r="4842" spans="1:5" hidden="1" x14ac:dyDescent="0.15">
      <c r="A4842" s="5"/>
      <c r="B4842" s="5"/>
      <c r="C4842" s="5"/>
      <c r="D4842" s="4" t="s">
        <v>517</v>
      </c>
      <c r="E4842" s="4" t="s">
        <v>206</v>
      </c>
    </row>
    <row r="4843" spans="1:5" hidden="1" x14ac:dyDescent="0.15">
      <c r="A4843" s="1" t="s">
        <v>396</v>
      </c>
      <c r="B4843" s="2">
        <v>0</v>
      </c>
      <c r="C4843" s="3">
        <v>0</v>
      </c>
      <c r="D4843" s="4" t="s">
        <v>517</v>
      </c>
      <c r="E4843" s="4" t="s">
        <v>206</v>
      </c>
    </row>
    <row r="4844" spans="1:5" hidden="1" x14ac:dyDescent="0.15">
      <c r="A4844" s="4"/>
      <c r="B4844" s="4"/>
      <c r="C4844" s="4"/>
      <c r="D4844" s="4" t="s">
        <v>517</v>
      </c>
      <c r="E4844" s="4" t="s">
        <v>206</v>
      </c>
    </row>
    <row r="4845" spans="1:5" hidden="1" x14ac:dyDescent="0.15">
      <c r="A4845" s="5" t="s">
        <v>397</v>
      </c>
      <c r="B4845" s="5"/>
      <c r="C4845" s="5"/>
      <c r="D4845" s="4" t="s">
        <v>517</v>
      </c>
      <c r="E4845" s="4" t="s">
        <v>206</v>
      </c>
    </row>
    <row r="4846" spans="1:5" ht="26" hidden="1" x14ac:dyDescent="0.15">
      <c r="A4846" s="1" t="s">
        <v>398</v>
      </c>
      <c r="B4846" s="2">
        <v>0</v>
      </c>
      <c r="C4846" s="3">
        <v>0</v>
      </c>
      <c r="D4846" s="4" t="s">
        <v>517</v>
      </c>
      <c r="E4846" s="4" t="s">
        <v>206</v>
      </c>
    </row>
    <row r="4847" spans="1:5" ht="26" hidden="1" x14ac:dyDescent="0.15">
      <c r="A4847" s="1" t="s">
        <v>399</v>
      </c>
      <c r="B4847" s="2">
        <v>0</v>
      </c>
      <c r="C4847" s="3">
        <v>0</v>
      </c>
      <c r="D4847" s="4" t="s">
        <v>517</v>
      </c>
      <c r="E4847" s="4" t="s">
        <v>206</v>
      </c>
    </row>
    <row r="4848" spans="1:5" ht="39" hidden="1" x14ac:dyDescent="0.15">
      <c r="A4848" s="1" t="s">
        <v>400</v>
      </c>
      <c r="B4848" s="2">
        <v>0</v>
      </c>
      <c r="C4848" s="3">
        <v>0</v>
      </c>
      <c r="D4848" s="4" t="s">
        <v>517</v>
      </c>
      <c r="E4848" s="4" t="s">
        <v>206</v>
      </c>
    </row>
    <row r="4849" spans="1:5" ht="26" hidden="1" x14ac:dyDescent="0.15">
      <c r="A4849" s="1" t="s">
        <v>401</v>
      </c>
      <c r="B4849" s="2">
        <v>0</v>
      </c>
      <c r="C4849" s="3">
        <v>0</v>
      </c>
      <c r="D4849" s="4" t="s">
        <v>517</v>
      </c>
      <c r="E4849" s="4" t="s">
        <v>206</v>
      </c>
    </row>
    <row r="4850" spans="1:5" hidden="1" x14ac:dyDescent="0.15">
      <c r="A4850" s="4"/>
      <c r="B4850" s="4"/>
      <c r="C4850" s="4"/>
      <c r="D4850" s="4" t="s">
        <v>517</v>
      </c>
      <c r="E4850" s="4" t="s">
        <v>206</v>
      </c>
    </row>
    <row r="4851" spans="1:5" hidden="1" x14ac:dyDescent="0.15">
      <c r="A4851" s="5"/>
      <c r="B4851" s="5"/>
      <c r="C4851" s="5"/>
      <c r="D4851" s="4" t="s">
        <v>517</v>
      </c>
      <c r="E4851" s="4" t="s">
        <v>206</v>
      </c>
    </row>
    <row r="4852" spans="1:5" ht="26" hidden="1" x14ac:dyDescent="0.15">
      <c r="A4852" s="1" t="s">
        <v>98</v>
      </c>
      <c r="B4852" s="2">
        <v>744237</v>
      </c>
      <c r="C4852" s="3">
        <v>0.68099999999999994</v>
      </c>
      <c r="D4852" s="4" t="s">
        <v>517</v>
      </c>
      <c r="E4852" s="4" t="s">
        <v>206</v>
      </c>
    </row>
    <row r="4853" spans="1:5" hidden="1" x14ac:dyDescent="0.15">
      <c r="A4853" s="1" t="s">
        <v>208</v>
      </c>
      <c r="B4853" s="2">
        <v>97824</v>
      </c>
      <c r="C4853" s="3">
        <v>8.900000000000001E-2</v>
      </c>
      <c r="D4853" s="4" t="s">
        <v>517</v>
      </c>
      <c r="E4853" s="4" t="s">
        <v>206</v>
      </c>
    </row>
    <row r="4854" spans="1:5" hidden="1" x14ac:dyDescent="0.15">
      <c r="A4854" s="4"/>
      <c r="B4854" s="4"/>
      <c r="C4854" s="4"/>
      <c r="D4854" s="4" t="s">
        <v>517</v>
      </c>
      <c r="E4854" s="4" t="s">
        <v>206</v>
      </c>
    </row>
    <row r="4855" spans="1:5" hidden="1" x14ac:dyDescent="0.15">
      <c r="A4855" s="5"/>
      <c r="B4855" s="5"/>
      <c r="C4855" s="5"/>
      <c r="D4855" s="4" t="s">
        <v>517</v>
      </c>
      <c r="E4855" s="4" t="s">
        <v>206</v>
      </c>
    </row>
    <row r="4856" spans="1:5" hidden="1" x14ac:dyDescent="0.15">
      <c r="A4856" s="1" t="s">
        <v>97</v>
      </c>
      <c r="B4856" s="2">
        <v>150723</v>
      </c>
      <c r="C4856" s="3">
        <v>0.13800000000000001</v>
      </c>
      <c r="D4856" s="4" t="s">
        <v>517</v>
      </c>
      <c r="E4856" s="4" t="s">
        <v>206</v>
      </c>
    </row>
    <row r="4857" spans="1:5" hidden="1" x14ac:dyDescent="0.15">
      <c r="A4857" s="4"/>
      <c r="B4857" s="4"/>
      <c r="C4857" s="4"/>
      <c r="D4857" s="4" t="s">
        <v>517</v>
      </c>
      <c r="E4857" s="4" t="s">
        <v>206</v>
      </c>
    </row>
    <row r="4858" spans="1:5" hidden="1" x14ac:dyDescent="0.15">
      <c r="A4858" s="5"/>
      <c r="B4858" s="5"/>
      <c r="C4858" s="5"/>
      <c r="D4858" s="4" t="s">
        <v>517</v>
      </c>
      <c r="E4858" s="4" t="s">
        <v>206</v>
      </c>
    </row>
    <row r="4859" spans="1:5" ht="26" hidden="1" x14ac:dyDescent="0.15">
      <c r="A4859" s="1" t="s">
        <v>96</v>
      </c>
      <c r="B4859" s="2">
        <v>585818</v>
      </c>
      <c r="C4859" s="3">
        <v>0.53600000000000003</v>
      </c>
      <c r="D4859" s="4" t="s">
        <v>517</v>
      </c>
      <c r="E4859" s="4" t="s">
        <v>206</v>
      </c>
    </row>
    <row r="4860" spans="1:5" ht="26" hidden="1" x14ac:dyDescent="0.15">
      <c r="A4860" s="1" t="s">
        <v>207</v>
      </c>
      <c r="B4860" s="2">
        <v>161355</v>
      </c>
      <c r="C4860" s="3">
        <v>0.14800000000000002</v>
      </c>
      <c r="D4860" s="4" t="s">
        <v>517</v>
      </c>
      <c r="E4860" s="4" t="s">
        <v>206</v>
      </c>
    </row>
    <row r="4861" spans="1:5" hidden="1" x14ac:dyDescent="0.15">
      <c r="A4861" s="4"/>
      <c r="B4861" s="4"/>
      <c r="C4861" s="4"/>
      <c r="D4861" s="4" t="s">
        <v>517</v>
      </c>
      <c r="E4861" s="4" t="s">
        <v>206</v>
      </c>
    </row>
    <row r="4862" spans="1:5" hidden="1" x14ac:dyDescent="0.15">
      <c r="A4862" s="5"/>
      <c r="B4862" s="5"/>
      <c r="C4862" s="5"/>
      <c r="D4862" s="4" t="s">
        <v>517</v>
      </c>
      <c r="E4862" s="4" t="s">
        <v>206</v>
      </c>
    </row>
    <row r="4863" spans="1:5" ht="39" hidden="1" x14ac:dyDescent="0.15">
      <c r="A4863" s="1" t="s">
        <v>518</v>
      </c>
      <c r="B4863" s="2">
        <v>143749</v>
      </c>
      <c r="C4863" s="3">
        <v>0.13100000000000001</v>
      </c>
      <c r="D4863" s="4" t="s">
        <v>517</v>
      </c>
      <c r="E4863" s="4" t="s">
        <v>206</v>
      </c>
    </row>
    <row r="4864" spans="1:5" ht="39" hidden="1" x14ac:dyDescent="0.15">
      <c r="A4864" s="1" t="s">
        <v>519</v>
      </c>
      <c r="B4864" s="2">
        <v>196882</v>
      </c>
      <c r="C4864" s="3">
        <v>0.18</v>
      </c>
      <c r="D4864" s="4" t="s">
        <v>517</v>
      </c>
      <c r="E4864" s="4" t="s">
        <v>206</v>
      </c>
    </row>
    <row r="4865" spans="1:5" ht="26" hidden="1" x14ac:dyDescent="0.15">
      <c r="A4865" s="1" t="s">
        <v>520</v>
      </c>
      <c r="B4865" s="2">
        <v>282652</v>
      </c>
      <c r="C4865" s="3">
        <v>0.25900000000000001</v>
      </c>
      <c r="D4865" s="4" t="s">
        <v>517</v>
      </c>
      <c r="E4865" s="4" t="s">
        <v>206</v>
      </c>
    </row>
    <row r="4866" spans="1:5" ht="26" hidden="1" x14ac:dyDescent="0.15">
      <c r="A4866" s="1" t="s">
        <v>521</v>
      </c>
      <c r="B4866" s="2">
        <v>217328</v>
      </c>
      <c r="C4866" s="3">
        <v>0.19899999999999998</v>
      </c>
      <c r="D4866" s="4" t="s">
        <v>517</v>
      </c>
      <c r="E4866" s="4" t="s">
        <v>206</v>
      </c>
    </row>
    <row r="4867" spans="1:5" ht="26" hidden="1" x14ac:dyDescent="0.15">
      <c r="A4867" s="1" t="s">
        <v>210</v>
      </c>
      <c r="B4867" s="2">
        <v>343076</v>
      </c>
      <c r="C4867" s="3">
        <v>0.314</v>
      </c>
      <c r="D4867" s="4" t="s">
        <v>517</v>
      </c>
      <c r="E4867" s="4" t="s">
        <v>206</v>
      </c>
    </row>
    <row r="4868" spans="1:5" ht="26" hidden="1" x14ac:dyDescent="0.15">
      <c r="A4868" s="1" t="s">
        <v>211</v>
      </c>
      <c r="B4868" s="2">
        <v>427259</v>
      </c>
      <c r="C4868" s="3">
        <v>0.39100000000000001</v>
      </c>
      <c r="D4868" s="4" t="s">
        <v>517</v>
      </c>
      <c r="E4868" s="4" t="s">
        <v>206</v>
      </c>
    </row>
    <row r="4869" spans="1:5" ht="26" hidden="1" x14ac:dyDescent="0.15">
      <c r="A4869" s="1" t="s">
        <v>214</v>
      </c>
      <c r="B4869" s="2">
        <v>24024</v>
      </c>
      <c r="C4869" s="3">
        <v>2.2000000000000002E-2</v>
      </c>
      <c r="D4869" s="4" t="s">
        <v>517</v>
      </c>
      <c r="E4869" s="4" t="s">
        <v>206</v>
      </c>
    </row>
    <row r="4870" spans="1:5" hidden="1" x14ac:dyDescent="0.15">
      <c r="A4870" s="1" t="s">
        <v>0</v>
      </c>
      <c r="B4870" s="2">
        <v>749506</v>
      </c>
      <c r="C4870" s="3">
        <v>1</v>
      </c>
      <c r="D4870" s="4" t="s">
        <v>517</v>
      </c>
      <c r="E4870" s="4" t="s">
        <v>95</v>
      </c>
    </row>
    <row r="4871" spans="1:5" ht="26" hidden="1" x14ac:dyDescent="0.15">
      <c r="A4871" s="1" t="s">
        <v>3</v>
      </c>
      <c r="B4871" s="2">
        <v>4490</v>
      </c>
      <c r="C4871" s="3">
        <v>6.0000000000000001E-3</v>
      </c>
      <c r="D4871" s="4" t="s">
        <v>517</v>
      </c>
      <c r="E4871" s="4" t="s">
        <v>95</v>
      </c>
    </row>
    <row r="4872" spans="1:5" hidden="1" x14ac:dyDescent="0.15">
      <c r="A4872" s="4"/>
      <c r="B4872" s="4"/>
      <c r="C4872" s="4"/>
      <c r="D4872" s="4" t="s">
        <v>517</v>
      </c>
      <c r="E4872" s="4" t="s">
        <v>95</v>
      </c>
    </row>
    <row r="4873" spans="1:5" hidden="1" x14ac:dyDescent="0.15">
      <c r="A4873" s="5"/>
      <c r="B4873" s="5"/>
      <c r="C4873" s="5"/>
      <c r="D4873" s="4" t="s">
        <v>517</v>
      </c>
      <c r="E4873" s="4" t="s">
        <v>95</v>
      </c>
    </row>
    <row r="4874" spans="1:5" ht="26" hidden="1" x14ac:dyDescent="0.15">
      <c r="A4874" s="1" t="s">
        <v>207</v>
      </c>
      <c r="B4874" s="2">
        <v>77659</v>
      </c>
      <c r="C4874" s="3">
        <v>0.10400000000000001</v>
      </c>
      <c r="D4874" s="4" t="s">
        <v>517</v>
      </c>
      <c r="E4874" s="4" t="s">
        <v>95</v>
      </c>
    </row>
    <row r="4875" spans="1:5" ht="26" hidden="1" x14ac:dyDescent="0.15">
      <c r="A4875" s="1" t="s">
        <v>96</v>
      </c>
      <c r="B4875" s="2">
        <v>423395</v>
      </c>
      <c r="C4875" s="3">
        <v>0.56499999999999995</v>
      </c>
      <c r="D4875" s="4" t="s">
        <v>517</v>
      </c>
      <c r="E4875" s="4" t="s">
        <v>95</v>
      </c>
    </row>
    <row r="4876" spans="1:5" hidden="1" x14ac:dyDescent="0.15">
      <c r="A4876" s="4"/>
      <c r="B4876" s="4"/>
      <c r="C4876" s="4"/>
      <c r="D4876" s="4" t="s">
        <v>517</v>
      </c>
      <c r="E4876" s="4" t="s">
        <v>95</v>
      </c>
    </row>
    <row r="4877" spans="1:5" hidden="1" x14ac:dyDescent="0.15">
      <c r="A4877" s="5" t="s">
        <v>397</v>
      </c>
      <c r="B4877" s="5"/>
      <c r="C4877" s="5"/>
      <c r="D4877" s="4" t="s">
        <v>517</v>
      </c>
      <c r="E4877" s="4" t="s">
        <v>95</v>
      </c>
    </row>
    <row r="4878" spans="1:5" hidden="1" x14ac:dyDescent="0.15">
      <c r="A4878" s="1" t="s">
        <v>4</v>
      </c>
      <c r="B4878" s="2">
        <v>3316</v>
      </c>
      <c r="C4878" s="3">
        <v>4.0000000000000001E-3</v>
      </c>
      <c r="D4878" s="4" t="s">
        <v>517</v>
      </c>
      <c r="E4878" s="4" t="s">
        <v>95</v>
      </c>
    </row>
    <row r="4879" spans="1:5" ht="26" hidden="1" x14ac:dyDescent="0.15">
      <c r="A4879" s="1" t="s">
        <v>5</v>
      </c>
      <c r="B4879" s="2">
        <v>34660</v>
      </c>
      <c r="C4879" s="3">
        <v>4.5999999999999999E-2</v>
      </c>
      <c r="D4879" s="4" t="s">
        <v>517</v>
      </c>
      <c r="E4879" s="4" t="s">
        <v>95</v>
      </c>
    </row>
    <row r="4880" spans="1:5" ht="26" hidden="1" x14ac:dyDescent="0.15">
      <c r="A4880" s="1" t="s">
        <v>6</v>
      </c>
      <c r="B4880" s="2">
        <v>283079</v>
      </c>
      <c r="C4880" s="3">
        <v>0.37799999999999995</v>
      </c>
      <c r="D4880" s="4" t="s">
        <v>517</v>
      </c>
      <c r="E4880" s="4" t="s">
        <v>95</v>
      </c>
    </row>
    <row r="4881" spans="1:5" ht="26" hidden="1" x14ac:dyDescent="0.15">
      <c r="A4881" s="1" t="s">
        <v>7</v>
      </c>
      <c r="B4881" s="2">
        <v>227125</v>
      </c>
      <c r="C4881" s="3">
        <v>0.30299999999999999</v>
      </c>
      <c r="D4881" s="4" t="s">
        <v>517</v>
      </c>
      <c r="E4881" s="4" t="s">
        <v>95</v>
      </c>
    </row>
    <row r="4882" spans="1:5" ht="26" hidden="1" x14ac:dyDescent="0.15">
      <c r="A4882" s="1" t="s">
        <v>8</v>
      </c>
      <c r="B4882" s="2">
        <v>3971</v>
      </c>
      <c r="C4882" s="3">
        <v>5.0000000000000001E-3</v>
      </c>
      <c r="D4882" s="4" t="s">
        <v>517</v>
      </c>
      <c r="E4882" s="4" t="s">
        <v>95</v>
      </c>
    </row>
    <row r="4883" spans="1:5" ht="26" hidden="1" x14ac:dyDescent="0.15">
      <c r="A4883" s="1" t="s">
        <v>9</v>
      </c>
      <c r="B4883" s="2">
        <v>6535</v>
      </c>
      <c r="C4883" s="3">
        <v>9.0000000000000011E-3</v>
      </c>
      <c r="D4883" s="4" t="s">
        <v>517</v>
      </c>
      <c r="E4883" s="4" t="s">
        <v>95</v>
      </c>
    </row>
    <row r="4884" spans="1:5" ht="26" hidden="1" x14ac:dyDescent="0.15">
      <c r="A4884" s="1" t="s">
        <v>10</v>
      </c>
      <c r="B4884" s="2">
        <v>8260</v>
      </c>
      <c r="C4884" s="3">
        <v>1.1000000000000001E-2</v>
      </c>
      <c r="D4884" s="4" t="s">
        <v>517</v>
      </c>
      <c r="E4884" s="4" t="s">
        <v>95</v>
      </c>
    </row>
    <row r="4885" spans="1:5" ht="26" hidden="1" x14ac:dyDescent="0.15">
      <c r="A4885" s="1" t="s">
        <v>11</v>
      </c>
      <c r="B4885" s="2">
        <v>27470</v>
      </c>
      <c r="C4885" s="3">
        <v>3.7000000000000005E-2</v>
      </c>
      <c r="D4885" s="4" t="s">
        <v>517</v>
      </c>
      <c r="E4885" s="4" t="s">
        <v>95</v>
      </c>
    </row>
    <row r="4886" spans="1:5" ht="26" hidden="1" x14ac:dyDescent="0.15">
      <c r="A4886" s="1" t="s">
        <v>12</v>
      </c>
      <c r="B4886" s="2">
        <v>17298</v>
      </c>
      <c r="C4886" s="3">
        <v>2.3E-2</v>
      </c>
      <c r="D4886" s="4" t="s">
        <v>517</v>
      </c>
      <c r="E4886" s="4" t="s">
        <v>95</v>
      </c>
    </row>
    <row r="4887" spans="1:5" ht="26" hidden="1" x14ac:dyDescent="0.15">
      <c r="A4887" s="1" t="s">
        <v>13</v>
      </c>
      <c r="B4887" s="2">
        <v>3041</v>
      </c>
      <c r="C4887" s="3">
        <v>4.0000000000000001E-3</v>
      </c>
      <c r="D4887" s="4" t="s">
        <v>517</v>
      </c>
      <c r="E4887" s="4" t="s">
        <v>95</v>
      </c>
    </row>
    <row r="4888" spans="1:5" hidden="1" x14ac:dyDescent="0.15">
      <c r="A4888" s="1" t="s">
        <v>14</v>
      </c>
      <c r="B4888" s="2">
        <v>35129</v>
      </c>
      <c r="C4888" s="3">
        <v>4.7E-2</v>
      </c>
      <c r="D4888" s="4" t="s">
        <v>517</v>
      </c>
      <c r="E4888" s="4" t="s">
        <v>95</v>
      </c>
    </row>
    <row r="4889" spans="1:5" ht="26" hidden="1" x14ac:dyDescent="0.15">
      <c r="A4889" s="1" t="s">
        <v>15</v>
      </c>
      <c r="B4889" s="2">
        <v>52437</v>
      </c>
      <c r="C4889" s="3">
        <v>7.0000000000000007E-2</v>
      </c>
      <c r="D4889" s="4" t="s">
        <v>517</v>
      </c>
      <c r="E4889" s="4" t="s">
        <v>95</v>
      </c>
    </row>
    <row r="4890" spans="1:5" ht="26" hidden="1" x14ac:dyDescent="0.15">
      <c r="A4890" s="1" t="s">
        <v>16</v>
      </c>
      <c r="B4890" s="2">
        <v>20077</v>
      </c>
      <c r="C4890" s="3">
        <v>2.7000000000000003E-2</v>
      </c>
      <c r="D4890" s="4" t="s">
        <v>517</v>
      </c>
      <c r="E4890" s="4" t="s">
        <v>95</v>
      </c>
    </row>
    <row r="4891" spans="1:5" ht="26" hidden="1" x14ac:dyDescent="0.15">
      <c r="A4891" s="1" t="s">
        <v>17</v>
      </c>
      <c r="B4891" s="2">
        <v>12168</v>
      </c>
      <c r="C4891" s="3">
        <v>1.6E-2</v>
      </c>
      <c r="D4891" s="4" t="s">
        <v>517</v>
      </c>
      <c r="E4891" s="4" t="s">
        <v>95</v>
      </c>
    </row>
    <row r="4892" spans="1:5" hidden="1" x14ac:dyDescent="0.15">
      <c r="A4892" s="1" t="s">
        <v>18</v>
      </c>
      <c r="B4892" s="2">
        <v>6195</v>
      </c>
      <c r="C4892" s="3">
        <v>8.0000000000000002E-3</v>
      </c>
      <c r="D4892" s="4" t="s">
        <v>517</v>
      </c>
      <c r="E4892" s="4" t="s">
        <v>95</v>
      </c>
    </row>
    <row r="4893" spans="1:5" hidden="1" x14ac:dyDescent="0.15">
      <c r="A4893" s="1" t="s">
        <v>19</v>
      </c>
      <c r="B4893" s="2">
        <v>98843</v>
      </c>
      <c r="C4893" s="3">
        <v>0.13200000000000001</v>
      </c>
      <c r="D4893" s="4" t="s">
        <v>517</v>
      </c>
      <c r="E4893" s="4" t="s">
        <v>95</v>
      </c>
    </row>
    <row r="4894" spans="1:5" hidden="1" x14ac:dyDescent="0.15">
      <c r="A4894" s="1" t="s">
        <v>20</v>
      </c>
      <c r="B4894" s="2">
        <v>30844</v>
      </c>
      <c r="C4894" s="3">
        <v>4.0999999999999995E-2</v>
      </c>
      <c r="D4894" s="4" t="s">
        <v>517</v>
      </c>
      <c r="E4894" s="4" t="s">
        <v>95</v>
      </c>
    </row>
    <row r="4895" spans="1:5" ht="26" hidden="1" x14ac:dyDescent="0.15">
      <c r="A4895" s="1" t="s">
        <v>21</v>
      </c>
      <c r="B4895" s="2">
        <v>9003</v>
      </c>
      <c r="C4895" s="3">
        <v>1.2E-2</v>
      </c>
      <c r="D4895" s="4" t="s">
        <v>517</v>
      </c>
      <c r="E4895" s="4" t="s">
        <v>95</v>
      </c>
    </row>
    <row r="4896" spans="1:5" ht="26" hidden="1" x14ac:dyDescent="0.15">
      <c r="A4896" s="1" t="s">
        <v>22</v>
      </c>
      <c r="B4896" s="2">
        <v>4549</v>
      </c>
      <c r="C4896" s="3">
        <v>6.0000000000000001E-3</v>
      </c>
      <c r="D4896" s="4" t="s">
        <v>517</v>
      </c>
      <c r="E4896" s="4" t="s">
        <v>95</v>
      </c>
    </row>
    <row r="4897" spans="1:5" ht="26" hidden="1" x14ac:dyDescent="0.15">
      <c r="A4897" s="1" t="s">
        <v>23</v>
      </c>
      <c r="B4897" s="2">
        <v>8287</v>
      </c>
      <c r="C4897" s="3">
        <v>1.1000000000000001E-2</v>
      </c>
      <c r="D4897" s="4" t="s">
        <v>517</v>
      </c>
      <c r="E4897" s="4" t="s">
        <v>95</v>
      </c>
    </row>
    <row r="4898" spans="1:5" ht="26" hidden="1" x14ac:dyDescent="0.15">
      <c r="A4898" s="1" t="s">
        <v>24</v>
      </c>
      <c r="B4898" s="2">
        <v>4548</v>
      </c>
      <c r="C4898" s="3">
        <v>6.0000000000000001E-3</v>
      </c>
      <c r="D4898" s="4" t="s">
        <v>517</v>
      </c>
      <c r="E4898" s="4" t="s">
        <v>95</v>
      </c>
    </row>
    <row r="4899" spans="1:5" ht="26" hidden="1" x14ac:dyDescent="0.15">
      <c r="A4899" s="1" t="s">
        <v>25</v>
      </c>
      <c r="B4899" s="2">
        <v>25092</v>
      </c>
      <c r="C4899" s="3">
        <v>3.3000000000000002E-2</v>
      </c>
      <c r="D4899" s="4" t="s">
        <v>517</v>
      </c>
      <c r="E4899" s="4" t="s">
        <v>95</v>
      </c>
    </row>
    <row r="4900" spans="1:5" hidden="1" x14ac:dyDescent="0.15">
      <c r="A4900" s="1" t="s">
        <v>26</v>
      </c>
      <c r="B4900" s="2">
        <v>7509</v>
      </c>
      <c r="C4900" s="3">
        <v>0.01</v>
      </c>
      <c r="D4900" s="4" t="s">
        <v>517</v>
      </c>
      <c r="E4900" s="4" t="s">
        <v>95</v>
      </c>
    </row>
    <row r="4901" spans="1:5" hidden="1" x14ac:dyDescent="0.15">
      <c r="A4901" s="1" t="s">
        <v>27</v>
      </c>
      <c r="B4901" s="2">
        <v>63096</v>
      </c>
      <c r="C4901" s="3">
        <v>8.4000000000000005E-2</v>
      </c>
      <c r="D4901" s="4" t="s">
        <v>517</v>
      </c>
      <c r="E4901" s="4" t="s">
        <v>95</v>
      </c>
    </row>
    <row r="4902" spans="1:5" hidden="1" x14ac:dyDescent="0.15">
      <c r="A4902" s="1" t="s">
        <v>28</v>
      </c>
      <c r="B4902" s="2">
        <v>56976</v>
      </c>
      <c r="C4902" s="3">
        <v>7.5999999999999998E-2</v>
      </c>
      <c r="D4902" s="4" t="s">
        <v>517</v>
      </c>
      <c r="E4902" s="4" t="s">
        <v>95</v>
      </c>
    </row>
    <row r="4903" spans="1:5" hidden="1" x14ac:dyDescent="0.15">
      <c r="A4903" s="1" t="s">
        <v>29</v>
      </c>
      <c r="B4903" s="2">
        <v>271777</v>
      </c>
      <c r="C4903" s="3">
        <v>0.36299999999999999</v>
      </c>
      <c r="D4903" s="4" t="s">
        <v>517</v>
      </c>
      <c r="E4903" s="4" t="s">
        <v>95</v>
      </c>
    </row>
    <row r="4904" spans="1:5" hidden="1" x14ac:dyDescent="0.15">
      <c r="A4904" s="1" t="s">
        <v>30</v>
      </c>
      <c r="B4904" s="2">
        <v>23388</v>
      </c>
      <c r="C4904" s="3">
        <v>3.1E-2</v>
      </c>
      <c r="D4904" s="4" t="s">
        <v>517</v>
      </c>
      <c r="E4904" s="4" t="s">
        <v>95</v>
      </c>
    </row>
    <row r="4905" spans="1:5" ht="39" hidden="1" x14ac:dyDescent="0.15">
      <c r="A4905" s="1" t="s">
        <v>31</v>
      </c>
      <c r="B4905" s="2">
        <v>3811</v>
      </c>
      <c r="C4905" s="3">
        <v>5.0000000000000001E-3</v>
      </c>
      <c r="D4905" s="4" t="s">
        <v>517</v>
      </c>
      <c r="E4905" s="4" t="s">
        <v>95</v>
      </c>
    </row>
    <row r="4906" spans="1:5" hidden="1" x14ac:dyDescent="0.15">
      <c r="A4906" s="1" t="s">
        <v>32</v>
      </c>
      <c r="B4906" s="2">
        <v>16975</v>
      </c>
      <c r="C4906" s="3">
        <v>2.3E-2</v>
      </c>
      <c r="D4906" s="4" t="s">
        <v>517</v>
      </c>
      <c r="E4906" s="4" t="s">
        <v>95</v>
      </c>
    </row>
    <row r="4907" spans="1:5" hidden="1" x14ac:dyDescent="0.15">
      <c r="A4907" s="1" t="s">
        <v>33</v>
      </c>
      <c r="B4907" s="2">
        <v>210918</v>
      </c>
      <c r="C4907" s="3">
        <v>0.28100000000000003</v>
      </c>
      <c r="D4907" s="4" t="s">
        <v>517</v>
      </c>
      <c r="E4907" s="4" t="s">
        <v>95</v>
      </c>
    </row>
    <row r="4908" spans="1:5" hidden="1" x14ac:dyDescent="0.15">
      <c r="A4908" s="1" t="s">
        <v>34</v>
      </c>
      <c r="B4908" s="2">
        <v>44811</v>
      </c>
      <c r="C4908" s="3">
        <v>0.06</v>
      </c>
      <c r="D4908" s="4" t="s">
        <v>517</v>
      </c>
      <c r="E4908" s="4" t="s">
        <v>95</v>
      </c>
    </row>
    <row r="4909" spans="1:5" hidden="1" x14ac:dyDescent="0.15">
      <c r="A4909" s="1" t="s">
        <v>35</v>
      </c>
      <c r="B4909" s="2">
        <v>15897</v>
      </c>
      <c r="C4909" s="3">
        <v>2.1000000000000001E-2</v>
      </c>
      <c r="D4909" s="4" t="s">
        <v>517</v>
      </c>
      <c r="E4909" s="4" t="s">
        <v>95</v>
      </c>
    </row>
    <row r="4910" spans="1:5" ht="26" hidden="1" x14ac:dyDescent="0.15">
      <c r="A4910" s="1" t="s">
        <v>36</v>
      </c>
      <c r="B4910" s="2">
        <v>13535</v>
      </c>
      <c r="C4910" s="3">
        <v>1.8000000000000002E-2</v>
      </c>
      <c r="D4910" s="4" t="s">
        <v>517</v>
      </c>
      <c r="E4910" s="4" t="s">
        <v>95</v>
      </c>
    </row>
    <row r="4911" spans="1:5" hidden="1" x14ac:dyDescent="0.15">
      <c r="A4911" s="1" t="s">
        <v>37</v>
      </c>
      <c r="B4911" s="2">
        <v>8472</v>
      </c>
      <c r="C4911" s="3">
        <v>1.1000000000000001E-2</v>
      </c>
      <c r="D4911" s="4" t="s">
        <v>517</v>
      </c>
      <c r="E4911" s="4" t="s">
        <v>95</v>
      </c>
    </row>
    <row r="4912" spans="1:5" ht="39" hidden="1" x14ac:dyDescent="0.15">
      <c r="A4912" s="1" t="s">
        <v>38</v>
      </c>
      <c r="B4912" s="2">
        <v>9380</v>
      </c>
      <c r="C4912" s="3">
        <v>1.3000000000000001E-2</v>
      </c>
      <c r="D4912" s="4" t="s">
        <v>517</v>
      </c>
      <c r="E4912" s="4" t="s">
        <v>95</v>
      </c>
    </row>
    <row r="4913" spans="1:5" hidden="1" x14ac:dyDescent="0.15">
      <c r="A4913" s="1" t="s">
        <v>39</v>
      </c>
      <c r="B4913" s="2">
        <v>27846</v>
      </c>
      <c r="C4913" s="3">
        <v>3.7000000000000005E-2</v>
      </c>
      <c r="D4913" s="4" t="s">
        <v>517</v>
      </c>
      <c r="E4913" s="4" t="s">
        <v>95</v>
      </c>
    </row>
    <row r="4914" spans="1:5" hidden="1" x14ac:dyDescent="0.15">
      <c r="A4914" s="1" t="s">
        <v>40</v>
      </c>
      <c r="B4914" s="2">
        <v>11182</v>
      </c>
      <c r="C4914" s="3">
        <v>1.4999999999999999E-2</v>
      </c>
      <c r="D4914" s="4" t="s">
        <v>517</v>
      </c>
      <c r="E4914" s="4" t="s">
        <v>95</v>
      </c>
    </row>
    <row r="4915" spans="1:5" hidden="1" x14ac:dyDescent="0.15">
      <c r="A4915" s="1" t="s">
        <v>41</v>
      </c>
      <c r="B4915" s="2">
        <v>13482</v>
      </c>
      <c r="C4915" s="3">
        <v>1.8000000000000002E-2</v>
      </c>
      <c r="D4915" s="4" t="s">
        <v>517</v>
      </c>
      <c r="E4915" s="4" t="s">
        <v>95</v>
      </c>
    </row>
    <row r="4916" spans="1:5" hidden="1" x14ac:dyDescent="0.15">
      <c r="A4916" s="1" t="s">
        <v>42</v>
      </c>
      <c r="B4916" s="2">
        <v>6941</v>
      </c>
      <c r="C4916" s="3">
        <v>9.0000000000000011E-3</v>
      </c>
      <c r="D4916" s="4" t="s">
        <v>517</v>
      </c>
      <c r="E4916" s="4" t="s">
        <v>95</v>
      </c>
    </row>
    <row r="4917" spans="1:5" hidden="1" x14ac:dyDescent="0.15">
      <c r="A4917" s="1" t="s">
        <v>43</v>
      </c>
      <c r="B4917" s="2">
        <v>45270</v>
      </c>
      <c r="C4917" s="3">
        <v>0.06</v>
      </c>
      <c r="D4917" s="4" t="s">
        <v>517</v>
      </c>
      <c r="E4917" s="4" t="s">
        <v>95</v>
      </c>
    </row>
    <row r="4918" spans="1:5" ht="26" hidden="1" x14ac:dyDescent="0.15">
      <c r="A4918" s="1" t="s">
        <v>44</v>
      </c>
      <c r="B4918" s="2">
        <v>97535</v>
      </c>
      <c r="C4918" s="3">
        <v>0.13</v>
      </c>
      <c r="D4918" s="4" t="s">
        <v>517</v>
      </c>
      <c r="E4918" s="4" t="s">
        <v>95</v>
      </c>
    </row>
    <row r="4919" spans="1:5" hidden="1" x14ac:dyDescent="0.15">
      <c r="A4919" s="1" t="s">
        <v>45</v>
      </c>
      <c r="B4919" s="2">
        <v>180060</v>
      </c>
      <c r="C4919" s="3">
        <v>0.24</v>
      </c>
      <c r="D4919" s="4" t="s">
        <v>517</v>
      </c>
      <c r="E4919" s="4" t="s">
        <v>95</v>
      </c>
    </row>
    <row r="4920" spans="1:5" ht="26" hidden="1" x14ac:dyDescent="0.15">
      <c r="A4920" s="1" t="s">
        <v>46</v>
      </c>
      <c r="B4920" s="2">
        <v>493833</v>
      </c>
      <c r="C4920" s="3">
        <v>0.65900000000000003</v>
      </c>
      <c r="D4920" s="4" t="s">
        <v>517</v>
      </c>
      <c r="E4920" s="4" t="s">
        <v>95</v>
      </c>
    </row>
    <row r="4921" spans="1:5" hidden="1" x14ac:dyDescent="0.15">
      <c r="A4921" s="1" t="s">
        <v>47</v>
      </c>
      <c r="B4921" s="2">
        <v>466038</v>
      </c>
      <c r="C4921" s="3">
        <v>0.622</v>
      </c>
      <c r="D4921" s="4" t="s">
        <v>517</v>
      </c>
      <c r="E4921" s="4" t="s">
        <v>95</v>
      </c>
    </row>
    <row r="4922" spans="1:5" hidden="1" x14ac:dyDescent="0.15">
      <c r="A4922" s="1" t="s">
        <v>48</v>
      </c>
      <c r="B4922" s="2">
        <v>65268</v>
      </c>
      <c r="C4922" s="3">
        <v>8.6999999999999994E-2</v>
      </c>
      <c r="D4922" s="4" t="s">
        <v>517</v>
      </c>
      <c r="E4922" s="4" t="s">
        <v>95</v>
      </c>
    </row>
    <row r="4923" spans="1:5" hidden="1" x14ac:dyDescent="0.15">
      <c r="A4923" s="1" t="s">
        <v>49</v>
      </c>
      <c r="B4923" s="2">
        <v>85206</v>
      </c>
      <c r="C4923" s="3">
        <v>0.114</v>
      </c>
      <c r="D4923" s="4" t="s">
        <v>517</v>
      </c>
      <c r="E4923" s="4" t="s">
        <v>95</v>
      </c>
    </row>
    <row r="4924" spans="1:5" ht="26" hidden="1" x14ac:dyDescent="0.15">
      <c r="A4924" s="1" t="s">
        <v>50</v>
      </c>
      <c r="B4924" s="2">
        <v>130186</v>
      </c>
      <c r="C4924" s="3">
        <v>0.17399999999999999</v>
      </c>
      <c r="D4924" s="4" t="s">
        <v>517</v>
      </c>
      <c r="E4924" s="4" t="s">
        <v>95</v>
      </c>
    </row>
    <row r="4925" spans="1:5" hidden="1" x14ac:dyDescent="0.15">
      <c r="A4925" s="1" t="s">
        <v>51</v>
      </c>
      <c r="B4925" s="2">
        <v>224544</v>
      </c>
      <c r="C4925" s="3">
        <v>0.3</v>
      </c>
      <c r="D4925" s="4" t="s">
        <v>517</v>
      </c>
      <c r="E4925" s="4" t="s">
        <v>95</v>
      </c>
    </row>
    <row r="4926" spans="1:5" hidden="1" x14ac:dyDescent="0.15">
      <c r="A4926" s="1" t="s">
        <v>52</v>
      </c>
      <c r="B4926" s="2">
        <v>99994</v>
      </c>
      <c r="C4926" s="3">
        <v>0.13300000000000001</v>
      </c>
      <c r="D4926" s="4" t="s">
        <v>517</v>
      </c>
      <c r="E4926" s="4" t="s">
        <v>95</v>
      </c>
    </row>
    <row r="4927" spans="1:5" ht="26" hidden="1" x14ac:dyDescent="0.15">
      <c r="A4927" s="1" t="s">
        <v>53</v>
      </c>
      <c r="B4927" s="2">
        <v>61753</v>
      </c>
      <c r="C4927" s="3">
        <v>8.199999999999999E-2</v>
      </c>
      <c r="D4927" s="4" t="s">
        <v>517</v>
      </c>
      <c r="E4927" s="4" t="s">
        <v>95</v>
      </c>
    </row>
    <row r="4928" spans="1:5" hidden="1" x14ac:dyDescent="0.15">
      <c r="A4928" s="1" t="s">
        <v>54</v>
      </c>
      <c r="B4928" s="2">
        <v>268046</v>
      </c>
      <c r="C4928" s="3">
        <v>0.35799999999999998</v>
      </c>
      <c r="D4928" s="4" t="s">
        <v>517</v>
      </c>
      <c r="E4928" s="4" t="s">
        <v>95</v>
      </c>
    </row>
    <row r="4929" spans="1:5" ht="26" hidden="1" x14ac:dyDescent="0.15">
      <c r="A4929" s="1" t="s">
        <v>55</v>
      </c>
      <c r="B4929" s="2">
        <v>226899</v>
      </c>
      <c r="C4929" s="3">
        <v>0.30299999999999999</v>
      </c>
      <c r="D4929" s="4" t="s">
        <v>517</v>
      </c>
      <c r="E4929" s="4" t="s">
        <v>95</v>
      </c>
    </row>
    <row r="4930" spans="1:5" hidden="1" x14ac:dyDescent="0.15">
      <c r="A4930" s="1" t="s">
        <v>56</v>
      </c>
      <c r="B4930" s="2">
        <v>153392</v>
      </c>
      <c r="C4930" s="3">
        <v>0.20499999999999999</v>
      </c>
      <c r="D4930" s="4" t="s">
        <v>517</v>
      </c>
      <c r="E4930" s="4" t="s">
        <v>95</v>
      </c>
    </row>
    <row r="4931" spans="1:5" hidden="1" x14ac:dyDescent="0.15">
      <c r="A4931" s="1" t="s">
        <v>57</v>
      </c>
      <c r="B4931" s="2">
        <v>110225</v>
      </c>
      <c r="C4931" s="3">
        <v>0.14699999999999999</v>
      </c>
      <c r="D4931" s="4" t="s">
        <v>517</v>
      </c>
      <c r="E4931" s="4" t="s">
        <v>95</v>
      </c>
    </row>
    <row r="4932" spans="1:5" hidden="1" x14ac:dyDescent="0.15">
      <c r="A4932" s="1" t="s">
        <v>58</v>
      </c>
      <c r="B4932" s="2">
        <v>80698</v>
      </c>
      <c r="C4932" s="3">
        <v>0.10800000000000001</v>
      </c>
      <c r="D4932" s="4" t="s">
        <v>517</v>
      </c>
      <c r="E4932" s="4" t="s">
        <v>95</v>
      </c>
    </row>
    <row r="4933" spans="1:5" hidden="1" x14ac:dyDescent="0.15">
      <c r="A4933" s="1" t="s">
        <v>59</v>
      </c>
      <c r="B4933" s="2">
        <v>412101</v>
      </c>
      <c r="C4933" s="3">
        <v>0.55000000000000004</v>
      </c>
      <c r="D4933" s="4" t="s">
        <v>517</v>
      </c>
      <c r="E4933" s="4" t="s">
        <v>95</v>
      </c>
    </row>
    <row r="4934" spans="1:5" hidden="1" x14ac:dyDescent="0.15">
      <c r="A4934" s="1" t="s">
        <v>60</v>
      </c>
      <c r="B4934" s="2">
        <v>222607</v>
      </c>
      <c r="C4934" s="3">
        <v>0.29699999999999999</v>
      </c>
      <c r="D4934" s="4" t="s">
        <v>517</v>
      </c>
      <c r="E4934" s="4" t="s">
        <v>95</v>
      </c>
    </row>
    <row r="4935" spans="1:5" ht="26" hidden="1" x14ac:dyDescent="0.15">
      <c r="A4935" s="1" t="s">
        <v>61</v>
      </c>
      <c r="B4935" s="2">
        <v>127665</v>
      </c>
      <c r="C4935" s="3">
        <v>0.17</v>
      </c>
      <c r="D4935" s="4" t="s">
        <v>517</v>
      </c>
      <c r="E4935" s="4" t="s">
        <v>95</v>
      </c>
    </row>
    <row r="4936" spans="1:5" hidden="1" x14ac:dyDescent="0.15">
      <c r="A4936" s="1" t="s">
        <v>62</v>
      </c>
      <c r="B4936" s="2">
        <v>39072</v>
      </c>
      <c r="C4936" s="3">
        <v>5.2000000000000005E-2</v>
      </c>
      <c r="D4936" s="4" t="s">
        <v>517</v>
      </c>
      <c r="E4936" s="4" t="s">
        <v>95</v>
      </c>
    </row>
    <row r="4937" spans="1:5" ht="26" hidden="1" x14ac:dyDescent="0.15">
      <c r="A4937" s="1" t="s">
        <v>63</v>
      </c>
      <c r="B4937" s="2">
        <v>123517</v>
      </c>
      <c r="C4937" s="3">
        <v>0.16500000000000001</v>
      </c>
      <c r="D4937" s="4" t="s">
        <v>517</v>
      </c>
      <c r="E4937" s="4" t="s">
        <v>95</v>
      </c>
    </row>
    <row r="4938" spans="1:5" ht="26" hidden="1" x14ac:dyDescent="0.15">
      <c r="A4938" s="1" t="s">
        <v>64</v>
      </c>
      <c r="B4938" s="2">
        <v>52339</v>
      </c>
      <c r="C4938" s="3">
        <v>7.0000000000000007E-2</v>
      </c>
      <c r="D4938" s="4" t="s">
        <v>517</v>
      </c>
      <c r="E4938" s="4" t="s">
        <v>95</v>
      </c>
    </row>
    <row r="4939" spans="1:5" hidden="1" x14ac:dyDescent="0.15">
      <c r="A4939" s="1" t="s">
        <v>65</v>
      </c>
      <c r="B4939" s="2">
        <v>100295</v>
      </c>
      <c r="C4939" s="3">
        <v>0.13400000000000001</v>
      </c>
      <c r="D4939" s="4" t="s">
        <v>517</v>
      </c>
      <c r="E4939" s="4" t="s">
        <v>95</v>
      </c>
    </row>
    <row r="4940" spans="1:5" hidden="1" x14ac:dyDescent="0.15">
      <c r="A4940" s="1" t="s">
        <v>66</v>
      </c>
      <c r="B4940" s="2">
        <v>55570</v>
      </c>
      <c r="C4940" s="3">
        <v>7.400000000000001E-2</v>
      </c>
      <c r="D4940" s="4" t="s">
        <v>517</v>
      </c>
      <c r="E4940" s="4" t="s">
        <v>95</v>
      </c>
    </row>
    <row r="4941" spans="1:5" hidden="1" x14ac:dyDescent="0.15">
      <c r="A4941" s="1" t="s">
        <v>67</v>
      </c>
      <c r="B4941" s="2">
        <v>219185</v>
      </c>
      <c r="C4941" s="3">
        <v>0.29199999999999998</v>
      </c>
      <c r="D4941" s="4" t="s">
        <v>517</v>
      </c>
      <c r="E4941" s="4" t="s">
        <v>95</v>
      </c>
    </row>
    <row r="4942" spans="1:5" hidden="1" x14ac:dyDescent="0.15">
      <c r="A4942" s="1" t="s">
        <v>68</v>
      </c>
      <c r="B4942" s="2">
        <v>268863</v>
      </c>
      <c r="C4942" s="3">
        <v>0.35899999999999999</v>
      </c>
      <c r="D4942" s="4" t="s">
        <v>517</v>
      </c>
      <c r="E4942" s="4" t="s">
        <v>95</v>
      </c>
    </row>
    <row r="4943" spans="1:5" hidden="1" x14ac:dyDescent="0.15">
      <c r="A4943" s="1" t="s">
        <v>69</v>
      </c>
      <c r="B4943" s="2">
        <v>559047</v>
      </c>
      <c r="C4943" s="3">
        <v>0.746</v>
      </c>
      <c r="D4943" s="4" t="s">
        <v>517</v>
      </c>
      <c r="E4943" s="4" t="s">
        <v>95</v>
      </c>
    </row>
    <row r="4944" spans="1:5" hidden="1" x14ac:dyDescent="0.15">
      <c r="A4944" s="1" t="s">
        <v>70</v>
      </c>
      <c r="B4944" s="2">
        <v>157950</v>
      </c>
      <c r="C4944" s="3">
        <v>0.21100000000000002</v>
      </c>
      <c r="D4944" s="4" t="s">
        <v>517</v>
      </c>
      <c r="E4944" s="4" t="s">
        <v>95</v>
      </c>
    </row>
    <row r="4945" spans="1:5" ht="26" hidden="1" x14ac:dyDescent="0.15">
      <c r="A4945" s="1" t="s">
        <v>71</v>
      </c>
      <c r="B4945" s="2">
        <v>41666</v>
      </c>
      <c r="C4945" s="3">
        <v>5.5999999999999994E-2</v>
      </c>
      <c r="D4945" s="4" t="s">
        <v>517</v>
      </c>
      <c r="E4945" s="4" t="s">
        <v>95</v>
      </c>
    </row>
    <row r="4946" spans="1:5" hidden="1" x14ac:dyDescent="0.15">
      <c r="A4946" s="1" t="s">
        <v>72</v>
      </c>
      <c r="B4946" s="2">
        <v>97285</v>
      </c>
      <c r="C4946" s="3">
        <v>0.13</v>
      </c>
      <c r="D4946" s="4" t="s">
        <v>517</v>
      </c>
      <c r="E4946" s="4" t="s">
        <v>95</v>
      </c>
    </row>
    <row r="4947" spans="1:5" hidden="1" x14ac:dyDescent="0.15">
      <c r="A4947" s="1" t="s">
        <v>73</v>
      </c>
      <c r="B4947" s="2">
        <v>507437</v>
      </c>
      <c r="C4947" s="3">
        <v>0.67700000000000005</v>
      </c>
      <c r="D4947" s="4" t="s">
        <v>517</v>
      </c>
      <c r="E4947" s="4" t="s">
        <v>95</v>
      </c>
    </row>
    <row r="4948" spans="1:5" hidden="1" x14ac:dyDescent="0.15">
      <c r="A4948" s="1" t="s">
        <v>74</v>
      </c>
      <c r="B4948" s="2">
        <v>231110</v>
      </c>
      <c r="C4948" s="3">
        <v>0.308</v>
      </c>
      <c r="D4948" s="4" t="s">
        <v>517</v>
      </c>
      <c r="E4948" s="4" t="s">
        <v>95</v>
      </c>
    </row>
    <row r="4949" spans="1:5" hidden="1" x14ac:dyDescent="0.15">
      <c r="A4949" s="1" t="s">
        <v>75</v>
      </c>
      <c r="B4949" s="2">
        <v>150797</v>
      </c>
      <c r="C4949" s="3">
        <v>0.20100000000000001</v>
      </c>
      <c r="D4949" s="4" t="s">
        <v>517</v>
      </c>
      <c r="E4949" s="4" t="s">
        <v>95</v>
      </c>
    </row>
    <row r="4950" spans="1:5" hidden="1" x14ac:dyDescent="0.15">
      <c r="A4950" s="1" t="s">
        <v>76</v>
      </c>
      <c r="B4950" s="2">
        <v>88941</v>
      </c>
      <c r="C4950" s="3">
        <v>0.11900000000000001</v>
      </c>
      <c r="D4950" s="4" t="s">
        <v>517</v>
      </c>
      <c r="E4950" s="4" t="s">
        <v>95</v>
      </c>
    </row>
    <row r="4951" spans="1:5" hidden="1" x14ac:dyDescent="0.15">
      <c r="A4951" s="1" t="s">
        <v>77</v>
      </c>
      <c r="B4951" s="2">
        <v>88216</v>
      </c>
      <c r="C4951" s="3">
        <v>0.11800000000000001</v>
      </c>
      <c r="D4951" s="4" t="s">
        <v>517</v>
      </c>
      <c r="E4951" s="4" t="s">
        <v>95</v>
      </c>
    </row>
    <row r="4952" spans="1:5" ht="26" hidden="1" x14ac:dyDescent="0.15">
      <c r="A4952" s="1" t="s">
        <v>78</v>
      </c>
      <c r="B4952" s="2">
        <v>59339</v>
      </c>
      <c r="C4952" s="3">
        <v>7.9000000000000001E-2</v>
      </c>
      <c r="D4952" s="4" t="s">
        <v>517</v>
      </c>
      <c r="E4952" s="4" t="s">
        <v>95</v>
      </c>
    </row>
    <row r="4953" spans="1:5" hidden="1" x14ac:dyDescent="0.15">
      <c r="A4953" s="1" t="s">
        <v>79</v>
      </c>
      <c r="B4953" s="2">
        <v>140655</v>
      </c>
      <c r="C4953" s="3">
        <v>0.188</v>
      </c>
      <c r="D4953" s="4" t="s">
        <v>517</v>
      </c>
      <c r="E4953" s="4" t="s">
        <v>95</v>
      </c>
    </row>
    <row r="4954" spans="1:5" hidden="1" x14ac:dyDescent="0.15">
      <c r="A4954" s="1" t="s">
        <v>80</v>
      </c>
      <c r="B4954" s="2">
        <v>90417</v>
      </c>
      <c r="C4954" s="3">
        <v>0.121</v>
      </c>
      <c r="D4954" s="4" t="s">
        <v>517</v>
      </c>
      <c r="E4954" s="4" t="s">
        <v>95</v>
      </c>
    </row>
    <row r="4955" spans="1:5" ht="26" hidden="1" x14ac:dyDescent="0.15">
      <c r="A4955" s="1" t="s">
        <v>81</v>
      </c>
      <c r="B4955" s="2">
        <v>102629</v>
      </c>
      <c r="C4955" s="3">
        <v>0.13699999999999998</v>
      </c>
      <c r="D4955" s="4" t="s">
        <v>517</v>
      </c>
      <c r="E4955" s="4" t="s">
        <v>95</v>
      </c>
    </row>
    <row r="4956" spans="1:5" hidden="1" x14ac:dyDescent="0.15">
      <c r="A4956" s="1" t="s">
        <v>82</v>
      </c>
      <c r="B4956" s="2">
        <v>83423</v>
      </c>
      <c r="C4956" s="3">
        <v>0.111</v>
      </c>
      <c r="D4956" s="4" t="s">
        <v>517</v>
      </c>
      <c r="E4956" s="4" t="s">
        <v>95</v>
      </c>
    </row>
    <row r="4957" spans="1:5" hidden="1" x14ac:dyDescent="0.15">
      <c r="A4957" s="4"/>
      <c r="B4957" s="4"/>
      <c r="C4957" s="4"/>
      <c r="D4957" s="4" t="s">
        <v>517</v>
      </c>
      <c r="E4957" s="4" t="s">
        <v>95</v>
      </c>
    </row>
    <row r="4958" spans="1:5" hidden="1" x14ac:dyDescent="0.15">
      <c r="A4958" s="5"/>
      <c r="B4958" s="5"/>
      <c r="C4958" s="5"/>
      <c r="D4958" s="4" t="s">
        <v>517</v>
      </c>
      <c r="E4958" s="4" t="s">
        <v>95</v>
      </c>
    </row>
    <row r="4959" spans="1:5" ht="26" hidden="1" x14ac:dyDescent="0.15">
      <c r="A4959" s="1" t="s">
        <v>98</v>
      </c>
      <c r="B4959" s="2">
        <v>527753</v>
      </c>
      <c r="C4959" s="3">
        <v>0.70400000000000007</v>
      </c>
      <c r="D4959" s="4" t="s">
        <v>517</v>
      </c>
      <c r="E4959" s="4" t="s">
        <v>95</v>
      </c>
    </row>
    <row r="4960" spans="1:5" hidden="1" x14ac:dyDescent="0.15">
      <c r="A4960" s="1" t="s">
        <v>208</v>
      </c>
      <c r="B4960" s="2">
        <v>48481</v>
      </c>
      <c r="C4960" s="3">
        <v>6.5000000000000002E-2</v>
      </c>
      <c r="D4960" s="4" t="s">
        <v>517</v>
      </c>
      <c r="E4960" s="4" t="s">
        <v>95</v>
      </c>
    </row>
    <row r="4961" spans="1:5" hidden="1" x14ac:dyDescent="0.15">
      <c r="A4961" s="4"/>
      <c r="B4961" s="4"/>
      <c r="C4961" s="4"/>
      <c r="D4961" s="4" t="s">
        <v>517</v>
      </c>
      <c r="E4961" s="4" t="s">
        <v>95</v>
      </c>
    </row>
    <row r="4962" spans="1:5" hidden="1" x14ac:dyDescent="0.15">
      <c r="A4962" s="5"/>
      <c r="B4962" s="5"/>
      <c r="C4962" s="5"/>
      <c r="D4962" s="4" t="s">
        <v>517</v>
      </c>
      <c r="E4962" s="4" t="s">
        <v>95</v>
      </c>
    </row>
    <row r="4963" spans="1:5" hidden="1" x14ac:dyDescent="0.15">
      <c r="A4963" s="1" t="s">
        <v>97</v>
      </c>
      <c r="B4963" s="2">
        <v>176702</v>
      </c>
      <c r="C4963" s="3">
        <v>0.23600000000000002</v>
      </c>
      <c r="D4963" s="4" t="s">
        <v>517</v>
      </c>
      <c r="E4963" s="4" t="s">
        <v>95</v>
      </c>
    </row>
    <row r="4964" spans="1:5" hidden="1" x14ac:dyDescent="0.15">
      <c r="A4964" s="4"/>
      <c r="B4964" s="4"/>
      <c r="C4964" s="4"/>
      <c r="D4964" s="4" t="s">
        <v>517</v>
      </c>
      <c r="E4964" s="4" t="s">
        <v>95</v>
      </c>
    </row>
    <row r="4965" spans="1:5" hidden="1" x14ac:dyDescent="0.15">
      <c r="A4965" s="5"/>
      <c r="B4965" s="5"/>
      <c r="C4965" s="5"/>
      <c r="D4965" s="4" t="s">
        <v>517</v>
      </c>
      <c r="E4965" s="4" t="s">
        <v>95</v>
      </c>
    </row>
    <row r="4966" spans="1:5" ht="26" hidden="1" x14ac:dyDescent="0.15">
      <c r="A4966" s="1" t="s">
        <v>96</v>
      </c>
      <c r="B4966" s="2">
        <v>423395</v>
      </c>
      <c r="C4966" s="3">
        <v>0.56499999999999995</v>
      </c>
      <c r="D4966" s="4" t="s">
        <v>517</v>
      </c>
      <c r="E4966" s="4" t="s">
        <v>95</v>
      </c>
    </row>
    <row r="4967" spans="1:5" ht="26" hidden="1" x14ac:dyDescent="0.15">
      <c r="A4967" s="1" t="s">
        <v>207</v>
      </c>
      <c r="B4967" s="2">
        <v>77659</v>
      </c>
      <c r="C4967" s="3">
        <v>0.10400000000000001</v>
      </c>
      <c r="D4967" s="4" t="s">
        <v>517</v>
      </c>
      <c r="E4967" s="4" t="s">
        <v>95</v>
      </c>
    </row>
    <row r="4968" spans="1:5" hidden="1" x14ac:dyDescent="0.15">
      <c r="A4968" s="4"/>
      <c r="B4968" s="4"/>
      <c r="C4968" s="4"/>
      <c r="D4968" s="4" t="s">
        <v>517</v>
      </c>
      <c r="E4968" s="4" t="s">
        <v>95</v>
      </c>
    </row>
    <row r="4969" spans="1:5" hidden="1" x14ac:dyDescent="0.15">
      <c r="A4969" s="5"/>
      <c r="B4969" s="5"/>
      <c r="C4969" s="5"/>
      <c r="D4969" s="4" t="s">
        <v>517</v>
      </c>
      <c r="E4969" s="4" t="s">
        <v>95</v>
      </c>
    </row>
    <row r="4970" spans="1:5" ht="39" hidden="1" x14ac:dyDescent="0.15">
      <c r="A4970" s="1" t="s">
        <v>518</v>
      </c>
      <c r="B4970" s="2">
        <v>233602</v>
      </c>
      <c r="C4970" s="3">
        <v>0.312</v>
      </c>
      <c r="D4970" s="4" t="s">
        <v>517</v>
      </c>
      <c r="E4970" s="4" t="s">
        <v>95</v>
      </c>
    </row>
    <row r="4971" spans="1:5" ht="39" hidden="1" x14ac:dyDescent="0.15">
      <c r="A4971" s="1" t="s">
        <v>519</v>
      </c>
      <c r="B4971" s="2">
        <v>251368</v>
      </c>
      <c r="C4971" s="3">
        <v>0.33500000000000002</v>
      </c>
      <c r="D4971" s="4" t="s">
        <v>517</v>
      </c>
      <c r="E4971" s="4" t="s">
        <v>95</v>
      </c>
    </row>
    <row r="4972" spans="1:5" ht="26" hidden="1" x14ac:dyDescent="0.15">
      <c r="A4972" s="1" t="s">
        <v>520</v>
      </c>
      <c r="B4972" s="2">
        <v>444255</v>
      </c>
      <c r="C4972" s="3">
        <v>0.59299999999999997</v>
      </c>
      <c r="D4972" s="4" t="s">
        <v>517</v>
      </c>
      <c r="E4972" s="4" t="s">
        <v>95</v>
      </c>
    </row>
    <row r="4973" spans="1:5" ht="26" hidden="1" x14ac:dyDescent="0.15">
      <c r="A4973" s="1" t="s">
        <v>521</v>
      </c>
      <c r="B4973" s="2">
        <v>322701</v>
      </c>
      <c r="C4973" s="3">
        <v>0.43099999999999999</v>
      </c>
      <c r="D4973" s="4" t="s">
        <v>517</v>
      </c>
      <c r="E4973" s="4" t="s">
        <v>95</v>
      </c>
    </row>
    <row r="4974" spans="1:5" ht="26" hidden="1" x14ac:dyDescent="0.15">
      <c r="A4974" s="1" t="s">
        <v>210</v>
      </c>
      <c r="B4974" s="2">
        <v>146765</v>
      </c>
      <c r="C4974" s="3">
        <v>0.19600000000000001</v>
      </c>
      <c r="D4974" s="4" t="s">
        <v>517</v>
      </c>
      <c r="E4974" s="4" t="s">
        <v>95</v>
      </c>
    </row>
    <row r="4975" spans="1:5" ht="26" hidden="1" x14ac:dyDescent="0.15">
      <c r="A4975" s="1" t="s">
        <v>211</v>
      </c>
      <c r="B4975" s="2">
        <v>148318</v>
      </c>
      <c r="C4975" s="3">
        <v>0.19800000000000001</v>
      </c>
      <c r="D4975" s="4" t="s">
        <v>517</v>
      </c>
      <c r="E4975" s="4" t="s">
        <v>95</v>
      </c>
    </row>
    <row r="4976" spans="1:5" ht="26" hidden="1" x14ac:dyDescent="0.15">
      <c r="A4976" s="1" t="s">
        <v>214</v>
      </c>
      <c r="B4976" s="2">
        <v>17122</v>
      </c>
      <c r="C4976" s="3">
        <v>2.3E-2</v>
      </c>
      <c r="D4976" s="4" t="s">
        <v>517</v>
      </c>
      <c r="E4976" s="4" t="s">
        <v>95</v>
      </c>
    </row>
    <row r="4977" spans="1:5" hidden="1" x14ac:dyDescent="0.15">
      <c r="A4977" s="1" t="s">
        <v>0</v>
      </c>
      <c r="B4977" s="2">
        <v>1055846</v>
      </c>
      <c r="C4977" s="3">
        <v>1</v>
      </c>
      <c r="D4977" s="4" t="s">
        <v>522</v>
      </c>
      <c r="E4977" s="4" t="s">
        <v>418</v>
      </c>
    </row>
    <row r="4978" spans="1:5" ht="26" hidden="1" x14ac:dyDescent="0.15">
      <c r="A4978" s="1" t="s">
        <v>3</v>
      </c>
      <c r="B4978" s="2">
        <v>11856</v>
      </c>
      <c r="C4978" s="3">
        <v>1.1000000000000001E-2</v>
      </c>
      <c r="D4978" s="4" t="s">
        <v>522</v>
      </c>
      <c r="E4978" s="4" t="s">
        <v>418</v>
      </c>
    </row>
    <row r="4979" spans="1:5" hidden="1" x14ac:dyDescent="0.15">
      <c r="A4979" s="1" t="s">
        <v>4</v>
      </c>
      <c r="B4979" s="2">
        <v>17606</v>
      </c>
      <c r="C4979" s="3">
        <v>1.7000000000000001E-2</v>
      </c>
      <c r="D4979" s="4" t="s">
        <v>522</v>
      </c>
      <c r="E4979" s="4" t="s">
        <v>418</v>
      </c>
    </row>
    <row r="4980" spans="1:5" ht="26" hidden="1" x14ac:dyDescent="0.15">
      <c r="A4980" s="1" t="s">
        <v>5</v>
      </c>
      <c r="B4980" s="2">
        <v>40081</v>
      </c>
      <c r="C4980" s="3">
        <v>3.7999999999999999E-2</v>
      </c>
      <c r="D4980" s="4" t="s">
        <v>522</v>
      </c>
      <c r="E4980" s="4" t="s">
        <v>418</v>
      </c>
    </row>
    <row r="4981" spans="1:5" ht="26" hidden="1" x14ac:dyDescent="0.15">
      <c r="A4981" s="1" t="s">
        <v>6</v>
      </c>
      <c r="B4981" s="2">
        <v>239954</v>
      </c>
      <c r="C4981" s="3">
        <v>0.22699999999999998</v>
      </c>
      <c r="D4981" s="4" t="s">
        <v>522</v>
      </c>
      <c r="E4981" s="4" t="s">
        <v>418</v>
      </c>
    </row>
    <row r="4982" spans="1:5" ht="26" hidden="1" x14ac:dyDescent="0.15">
      <c r="A4982" s="1" t="s">
        <v>7</v>
      </c>
      <c r="B4982" s="2">
        <v>365000</v>
      </c>
      <c r="C4982" s="3">
        <v>0.34600000000000003</v>
      </c>
      <c r="D4982" s="4" t="s">
        <v>522</v>
      </c>
      <c r="E4982" s="4" t="s">
        <v>418</v>
      </c>
    </row>
    <row r="4983" spans="1:5" ht="26" hidden="1" x14ac:dyDescent="0.15">
      <c r="A4983" s="1" t="s">
        <v>8</v>
      </c>
      <c r="B4983" s="2">
        <v>18423</v>
      </c>
      <c r="C4983" s="3">
        <v>1.7000000000000001E-2</v>
      </c>
      <c r="D4983" s="4" t="s">
        <v>522</v>
      </c>
      <c r="E4983" s="4" t="s">
        <v>418</v>
      </c>
    </row>
    <row r="4984" spans="1:5" ht="26" hidden="1" x14ac:dyDescent="0.15">
      <c r="A4984" s="1" t="s">
        <v>9</v>
      </c>
      <c r="B4984" s="2">
        <v>22710</v>
      </c>
      <c r="C4984" s="3">
        <v>2.2000000000000002E-2</v>
      </c>
      <c r="D4984" s="4" t="s">
        <v>522</v>
      </c>
      <c r="E4984" s="4" t="s">
        <v>418</v>
      </c>
    </row>
    <row r="4985" spans="1:5" ht="26" hidden="1" x14ac:dyDescent="0.15">
      <c r="A4985" s="1" t="s">
        <v>10</v>
      </c>
      <c r="B4985" s="2">
        <v>23968</v>
      </c>
      <c r="C4985" s="3">
        <v>2.3E-2</v>
      </c>
      <c r="D4985" s="4" t="s">
        <v>522</v>
      </c>
      <c r="E4985" s="4" t="s">
        <v>418</v>
      </c>
    </row>
    <row r="4986" spans="1:5" ht="26" hidden="1" x14ac:dyDescent="0.15">
      <c r="A4986" s="1" t="s">
        <v>11</v>
      </c>
      <c r="B4986" s="2">
        <v>60190</v>
      </c>
      <c r="C4986" s="3">
        <v>5.7000000000000002E-2</v>
      </c>
      <c r="D4986" s="4" t="s">
        <v>522</v>
      </c>
      <c r="E4986" s="4" t="s">
        <v>418</v>
      </c>
    </row>
    <row r="4987" spans="1:5" ht="26" hidden="1" x14ac:dyDescent="0.15">
      <c r="A4987" s="1" t="s">
        <v>12</v>
      </c>
      <c r="B4987" s="2">
        <v>13875</v>
      </c>
      <c r="C4987" s="3">
        <v>1.3000000000000001E-2</v>
      </c>
      <c r="D4987" s="4" t="s">
        <v>522</v>
      </c>
      <c r="E4987" s="4" t="s">
        <v>418</v>
      </c>
    </row>
    <row r="4988" spans="1:5" ht="26" hidden="1" x14ac:dyDescent="0.15">
      <c r="A4988" s="1" t="s">
        <v>13</v>
      </c>
      <c r="B4988" s="2">
        <v>7580</v>
      </c>
      <c r="C4988" s="3">
        <v>6.9999999999999993E-3</v>
      </c>
      <c r="D4988" s="4" t="s">
        <v>522</v>
      </c>
      <c r="E4988" s="4" t="s">
        <v>418</v>
      </c>
    </row>
    <row r="4989" spans="1:5" hidden="1" x14ac:dyDescent="0.15">
      <c r="A4989" s="1" t="s">
        <v>14</v>
      </c>
      <c r="B4989" s="2">
        <v>49018</v>
      </c>
      <c r="C4989" s="3">
        <v>4.5999999999999999E-2</v>
      </c>
      <c r="D4989" s="4" t="s">
        <v>522</v>
      </c>
      <c r="E4989" s="4" t="s">
        <v>418</v>
      </c>
    </row>
    <row r="4990" spans="1:5" ht="26" hidden="1" x14ac:dyDescent="0.15">
      <c r="A4990" s="1" t="s">
        <v>15</v>
      </c>
      <c r="B4990" s="2">
        <v>65893</v>
      </c>
      <c r="C4990" s="3">
        <v>6.2E-2</v>
      </c>
      <c r="D4990" s="4" t="s">
        <v>522</v>
      </c>
      <c r="E4990" s="4" t="s">
        <v>418</v>
      </c>
    </row>
    <row r="4991" spans="1:5" ht="26" hidden="1" x14ac:dyDescent="0.15">
      <c r="A4991" s="1" t="s">
        <v>16</v>
      </c>
      <c r="B4991" s="2">
        <v>30758</v>
      </c>
      <c r="C4991" s="3">
        <v>2.8999999999999998E-2</v>
      </c>
      <c r="D4991" s="4" t="s">
        <v>522</v>
      </c>
      <c r="E4991" s="4" t="s">
        <v>418</v>
      </c>
    </row>
    <row r="4992" spans="1:5" ht="26" hidden="1" x14ac:dyDescent="0.15">
      <c r="A4992" s="1" t="s">
        <v>17</v>
      </c>
      <c r="B4992" s="2">
        <v>19521</v>
      </c>
      <c r="C4992" s="3">
        <v>1.8000000000000002E-2</v>
      </c>
      <c r="D4992" s="4" t="s">
        <v>522</v>
      </c>
      <c r="E4992" s="4" t="s">
        <v>418</v>
      </c>
    </row>
    <row r="4993" spans="1:5" hidden="1" x14ac:dyDescent="0.15">
      <c r="A4993" s="1" t="s">
        <v>18</v>
      </c>
      <c r="B4993" s="2">
        <v>19940</v>
      </c>
      <c r="C4993" s="3">
        <v>1.9E-2</v>
      </c>
      <c r="D4993" s="4" t="s">
        <v>522</v>
      </c>
      <c r="E4993" s="4" t="s">
        <v>418</v>
      </c>
    </row>
    <row r="4994" spans="1:5" hidden="1" x14ac:dyDescent="0.15">
      <c r="A4994" s="1" t="s">
        <v>19</v>
      </c>
      <c r="B4994" s="2">
        <v>102099</v>
      </c>
      <c r="C4994" s="3">
        <v>9.6999999999999989E-2</v>
      </c>
      <c r="D4994" s="4" t="s">
        <v>522</v>
      </c>
      <c r="E4994" s="4" t="s">
        <v>418</v>
      </c>
    </row>
    <row r="4995" spans="1:5" hidden="1" x14ac:dyDescent="0.15">
      <c r="A4995" s="1" t="s">
        <v>20</v>
      </c>
      <c r="B4995" s="2">
        <v>21126</v>
      </c>
      <c r="C4995" s="3">
        <v>0.02</v>
      </c>
      <c r="D4995" s="4" t="s">
        <v>522</v>
      </c>
      <c r="E4995" s="4" t="s">
        <v>418</v>
      </c>
    </row>
    <row r="4996" spans="1:5" ht="26" hidden="1" x14ac:dyDescent="0.15">
      <c r="A4996" s="1" t="s">
        <v>21</v>
      </c>
      <c r="B4996" s="2">
        <v>20076</v>
      </c>
      <c r="C4996" s="3">
        <v>1.9E-2</v>
      </c>
      <c r="D4996" s="4" t="s">
        <v>522</v>
      </c>
      <c r="E4996" s="4" t="s">
        <v>418</v>
      </c>
    </row>
    <row r="4997" spans="1:5" ht="26" hidden="1" x14ac:dyDescent="0.15">
      <c r="A4997" s="1" t="s">
        <v>22</v>
      </c>
      <c r="B4997" s="2">
        <v>8204</v>
      </c>
      <c r="C4997" s="3">
        <v>8.0000000000000002E-3</v>
      </c>
      <c r="D4997" s="4" t="s">
        <v>522</v>
      </c>
      <c r="E4997" s="4" t="s">
        <v>418</v>
      </c>
    </row>
    <row r="4998" spans="1:5" ht="26" hidden="1" x14ac:dyDescent="0.15">
      <c r="A4998" s="1" t="s">
        <v>23</v>
      </c>
      <c r="B4998" s="2">
        <v>13912</v>
      </c>
      <c r="C4998" s="3">
        <v>1.3000000000000001E-2</v>
      </c>
      <c r="D4998" s="4" t="s">
        <v>522</v>
      </c>
      <c r="E4998" s="4" t="s">
        <v>418</v>
      </c>
    </row>
    <row r="4999" spans="1:5" ht="26" hidden="1" x14ac:dyDescent="0.15">
      <c r="A4999" s="1" t="s">
        <v>24</v>
      </c>
      <c r="B4999" s="2">
        <v>12475</v>
      </c>
      <c r="C4999" s="3">
        <v>1.2E-2</v>
      </c>
      <c r="D4999" s="4" t="s">
        <v>522</v>
      </c>
      <c r="E4999" s="4" t="s">
        <v>418</v>
      </c>
    </row>
    <row r="5000" spans="1:5" ht="26" hidden="1" x14ac:dyDescent="0.15">
      <c r="A5000" s="1" t="s">
        <v>25</v>
      </c>
      <c r="B5000" s="2">
        <v>34966</v>
      </c>
      <c r="C5000" s="3">
        <v>3.3000000000000002E-2</v>
      </c>
      <c r="D5000" s="4" t="s">
        <v>522</v>
      </c>
      <c r="E5000" s="4" t="s">
        <v>418</v>
      </c>
    </row>
    <row r="5001" spans="1:5" hidden="1" x14ac:dyDescent="0.15">
      <c r="A5001" s="1" t="s">
        <v>26</v>
      </c>
      <c r="B5001" s="2">
        <v>3329</v>
      </c>
      <c r="C5001" s="3">
        <v>3.0000000000000001E-3</v>
      </c>
      <c r="D5001" s="4" t="s">
        <v>522</v>
      </c>
      <c r="E5001" s="4" t="s">
        <v>418</v>
      </c>
    </row>
    <row r="5002" spans="1:5" hidden="1" x14ac:dyDescent="0.15">
      <c r="A5002" s="1" t="s">
        <v>27</v>
      </c>
      <c r="B5002" s="2">
        <v>150270</v>
      </c>
      <c r="C5002" s="3">
        <v>0.14199999999999999</v>
      </c>
      <c r="D5002" s="4" t="s">
        <v>522</v>
      </c>
      <c r="E5002" s="4" t="s">
        <v>418</v>
      </c>
    </row>
    <row r="5003" spans="1:5" hidden="1" x14ac:dyDescent="0.15">
      <c r="A5003" s="1" t="s">
        <v>28</v>
      </c>
      <c r="B5003" s="2">
        <v>73723</v>
      </c>
      <c r="C5003" s="3">
        <v>7.0000000000000007E-2</v>
      </c>
      <c r="D5003" s="4" t="s">
        <v>522</v>
      </c>
      <c r="E5003" s="4" t="s">
        <v>418</v>
      </c>
    </row>
    <row r="5004" spans="1:5" hidden="1" x14ac:dyDescent="0.15">
      <c r="A5004" s="1" t="s">
        <v>29</v>
      </c>
      <c r="B5004" s="2">
        <v>222743</v>
      </c>
      <c r="C5004" s="3">
        <v>0.21100000000000002</v>
      </c>
      <c r="D5004" s="4" t="s">
        <v>522</v>
      </c>
      <c r="E5004" s="4" t="s">
        <v>418</v>
      </c>
    </row>
    <row r="5005" spans="1:5" hidden="1" x14ac:dyDescent="0.15">
      <c r="A5005" s="1" t="s">
        <v>30</v>
      </c>
      <c r="B5005" s="2">
        <v>27942</v>
      </c>
      <c r="C5005" s="3">
        <v>2.6000000000000002E-2</v>
      </c>
      <c r="D5005" s="4" t="s">
        <v>522</v>
      </c>
      <c r="E5005" s="4" t="s">
        <v>418</v>
      </c>
    </row>
    <row r="5006" spans="1:5" ht="39" hidden="1" x14ac:dyDescent="0.15">
      <c r="A5006" s="1" t="s">
        <v>31</v>
      </c>
      <c r="B5006" s="2">
        <v>2611</v>
      </c>
      <c r="C5006" s="3">
        <v>2E-3</v>
      </c>
      <c r="D5006" s="4" t="s">
        <v>522</v>
      </c>
      <c r="E5006" s="4" t="s">
        <v>418</v>
      </c>
    </row>
    <row r="5007" spans="1:5" hidden="1" x14ac:dyDescent="0.15">
      <c r="A5007" s="1" t="s">
        <v>32</v>
      </c>
      <c r="B5007" s="2">
        <v>35402</v>
      </c>
      <c r="C5007" s="3">
        <v>3.4000000000000002E-2</v>
      </c>
      <c r="D5007" s="4" t="s">
        <v>522</v>
      </c>
      <c r="E5007" s="4" t="s">
        <v>418</v>
      </c>
    </row>
    <row r="5008" spans="1:5" hidden="1" x14ac:dyDescent="0.15">
      <c r="A5008" s="1" t="s">
        <v>33</v>
      </c>
      <c r="B5008" s="2">
        <v>180249</v>
      </c>
      <c r="C5008" s="3">
        <v>0.17100000000000001</v>
      </c>
      <c r="D5008" s="4" t="s">
        <v>522</v>
      </c>
      <c r="E5008" s="4" t="s">
        <v>418</v>
      </c>
    </row>
    <row r="5009" spans="1:5" hidden="1" x14ac:dyDescent="0.15">
      <c r="A5009" s="1" t="s">
        <v>34</v>
      </c>
      <c r="B5009" s="2">
        <v>65977</v>
      </c>
      <c r="C5009" s="3">
        <v>6.2E-2</v>
      </c>
      <c r="D5009" s="4" t="s">
        <v>522</v>
      </c>
      <c r="E5009" s="4" t="s">
        <v>418</v>
      </c>
    </row>
    <row r="5010" spans="1:5" hidden="1" x14ac:dyDescent="0.15">
      <c r="A5010" s="1" t="s">
        <v>35</v>
      </c>
      <c r="B5010" s="2">
        <v>27884</v>
      </c>
      <c r="C5010" s="3">
        <v>2.6000000000000002E-2</v>
      </c>
      <c r="D5010" s="4" t="s">
        <v>522</v>
      </c>
      <c r="E5010" s="4" t="s">
        <v>418</v>
      </c>
    </row>
    <row r="5011" spans="1:5" ht="26" hidden="1" x14ac:dyDescent="0.15">
      <c r="A5011" s="1" t="s">
        <v>36</v>
      </c>
      <c r="B5011" s="2">
        <v>28917</v>
      </c>
      <c r="C5011" s="3">
        <v>2.7000000000000003E-2</v>
      </c>
      <c r="D5011" s="4" t="s">
        <v>522</v>
      </c>
      <c r="E5011" s="4" t="s">
        <v>418</v>
      </c>
    </row>
    <row r="5012" spans="1:5" hidden="1" x14ac:dyDescent="0.15">
      <c r="A5012" s="1" t="s">
        <v>37</v>
      </c>
      <c r="B5012" s="2">
        <v>16633</v>
      </c>
      <c r="C5012" s="3">
        <v>1.6E-2</v>
      </c>
      <c r="D5012" s="4" t="s">
        <v>522</v>
      </c>
      <c r="E5012" s="4" t="s">
        <v>418</v>
      </c>
    </row>
    <row r="5013" spans="1:5" ht="39" hidden="1" x14ac:dyDescent="0.15">
      <c r="A5013" s="1" t="s">
        <v>38</v>
      </c>
      <c r="B5013" s="2">
        <v>19760</v>
      </c>
      <c r="C5013" s="3">
        <v>1.9E-2</v>
      </c>
      <c r="D5013" s="4" t="s">
        <v>522</v>
      </c>
      <c r="E5013" s="4" t="s">
        <v>418</v>
      </c>
    </row>
    <row r="5014" spans="1:5" hidden="1" x14ac:dyDescent="0.15">
      <c r="A5014" s="1" t="s">
        <v>39</v>
      </c>
      <c r="B5014" s="2">
        <v>70889</v>
      </c>
      <c r="C5014" s="3">
        <v>6.7000000000000004E-2</v>
      </c>
      <c r="D5014" s="4" t="s">
        <v>522</v>
      </c>
      <c r="E5014" s="4" t="s">
        <v>418</v>
      </c>
    </row>
    <row r="5015" spans="1:5" hidden="1" x14ac:dyDescent="0.15">
      <c r="A5015" s="1" t="s">
        <v>40</v>
      </c>
      <c r="B5015" s="2">
        <v>33389</v>
      </c>
      <c r="C5015" s="3">
        <v>3.2000000000000001E-2</v>
      </c>
      <c r="D5015" s="4" t="s">
        <v>522</v>
      </c>
      <c r="E5015" s="4" t="s">
        <v>418</v>
      </c>
    </row>
    <row r="5016" spans="1:5" hidden="1" x14ac:dyDescent="0.15">
      <c r="A5016" s="1" t="s">
        <v>41</v>
      </c>
      <c r="B5016" s="2">
        <v>17316</v>
      </c>
      <c r="C5016" s="3">
        <v>1.6E-2</v>
      </c>
      <c r="D5016" s="4" t="s">
        <v>522</v>
      </c>
      <c r="E5016" s="4" t="s">
        <v>418</v>
      </c>
    </row>
    <row r="5017" spans="1:5" hidden="1" x14ac:dyDescent="0.15">
      <c r="A5017" s="1" t="s">
        <v>42</v>
      </c>
      <c r="B5017" s="2">
        <v>48837</v>
      </c>
      <c r="C5017" s="3">
        <v>4.5999999999999999E-2</v>
      </c>
      <c r="D5017" s="4" t="s">
        <v>522</v>
      </c>
      <c r="E5017" s="4" t="s">
        <v>418</v>
      </c>
    </row>
    <row r="5018" spans="1:5" hidden="1" x14ac:dyDescent="0.15">
      <c r="A5018" s="1" t="s">
        <v>43</v>
      </c>
      <c r="B5018" s="2">
        <v>131031</v>
      </c>
      <c r="C5018" s="3">
        <v>0.124</v>
      </c>
      <c r="D5018" s="4" t="s">
        <v>522</v>
      </c>
      <c r="E5018" s="4" t="s">
        <v>418</v>
      </c>
    </row>
    <row r="5019" spans="1:5" ht="26" hidden="1" x14ac:dyDescent="0.15">
      <c r="A5019" s="1" t="s">
        <v>44</v>
      </c>
      <c r="B5019" s="2">
        <v>96705</v>
      </c>
      <c r="C5019" s="3">
        <v>9.1999999999999998E-2</v>
      </c>
      <c r="D5019" s="4" t="s">
        <v>522</v>
      </c>
      <c r="E5019" s="4" t="s">
        <v>418</v>
      </c>
    </row>
    <row r="5020" spans="1:5" hidden="1" x14ac:dyDescent="0.15">
      <c r="A5020" s="1" t="s">
        <v>45</v>
      </c>
      <c r="B5020" s="2">
        <v>337470</v>
      </c>
      <c r="C5020" s="3">
        <v>0.32</v>
      </c>
      <c r="D5020" s="4" t="s">
        <v>522</v>
      </c>
      <c r="E5020" s="4" t="s">
        <v>418</v>
      </c>
    </row>
    <row r="5021" spans="1:5" ht="26" hidden="1" x14ac:dyDescent="0.15">
      <c r="A5021" s="1" t="s">
        <v>46</v>
      </c>
      <c r="B5021" s="2">
        <v>525173</v>
      </c>
      <c r="C5021" s="3">
        <v>0.49700000000000005</v>
      </c>
      <c r="D5021" s="4" t="s">
        <v>522</v>
      </c>
      <c r="E5021" s="4" t="s">
        <v>418</v>
      </c>
    </row>
    <row r="5022" spans="1:5" hidden="1" x14ac:dyDescent="0.15">
      <c r="A5022" s="1" t="s">
        <v>47</v>
      </c>
      <c r="B5022" s="2">
        <v>645982</v>
      </c>
      <c r="C5022" s="3">
        <v>0.61199999999999999</v>
      </c>
      <c r="D5022" s="4" t="s">
        <v>522</v>
      </c>
      <c r="E5022" s="4" t="s">
        <v>418</v>
      </c>
    </row>
    <row r="5023" spans="1:5" hidden="1" x14ac:dyDescent="0.15">
      <c r="A5023" s="1" t="s">
        <v>48</v>
      </c>
      <c r="B5023" s="2">
        <v>73232</v>
      </c>
      <c r="C5023" s="3">
        <v>6.9000000000000006E-2</v>
      </c>
      <c r="D5023" s="4" t="s">
        <v>522</v>
      </c>
      <c r="E5023" s="4" t="s">
        <v>418</v>
      </c>
    </row>
    <row r="5024" spans="1:5" hidden="1" x14ac:dyDescent="0.15">
      <c r="A5024" s="1" t="s">
        <v>49</v>
      </c>
      <c r="B5024" s="2">
        <v>70878</v>
      </c>
      <c r="C5024" s="3">
        <v>6.7000000000000004E-2</v>
      </c>
      <c r="D5024" s="4" t="s">
        <v>522</v>
      </c>
      <c r="E5024" s="4" t="s">
        <v>418</v>
      </c>
    </row>
    <row r="5025" spans="1:5" ht="26" hidden="1" x14ac:dyDescent="0.15">
      <c r="A5025" s="1" t="s">
        <v>50</v>
      </c>
      <c r="B5025" s="2">
        <v>197703</v>
      </c>
      <c r="C5025" s="3">
        <v>0.187</v>
      </c>
      <c r="D5025" s="4" t="s">
        <v>522</v>
      </c>
      <c r="E5025" s="4" t="s">
        <v>418</v>
      </c>
    </row>
    <row r="5026" spans="1:5" hidden="1" x14ac:dyDescent="0.15">
      <c r="A5026" s="1" t="s">
        <v>51</v>
      </c>
      <c r="B5026" s="2">
        <v>319494</v>
      </c>
      <c r="C5026" s="3">
        <v>0.30299999999999999</v>
      </c>
      <c r="D5026" s="4" t="s">
        <v>522</v>
      </c>
      <c r="E5026" s="4" t="s">
        <v>418</v>
      </c>
    </row>
    <row r="5027" spans="1:5" hidden="1" x14ac:dyDescent="0.15">
      <c r="A5027" s="1" t="s">
        <v>52</v>
      </c>
      <c r="B5027" s="2">
        <v>94238</v>
      </c>
      <c r="C5027" s="3">
        <v>8.900000000000001E-2</v>
      </c>
      <c r="D5027" s="4" t="s">
        <v>522</v>
      </c>
      <c r="E5027" s="4" t="s">
        <v>418</v>
      </c>
    </row>
    <row r="5028" spans="1:5" ht="26" hidden="1" x14ac:dyDescent="0.15">
      <c r="A5028" s="1" t="s">
        <v>53</v>
      </c>
      <c r="B5028" s="2">
        <v>72960</v>
      </c>
      <c r="C5028" s="3">
        <v>6.9000000000000006E-2</v>
      </c>
      <c r="D5028" s="4" t="s">
        <v>522</v>
      </c>
      <c r="E5028" s="4" t="s">
        <v>418</v>
      </c>
    </row>
    <row r="5029" spans="1:5" hidden="1" x14ac:dyDescent="0.15">
      <c r="A5029" s="1" t="s">
        <v>54</v>
      </c>
      <c r="B5029" s="2">
        <v>334844</v>
      </c>
      <c r="C5029" s="3">
        <v>0.317</v>
      </c>
      <c r="D5029" s="4" t="s">
        <v>522</v>
      </c>
      <c r="E5029" s="4" t="s">
        <v>418</v>
      </c>
    </row>
    <row r="5030" spans="1:5" ht="26" hidden="1" x14ac:dyDescent="0.15">
      <c r="A5030" s="1" t="s">
        <v>55</v>
      </c>
      <c r="B5030" s="2">
        <v>366457</v>
      </c>
      <c r="C5030" s="3">
        <v>0.34700000000000003</v>
      </c>
      <c r="D5030" s="4" t="s">
        <v>522</v>
      </c>
      <c r="E5030" s="4" t="s">
        <v>418</v>
      </c>
    </row>
    <row r="5031" spans="1:5" hidden="1" x14ac:dyDescent="0.15">
      <c r="A5031" s="1" t="s">
        <v>56</v>
      </c>
      <c r="B5031" s="2">
        <v>280980</v>
      </c>
      <c r="C5031" s="3">
        <v>0.26600000000000001</v>
      </c>
      <c r="D5031" s="4" t="s">
        <v>522</v>
      </c>
      <c r="E5031" s="4" t="s">
        <v>418</v>
      </c>
    </row>
    <row r="5032" spans="1:5" hidden="1" x14ac:dyDescent="0.15">
      <c r="A5032" s="1" t="s">
        <v>57</v>
      </c>
      <c r="B5032" s="2">
        <v>149737</v>
      </c>
      <c r="C5032" s="3">
        <v>0.14199999999999999</v>
      </c>
      <c r="D5032" s="4" t="s">
        <v>522</v>
      </c>
      <c r="E5032" s="4" t="s">
        <v>418</v>
      </c>
    </row>
    <row r="5033" spans="1:5" hidden="1" x14ac:dyDescent="0.15">
      <c r="A5033" s="1" t="s">
        <v>58</v>
      </c>
      <c r="B5033" s="2">
        <v>94131</v>
      </c>
      <c r="C5033" s="3">
        <v>8.900000000000001E-2</v>
      </c>
      <c r="D5033" s="4" t="s">
        <v>522</v>
      </c>
      <c r="E5033" s="4" t="s">
        <v>418</v>
      </c>
    </row>
    <row r="5034" spans="1:5" hidden="1" x14ac:dyDescent="0.15">
      <c r="A5034" s="1" t="s">
        <v>59</v>
      </c>
      <c r="B5034" s="2">
        <v>412469</v>
      </c>
      <c r="C5034" s="3">
        <v>0.39100000000000001</v>
      </c>
      <c r="D5034" s="4" t="s">
        <v>522</v>
      </c>
      <c r="E5034" s="4" t="s">
        <v>418</v>
      </c>
    </row>
    <row r="5035" spans="1:5" hidden="1" x14ac:dyDescent="0.15">
      <c r="A5035" s="1" t="s">
        <v>60</v>
      </c>
      <c r="B5035" s="2">
        <v>92591</v>
      </c>
      <c r="C5035" s="3">
        <v>8.8000000000000009E-2</v>
      </c>
      <c r="D5035" s="4" t="s">
        <v>522</v>
      </c>
      <c r="E5035" s="4" t="s">
        <v>418</v>
      </c>
    </row>
    <row r="5036" spans="1:5" ht="26" hidden="1" x14ac:dyDescent="0.15">
      <c r="A5036" s="1" t="s">
        <v>61</v>
      </c>
      <c r="B5036" s="2">
        <v>123651</v>
      </c>
      <c r="C5036" s="3">
        <v>0.11699999999999999</v>
      </c>
      <c r="D5036" s="4" t="s">
        <v>522</v>
      </c>
      <c r="E5036" s="4" t="s">
        <v>418</v>
      </c>
    </row>
    <row r="5037" spans="1:5" hidden="1" x14ac:dyDescent="0.15">
      <c r="A5037" s="1" t="s">
        <v>62</v>
      </c>
      <c r="B5037" s="2">
        <v>33681</v>
      </c>
      <c r="C5037" s="3">
        <v>3.2000000000000001E-2</v>
      </c>
      <c r="D5037" s="4" t="s">
        <v>522</v>
      </c>
      <c r="E5037" s="4" t="s">
        <v>418</v>
      </c>
    </row>
    <row r="5038" spans="1:5" ht="26" hidden="1" x14ac:dyDescent="0.15">
      <c r="A5038" s="1" t="s">
        <v>63</v>
      </c>
      <c r="B5038" s="2">
        <v>149433</v>
      </c>
      <c r="C5038" s="3">
        <v>0.14199999999999999</v>
      </c>
      <c r="D5038" s="4" t="s">
        <v>522</v>
      </c>
      <c r="E5038" s="4" t="s">
        <v>418</v>
      </c>
    </row>
    <row r="5039" spans="1:5" ht="26" hidden="1" x14ac:dyDescent="0.15">
      <c r="A5039" s="1" t="s">
        <v>64</v>
      </c>
      <c r="B5039" s="2">
        <v>45389</v>
      </c>
      <c r="C5039" s="3">
        <v>4.2999999999999997E-2</v>
      </c>
      <c r="D5039" s="4" t="s">
        <v>522</v>
      </c>
      <c r="E5039" s="4" t="s">
        <v>418</v>
      </c>
    </row>
    <row r="5040" spans="1:5" hidden="1" x14ac:dyDescent="0.15">
      <c r="A5040" s="1" t="s">
        <v>65</v>
      </c>
      <c r="B5040" s="2">
        <v>199412</v>
      </c>
      <c r="C5040" s="3">
        <v>0.18899999999999997</v>
      </c>
      <c r="D5040" s="4" t="s">
        <v>522</v>
      </c>
      <c r="E5040" s="4" t="s">
        <v>418</v>
      </c>
    </row>
    <row r="5041" spans="1:5" hidden="1" x14ac:dyDescent="0.15">
      <c r="A5041" s="1" t="s">
        <v>66</v>
      </c>
      <c r="B5041" s="2">
        <v>104920</v>
      </c>
      <c r="C5041" s="3">
        <v>9.9000000000000005E-2</v>
      </c>
      <c r="D5041" s="4" t="s">
        <v>522</v>
      </c>
      <c r="E5041" s="4" t="s">
        <v>418</v>
      </c>
    </row>
    <row r="5042" spans="1:5" hidden="1" x14ac:dyDescent="0.15">
      <c r="A5042" s="1" t="s">
        <v>67</v>
      </c>
      <c r="B5042" s="2">
        <v>410530</v>
      </c>
      <c r="C5042" s="3">
        <v>0.38900000000000001</v>
      </c>
      <c r="D5042" s="4" t="s">
        <v>522</v>
      </c>
      <c r="E5042" s="4" t="s">
        <v>418</v>
      </c>
    </row>
    <row r="5043" spans="1:5" hidden="1" x14ac:dyDescent="0.15">
      <c r="A5043" s="1" t="s">
        <v>68</v>
      </c>
      <c r="B5043" s="2">
        <v>301857</v>
      </c>
      <c r="C5043" s="3">
        <v>0.28600000000000003</v>
      </c>
      <c r="D5043" s="4" t="s">
        <v>522</v>
      </c>
      <c r="E5043" s="4" t="s">
        <v>418</v>
      </c>
    </row>
    <row r="5044" spans="1:5" hidden="1" x14ac:dyDescent="0.15">
      <c r="A5044" s="1" t="s">
        <v>69</v>
      </c>
      <c r="B5044" s="2">
        <v>552852</v>
      </c>
      <c r="C5044" s="3">
        <v>0.52400000000000002</v>
      </c>
      <c r="D5044" s="4" t="s">
        <v>522</v>
      </c>
      <c r="E5044" s="4" t="s">
        <v>418</v>
      </c>
    </row>
    <row r="5045" spans="1:5" hidden="1" x14ac:dyDescent="0.15">
      <c r="A5045" s="1" t="s">
        <v>70</v>
      </c>
      <c r="B5045" s="2">
        <v>151870</v>
      </c>
      <c r="C5045" s="3">
        <v>0.14400000000000002</v>
      </c>
      <c r="D5045" s="4" t="s">
        <v>522</v>
      </c>
      <c r="E5045" s="4" t="s">
        <v>418</v>
      </c>
    </row>
    <row r="5046" spans="1:5" ht="26" hidden="1" x14ac:dyDescent="0.15">
      <c r="A5046" s="1" t="s">
        <v>71</v>
      </c>
      <c r="B5046" s="2">
        <v>44850</v>
      </c>
      <c r="C5046" s="3">
        <v>4.2000000000000003E-2</v>
      </c>
      <c r="D5046" s="4" t="s">
        <v>522</v>
      </c>
      <c r="E5046" s="4" t="s">
        <v>418</v>
      </c>
    </row>
    <row r="5047" spans="1:5" hidden="1" x14ac:dyDescent="0.15">
      <c r="A5047" s="1" t="s">
        <v>72</v>
      </c>
      <c r="B5047" s="2">
        <v>167993</v>
      </c>
      <c r="C5047" s="3">
        <v>0.159</v>
      </c>
      <c r="D5047" s="4" t="s">
        <v>522</v>
      </c>
      <c r="E5047" s="4" t="s">
        <v>418</v>
      </c>
    </row>
    <row r="5048" spans="1:5" hidden="1" x14ac:dyDescent="0.15">
      <c r="A5048" s="1" t="s">
        <v>73</v>
      </c>
      <c r="B5048" s="2">
        <v>552271</v>
      </c>
      <c r="C5048" s="3">
        <v>0.52300000000000002</v>
      </c>
      <c r="D5048" s="4" t="s">
        <v>522</v>
      </c>
      <c r="E5048" s="4" t="s">
        <v>418</v>
      </c>
    </row>
    <row r="5049" spans="1:5" hidden="1" x14ac:dyDescent="0.15">
      <c r="A5049" s="1" t="s">
        <v>74</v>
      </c>
      <c r="B5049" s="2">
        <v>224294</v>
      </c>
      <c r="C5049" s="3">
        <v>0.21199999999999999</v>
      </c>
      <c r="D5049" s="4" t="s">
        <v>522</v>
      </c>
      <c r="E5049" s="4" t="s">
        <v>418</v>
      </c>
    </row>
    <row r="5050" spans="1:5" hidden="1" x14ac:dyDescent="0.15">
      <c r="A5050" s="1" t="s">
        <v>75</v>
      </c>
      <c r="B5050" s="2">
        <v>154425</v>
      </c>
      <c r="C5050" s="3">
        <v>0.14599999999999999</v>
      </c>
      <c r="D5050" s="4" t="s">
        <v>522</v>
      </c>
      <c r="E5050" s="4" t="s">
        <v>418</v>
      </c>
    </row>
    <row r="5051" spans="1:5" hidden="1" x14ac:dyDescent="0.15">
      <c r="A5051" s="1" t="s">
        <v>76</v>
      </c>
      <c r="B5051" s="2">
        <v>192277</v>
      </c>
      <c r="C5051" s="3">
        <v>0.182</v>
      </c>
      <c r="D5051" s="4" t="s">
        <v>522</v>
      </c>
      <c r="E5051" s="4" t="s">
        <v>418</v>
      </c>
    </row>
    <row r="5052" spans="1:5" hidden="1" x14ac:dyDescent="0.15">
      <c r="A5052" s="1" t="s">
        <v>77</v>
      </c>
      <c r="B5052" s="2">
        <v>161767</v>
      </c>
      <c r="C5052" s="3">
        <v>0.153</v>
      </c>
      <c r="D5052" s="4" t="s">
        <v>522</v>
      </c>
      <c r="E5052" s="4" t="s">
        <v>418</v>
      </c>
    </row>
    <row r="5053" spans="1:5" ht="26" hidden="1" x14ac:dyDescent="0.15">
      <c r="A5053" s="1" t="s">
        <v>78</v>
      </c>
      <c r="B5053" s="2">
        <v>139686</v>
      </c>
      <c r="C5053" s="3">
        <v>0.13200000000000001</v>
      </c>
      <c r="D5053" s="4" t="s">
        <v>522</v>
      </c>
      <c r="E5053" s="4" t="s">
        <v>418</v>
      </c>
    </row>
    <row r="5054" spans="1:5" hidden="1" x14ac:dyDescent="0.15">
      <c r="A5054" s="1" t="s">
        <v>79</v>
      </c>
      <c r="B5054" s="2">
        <v>187581</v>
      </c>
      <c r="C5054" s="3">
        <v>0.17800000000000002</v>
      </c>
      <c r="D5054" s="4" t="s">
        <v>522</v>
      </c>
      <c r="E5054" s="4" t="s">
        <v>418</v>
      </c>
    </row>
    <row r="5055" spans="1:5" hidden="1" x14ac:dyDescent="0.15">
      <c r="A5055" s="1" t="s">
        <v>80</v>
      </c>
      <c r="B5055" s="2">
        <v>218057</v>
      </c>
      <c r="C5055" s="3">
        <v>0.20699999999999999</v>
      </c>
      <c r="D5055" s="4" t="s">
        <v>522</v>
      </c>
      <c r="E5055" s="4" t="s">
        <v>418</v>
      </c>
    </row>
    <row r="5056" spans="1:5" ht="26" hidden="1" x14ac:dyDescent="0.15">
      <c r="A5056" s="1" t="s">
        <v>81</v>
      </c>
      <c r="B5056" s="2">
        <v>118355</v>
      </c>
      <c r="C5056" s="3">
        <v>0.11199999999999999</v>
      </c>
      <c r="D5056" s="4" t="s">
        <v>522</v>
      </c>
      <c r="E5056" s="4" t="s">
        <v>418</v>
      </c>
    </row>
    <row r="5057" spans="1:5" hidden="1" x14ac:dyDescent="0.15">
      <c r="A5057" s="1" t="s">
        <v>82</v>
      </c>
      <c r="B5057" s="2">
        <v>148979</v>
      </c>
      <c r="C5057" s="3">
        <v>0.14099999999999999</v>
      </c>
      <c r="D5057" s="4" t="s">
        <v>522</v>
      </c>
      <c r="E5057" s="4" t="s">
        <v>418</v>
      </c>
    </row>
    <row r="5058" spans="1:5" hidden="1" x14ac:dyDescent="0.15">
      <c r="A5058" s="4"/>
      <c r="B5058" s="4"/>
      <c r="C5058" s="4"/>
      <c r="D5058" s="4" t="s">
        <v>522</v>
      </c>
      <c r="E5058" s="4" t="s">
        <v>418</v>
      </c>
    </row>
    <row r="5059" spans="1:5" hidden="1" x14ac:dyDescent="0.15">
      <c r="A5059" s="5"/>
      <c r="B5059" s="5"/>
      <c r="C5059" s="5"/>
      <c r="D5059" s="4" t="s">
        <v>522</v>
      </c>
      <c r="E5059" s="4" t="s">
        <v>418</v>
      </c>
    </row>
    <row r="5060" spans="1:5" hidden="1" x14ac:dyDescent="0.15">
      <c r="A5060" s="1" t="s">
        <v>308</v>
      </c>
      <c r="B5060" s="2">
        <v>211568</v>
      </c>
      <c r="C5060" s="3">
        <v>0.2</v>
      </c>
      <c r="D5060" s="4" t="s">
        <v>522</v>
      </c>
      <c r="E5060" s="4" t="s">
        <v>418</v>
      </c>
    </row>
    <row r="5061" spans="1:5" hidden="1" x14ac:dyDescent="0.15">
      <c r="A5061" s="4"/>
      <c r="B5061" s="4"/>
      <c r="C5061" s="4"/>
      <c r="D5061" s="4" t="s">
        <v>522</v>
      </c>
      <c r="E5061" s="4" t="s">
        <v>418</v>
      </c>
    </row>
    <row r="5062" spans="1:5" hidden="1" x14ac:dyDescent="0.15">
      <c r="A5062" s="5"/>
      <c r="B5062" s="5"/>
      <c r="C5062" s="5"/>
      <c r="D5062" s="4" t="s">
        <v>522</v>
      </c>
      <c r="E5062" s="4" t="s">
        <v>418</v>
      </c>
    </row>
    <row r="5063" spans="1:5" ht="26" hidden="1" x14ac:dyDescent="0.15">
      <c r="A5063" s="1" t="s">
        <v>419</v>
      </c>
      <c r="B5063" s="2">
        <v>32364</v>
      </c>
      <c r="C5063" s="3">
        <v>3.1E-2</v>
      </c>
      <c r="D5063" s="4" t="s">
        <v>522</v>
      </c>
      <c r="E5063" s="4" t="s">
        <v>418</v>
      </c>
    </row>
    <row r="5064" spans="1:5" hidden="1" x14ac:dyDescent="0.15">
      <c r="A5064" s="4"/>
      <c r="B5064" s="4"/>
      <c r="C5064" s="4"/>
      <c r="D5064" s="4" t="s">
        <v>522</v>
      </c>
      <c r="E5064" s="4" t="s">
        <v>418</v>
      </c>
    </row>
    <row r="5065" spans="1:5" hidden="1" x14ac:dyDescent="0.15">
      <c r="A5065" s="5"/>
      <c r="B5065" s="5"/>
      <c r="C5065" s="5"/>
      <c r="D5065" s="4" t="s">
        <v>522</v>
      </c>
      <c r="E5065" s="4" t="s">
        <v>418</v>
      </c>
    </row>
    <row r="5066" spans="1:5" hidden="1" x14ac:dyDescent="0.15">
      <c r="A5066" s="1" t="s">
        <v>523</v>
      </c>
      <c r="B5066" s="2">
        <v>120564</v>
      </c>
      <c r="C5066" s="3">
        <v>0.114</v>
      </c>
      <c r="D5066" s="4" t="s">
        <v>522</v>
      </c>
      <c r="E5066" s="4" t="s">
        <v>418</v>
      </c>
    </row>
    <row r="5067" spans="1:5" ht="26" hidden="1" x14ac:dyDescent="0.15">
      <c r="A5067" s="1" t="s">
        <v>420</v>
      </c>
      <c r="B5067" s="2">
        <v>349993</v>
      </c>
      <c r="C5067" s="3">
        <v>0.33100000000000002</v>
      </c>
      <c r="D5067" s="4" t="s">
        <v>522</v>
      </c>
      <c r="E5067" s="4" t="s">
        <v>418</v>
      </c>
    </row>
    <row r="5068" spans="1:5" hidden="1" x14ac:dyDescent="0.15">
      <c r="A5068" s="4"/>
      <c r="B5068" s="4"/>
      <c r="C5068" s="4"/>
      <c r="D5068" s="4" t="s">
        <v>522</v>
      </c>
      <c r="E5068" s="4" t="s">
        <v>418</v>
      </c>
    </row>
    <row r="5069" spans="1:5" hidden="1" x14ac:dyDescent="0.15">
      <c r="A5069" s="5"/>
      <c r="B5069" s="5"/>
      <c r="C5069" s="5"/>
      <c r="D5069" s="4" t="s">
        <v>522</v>
      </c>
      <c r="E5069" s="4" t="s">
        <v>418</v>
      </c>
    </row>
    <row r="5070" spans="1:5" ht="26" hidden="1" x14ac:dyDescent="0.15">
      <c r="A5070" s="1" t="s">
        <v>524</v>
      </c>
      <c r="B5070" s="2">
        <v>142927</v>
      </c>
      <c r="C5070" s="3">
        <v>0.13500000000000001</v>
      </c>
      <c r="D5070" s="4" t="s">
        <v>522</v>
      </c>
      <c r="E5070" s="4" t="s">
        <v>418</v>
      </c>
    </row>
    <row r="5071" spans="1:5" ht="26" hidden="1" x14ac:dyDescent="0.15">
      <c r="A5071" s="1" t="s">
        <v>525</v>
      </c>
      <c r="B5071" s="2">
        <v>564087</v>
      </c>
      <c r="C5071" s="3">
        <v>0.53400000000000003</v>
      </c>
      <c r="D5071" s="4" t="s">
        <v>522</v>
      </c>
      <c r="E5071" s="4" t="s">
        <v>418</v>
      </c>
    </row>
    <row r="5072" spans="1:5" ht="26" hidden="1" x14ac:dyDescent="0.15">
      <c r="A5072" s="1" t="s">
        <v>526</v>
      </c>
      <c r="B5072" s="2">
        <v>411123</v>
      </c>
      <c r="C5072" s="3">
        <v>0.38900000000000001</v>
      </c>
      <c r="D5072" s="4" t="s">
        <v>522</v>
      </c>
      <c r="E5072" s="4" t="s">
        <v>418</v>
      </c>
    </row>
    <row r="5073" spans="1:5" ht="26" hidden="1" x14ac:dyDescent="0.15">
      <c r="A5073" s="1" t="s">
        <v>527</v>
      </c>
      <c r="B5073" s="2">
        <v>416664</v>
      </c>
      <c r="C5073" s="3">
        <v>0.39500000000000002</v>
      </c>
      <c r="D5073" s="4" t="s">
        <v>522</v>
      </c>
      <c r="E5073" s="4" t="s">
        <v>418</v>
      </c>
    </row>
    <row r="5074" spans="1:5" hidden="1" x14ac:dyDescent="0.15">
      <c r="A5074" s="1" t="s">
        <v>0</v>
      </c>
      <c r="B5074" s="2">
        <v>1356343</v>
      </c>
      <c r="C5074" s="3">
        <v>1</v>
      </c>
      <c r="D5074" s="4" t="s">
        <v>528</v>
      </c>
      <c r="E5074" s="4" t="s">
        <v>106</v>
      </c>
    </row>
    <row r="5075" spans="1:5" ht="26" hidden="1" x14ac:dyDescent="0.15">
      <c r="A5075" s="1" t="s">
        <v>3</v>
      </c>
      <c r="B5075" s="2">
        <v>32547</v>
      </c>
      <c r="C5075" s="3">
        <v>2.4E-2</v>
      </c>
      <c r="D5075" s="4" t="s">
        <v>528</v>
      </c>
      <c r="E5075" s="4" t="s">
        <v>106</v>
      </c>
    </row>
    <row r="5076" spans="1:5" hidden="1" x14ac:dyDescent="0.15">
      <c r="A5076" s="1" t="s">
        <v>4</v>
      </c>
      <c r="B5076" s="2">
        <v>38592</v>
      </c>
      <c r="C5076" s="3">
        <v>2.7999999999999997E-2</v>
      </c>
      <c r="D5076" s="4" t="s">
        <v>528</v>
      </c>
      <c r="E5076" s="4" t="s">
        <v>106</v>
      </c>
    </row>
    <row r="5077" spans="1:5" ht="26" hidden="1" x14ac:dyDescent="0.15">
      <c r="A5077" s="1" t="s">
        <v>5</v>
      </c>
      <c r="B5077" s="2">
        <v>79398</v>
      </c>
      <c r="C5077" s="3">
        <v>5.9000000000000004E-2</v>
      </c>
      <c r="D5077" s="4" t="s">
        <v>528</v>
      </c>
      <c r="E5077" s="4" t="s">
        <v>106</v>
      </c>
    </row>
    <row r="5078" spans="1:5" ht="26" hidden="1" x14ac:dyDescent="0.15">
      <c r="A5078" s="1" t="s">
        <v>6</v>
      </c>
      <c r="B5078" s="2">
        <v>153919</v>
      </c>
      <c r="C5078" s="3">
        <v>0.113</v>
      </c>
      <c r="D5078" s="4" t="s">
        <v>528</v>
      </c>
      <c r="E5078" s="4" t="s">
        <v>106</v>
      </c>
    </row>
    <row r="5079" spans="1:5" ht="26" hidden="1" x14ac:dyDescent="0.15">
      <c r="A5079" s="1" t="s">
        <v>7</v>
      </c>
      <c r="B5079" s="2">
        <v>405409</v>
      </c>
      <c r="C5079" s="3">
        <v>0.29899999999999999</v>
      </c>
      <c r="D5079" s="4" t="s">
        <v>528</v>
      </c>
      <c r="E5079" s="4" t="s">
        <v>106</v>
      </c>
    </row>
    <row r="5080" spans="1:5" ht="26" hidden="1" x14ac:dyDescent="0.15">
      <c r="A5080" s="1" t="s">
        <v>8</v>
      </c>
      <c r="B5080" s="2">
        <v>15259</v>
      </c>
      <c r="C5080" s="3">
        <v>1.1000000000000001E-2</v>
      </c>
      <c r="D5080" s="4" t="s">
        <v>528</v>
      </c>
      <c r="E5080" s="4" t="s">
        <v>106</v>
      </c>
    </row>
    <row r="5081" spans="1:5" ht="26" hidden="1" x14ac:dyDescent="0.15">
      <c r="A5081" s="1" t="s">
        <v>9</v>
      </c>
      <c r="B5081" s="2">
        <v>27345</v>
      </c>
      <c r="C5081" s="3">
        <v>0.02</v>
      </c>
      <c r="D5081" s="4" t="s">
        <v>528</v>
      </c>
      <c r="E5081" s="4" t="s">
        <v>106</v>
      </c>
    </row>
    <row r="5082" spans="1:5" ht="26" hidden="1" x14ac:dyDescent="0.15">
      <c r="A5082" s="1" t="s">
        <v>10</v>
      </c>
      <c r="B5082" s="2">
        <v>34238</v>
      </c>
      <c r="C5082" s="3">
        <v>2.5000000000000001E-2</v>
      </c>
      <c r="D5082" s="4" t="s">
        <v>528</v>
      </c>
      <c r="E5082" s="4" t="s">
        <v>106</v>
      </c>
    </row>
    <row r="5083" spans="1:5" ht="26" hidden="1" x14ac:dyDescent="0.15">
      <c r="A5083" s="1" t="s">
        <v>11</v>
      </c>
      <c r="B5083" s="2">
        <v>93159</v>
      </c>
      <c r="C5083" s="3">
        <v>6.9000000000000006E-2</v>
      </c>
      <c r="D5083" s="4" t="s">
        <v>528</v>
      </c>
      <c r="E5083" s="4" t="s">
        <v>106</v>
      </c>
    </row>
    <row r="5084" spans="1:5" ht="26" hidden="1" x14ac:dyDescent="0.15">
      <c r="A5084" s="1" t="s">
        <v>12</v>
      </c>
      <c r="B5084" s="2">
        <v>13724</v>
      </c>
      <c r="C5084" s="3">
        <v>0.01</v>
      </c>
      <c r="D5084" s="4" t="s">
        <v>528</v>
      </c>
      <c r="E5084" s="4" t="s">
        <v>106</v>
      </c>
    </row>
    <row r="5085" spans="1:5" ht="26" hidden="1" x14ac:dyDescent="0.15">
      <c r="A5085" s="1" t="s">
        <v>13</v>
      </c>
      <c r="B5085" s="2">
        <v>10352</v>
      </c>
      <c r="C5085" s="3">
        <v>8.0000000000000002E-3</v>
      </c>
      <c r="D5085" s="4" t="s">
        <v>528</v>
      </c>
      <c r="E5085" s="4" t="s">
        <v>106</v>
      </c>
    </row>
    <row r="5086" spans="1:5" hidden="1" x14ac:dyDescent="0.15">
      <c r="A5086" s="1" t="s">
        <v>14</v>
      </c>
      <c r="B5086" s="2">
        <v>101173</v>
      </c>
      <c r="C5086" s="3">
        <v>7.4999999999999997E-2</v>
      </c>
      <c r="D5086" s="4" t="s">
        <v>528</v>
      </c>
      <c r="E5086" s="4" t="s">
        <v>106</v>
      </c>
    </row>
    <row r="5087" spans="1:5" ht="26" hidden="1" x14ac:dyDescent="0.15">
      <c r="A5087" s="1" t="s">
        <v>15</v>
      </c>
      <c r="B5087" s="2">
        <v>120932</v>
      </c>
      <c r="C5087" s="3">
        <v>8.900000000000001E-2</v>
      </c>
      <c r="D5087" s="4" t="s">
        <v>528</v>
      </c>
      <c r="E5087" s="4" t="s">
        <v>106</v>
      </c>
    </row>
    <row r="5088" spans="1:5" ht="26" hidden="1" x14ac:dyDescent="0.15">
      <c r="A5088" s="1" t="s">
        <v>16</v>
      </c>
      <c r="B5088" s="2">
        <v>54665</v>
      </c>
      <c r="C5088" s="3">
        <v>0.04</v>
      </c>
      <c r="D5088" s="4" t="s">
        <v>528</v>
      </c>
      <c r="E5088" s="4" t="s">
        <v>106</v>
      </c>
    </row>
    <row r="5089" spans="1:5" ht="26" hidden="1" x14ac:dyDescent="0.15">
      <c r="A5089" s="1" t="s">
        <v>17</v>
      </c>
      <c r="B5089" s="2">
        <v>36140</v>
      </c>
      <c r="C5089" s="3">
        <v>2.7000000000000003E-2</v>
      </c>
      <c r="D5089" s="4" t="s">
        <v>528</v>
      </c>
      <c r="E5089" s="4" t="s">
        <v>106</v>
      </c>
    </row>
    <row r="5090" spans="1:5" hidden="1" x14ac:dyDescent="0.15">
      <c r="A5090" s="1" t="s">
        <v>18</v>
      </c>
      <c r="B5090" s="2">
        <v>21980</v>
      </c>
      <c r="C5090" s="3">
        <v>1.6E-2</v>
      </c>
      <c r="D5090" s="4" t="s">
        <v>528</v>
      </c>
      <c r="E5090" s="4" t="s">
        <v>106</v>
      </c>
    </row>
    <row r="5091" spans="1:5" hidden="1" x14ac:dyDescent="0.15">
      <c r="A5091" s="1" t="s">
        <v>19</v>
      </c>
      <c r="B5091" s="2">
        <v>144835</v>
      </c>
      <c r="C5091" s="3">
        <v>0.107</v>
      </c>
      <c r="D5091" s="4" t="s">
        <v>528</v>
      </c>
      <c r="E5091" s="4" t="s">
        <v>106</v>
      </c>
    </row>
    <row r="5092" spans="1:5" hidden="1" x14ac:dyDescent="0.15">
      <c r="A5092" s="1" t="s">
        <v>20</v>
      </c>
      <c r="B5092" s="2">
        <v>26729</v>
      </c>
      <c r="C5092" s="3">
        <v>0.02</v>
      </c>
      <c r="D5092" s="4" t="s">
        <v>528</v>
      </c>
      <c r="E5092" s="4" t="s">
        <v>106</v>
      </c>
    </row>
    <row r="5093" spans="1:5" ht="26" hidden="1" x14ac:dyDescent="0.15">
      <c r="A5093" s="1" t="s">
        <v>21</v>
      </c>
      <c r="B5093" s="2">
        <v>44067</v>
      </c>
      <c r="C5093" s="3">
        <v>3.2000000000000001E-2</v>
      </c>
      <c r="D5093" s="4" t="s">
        <v>528</v>
      </c>
      <c r="E5093" s="4" t="s">
        <v>106</v>
      </c>
    </row>
    <row r="5094" spans="1:5" ht="26" hidden="1" x14ac:dyDescent="0.15">
      <c r="A5094" s="1" t="s">
        <v>22</v>
      </c>
      <c r="B5094" s="2">
        <v>11360</v>
      </c>
      <c r="C5094" s="3">
        <v>8.0000000000000002E-3</v>
      </c>
      <c r="D5094" s="4" t="s">
        <v>528</v>
      </c>
      <c r="E5094" s="4" t="s">
        <v>106</v>
      </c>
    </row>
    <row r="5095" spans="1:5" ht="26" hidden="1" x14ac:dyDescent="0.15">
      <c r="A5095" s="1" t="s">
        <v>23</v>
      </c>
      <c r="B5095" s="2">
        <v>48155</v>
      </c>
      <c r="C5095" s="3">
        <v>3.6000000000000004E-2</v>
      </c>
      <c r="D5095" s="4" t="s">
        <v>528</v>
      </c>
      <c r="E5095" s="4" t="s">
        <v>106</v>
      </c>
    </row>
    <row r="5096" spans="1:5" ht="26" hidden="1" x14ac:dyDescent="0.15">
      <c r="A5096" s="1" t="s">
        <v>24</v>
      </c>
      <c r="B5096" s="2">
        <v>7523</v>
      </c>
      <c r="C5096" s="3">
        <v>6.0000000000000001E-3</v>
      </c>
      <c r="D5096" s="4" t="s">
        <v>528</v>
      </c>
      <c r="E5096" s="4" t="s">
        <v>106</v>
      </c>
    </row>
    <row r="5097" spans="1:5" ht="26" hidden="1" x14ac:dyDescent="0.15">
      <c r="A5097" s="1" t="s">
        <v>25</v>
      </c>
      <c r="B5097" s="2">
        <v>80687</v>
      </c>
      <c r="C5097" s="3">
        <v>5.9000000000000004E-2</v>
      </c>
      <c r="D5097" s="4" t="s">
        <v>528</v>
      </c>
      <c r="E5097" s="4" t="s">
        <v>106</v>
      </c>
    </row>
    <row r="5098" spans="1:5" hidden="1" x14ac:dyDescent="0.15">
      <c r="A5098" s="1" t="s">
        <v>26</v>
      </c>
      <c r="B5098" s="2">
        <v>26583</v>
      </c>
      <c r="C5098" s="3">
        <v>0.02</v>
      </c>
      <c r="D5098" s="4" t="s">
        <v>528</v>
      </c>
      <c r="E5098" s="4" t="s">
        <v>106</v>
      </c>
    </row>
    <row r="5099" spans="1:5" hidden="1" x14ac:dyDescent="0.15">
      <c r="A5099" s="1" t="s">
        <v>27</v>
      </c>
      <c r="B5099" s="2">
        <v>183875</v>
      </c>
      <c r="C5099" s="3">
        <v>0.13600000000000001</v>
      </c>
      <c r="D5099" s="4" t="s">
        <v>528</v>
      </c>
      <c r="E5099" s="4" t="s">
        <v>106</v>
      </c>
    </row>
    <row r="5100" spans="1:5" hidden="1" x14ac:dyDescent="0.15">
      <c r="A5100" s="1" t="s">
        <v>28</v>
      </c>
      <c r="B5100" s="2">
        <v>117873</v>
      </c>
      <c r="C5100" s="3">
        <v>8.6999999999999994E-2</v>
      </c>
      <c r="D5100" s="4" t="s">
        <v>528</v>
      </c>
      <c r="E5100" s="4" t="s">
        <v>106</v>
      </c>
    </row>
    <row r="5101" spans="1:5" hidden="1" x14ac:dyDescent="0.15">
      <c r="A5101" s="1" t="s">
        <v>29</v>
      </c>
      <c r="B5101" s="2">
        <v>490043</v>
      </c>
      <c r="C5101" s="3">
        <v>0.36099999999999999</v>
      </c>
      <c r="D5101" s="4" t="s">
        <v>528</v>
      </c>
      <c r="E5101" s="4" t="s">
        <v>106</v>
      </c>
    </row>
    <row r="5102" spans="1:5" hidden="1" x14ac:dyDescent="0.15">
      <c r="A5102" s="1" t="s">
        <v>30</v>
      </c>
      <c r="B5102" s="2">
        <v>38303</v>
      </c>
      <c r="C5102" s="3">
        <v>2.7999999999999997E-2</v>
      </c>
      <c r="D5102" s="4" t="s">
        <v>528</v>
      </c>
      <c r="E5102" s="4" t="s">
        <v>106</v>
      </c>
    </row>
    <row r="5103" spans="1:5" ht="39" hidden="1" x14ac:dyDescent="0.15">
      <c r="A5103" s="1" t="s">
        <v>31</v>
      </c>
      <c r="B5103" s="2">
        <v>14911</v>
      </c>
      <c r="C5103" s="3">
        <v>1.1000000000000001E-2</v>
      </c>
      <c r="D5103" s="4" t="s">
        <v>528</v>
      </c>
      <c r="E5103" s="4" t="s">
        <v>106</v>
      </c>
    </row>
    <row r="5104" spans="1:5" hidden="1" x14ac:dyDescent="0.15">
      <c r="A5104" s="1" t="s">
        <v>32</v>
      </c>
      <c r="B5104" s="2">
        <v>54575</v>
      </c>
      <c r="C5104" s="3">
        <v>0.04</v>
      </c>
      <c r="D5104" s="4" t="s">
        <v>528</v>
      </c>
      <c r="E5104" s="4" t="s">
        <v>106</v>
      </c>
    </row>
    <row r="5105" spans="1:5" hidden="1" x14ac:dyDescent="0.15">
      <c r="A5105" s="1" t="s">
        <v>33</v>
      </c>
      <c r="B5105" s="2">
        <v>356979</v>
      </c>
      <c r="C5105" s="3">
        <v>0.26300000000000001</v>
      </c>
      <c r="D5105" s="4" t="s">
        <v>528</v>
      </c>
      <c r="E5105" s="4" t="s">
        <v>106</v>
      </c>
    </row>
    <row r="5106" spans="1:5" hidden="1" x14ac:dyDescent="0.15">
      <c r="A5106" s="1" t="s">
        <v>34</v>
      </c>
      <c r="B5106" s="2">
        <v>113330</v>
      </c>
      <c r="C5106" s="3">
        <v>8.4000000000000005E-2</v>
      </c>
      <c r="D5106" s="4" t="s">
        <v>528</v>
      </c>
      <c r="E5106" s="4" t="s">
        <v>106</v>
      </c>
    </row>
    <row r="5107" spans="1:5" hidden="1" x14ac:dyDescent="0.15">
      <c r="A5107" s="1" t="s">
        <v>35</v>
      </c>
      <c r="B5107" s="2">
        <v>88152</v>
      </c>
      <c r="C5107" s="3">
        <v>6.5000000000000002E-2</v>
      </c>
      <c r="D5107" s="4" t="s">
        <v>528</v>
      </c>
      <c r="E5107" s="4" t="s">
        <v>106</v>
      </c>
    </row>
    <row r="5108" spans="1:5" ht="26" hidden="1" x14ac:dyDescent="0.15">
      <c r="A5108" s="1" t="s">
        <v>36</v>
      </c>
      <c r="B5108" s="2">
        <v>35248</v>
      </c>
      <c r="C5108" s="3">
        <v>2.6000000000000002E-2</v>
      </c>
      <c r="D5108" s="4" t="s">
        <v>528</v>
      </c>
      <c r="E5108" s="4" t="s">
        <v>106</v>
      </c>
    </row>
    <row r="5109" spans="1:5" hidden="1" x14ac:dyDescent="0.15">
      <c r="A5109" s="1" t="s">
        <v>37</v>
      </c>
      <c r="B5109" s="2">
        <v>24514</v>
      </c>
      <c r="C5109" s="3">
        <v>1.8000000000000002E-2</v>
      </c>
      <c r="D5109" s="4" t="s">
        <v>528</v>
      </c>
      <c r="E5109" s="4" t="s">
        <v>106</v>
      </c>
    </row>
    <row r="5110" spans="1:5" ht="39" hidden="1" x14ac:dyDescent="0.15">
      <c r="A5110" s="1" t="s">
        <v>38</v>
      </c>
      <c r="B5110" s="2">
        <v>35228</v>
      </c>
      <c r="C5110" s="3">
        <v>2.6000000000000002E-2</v>
      </c>
      <c r="D5110" s="4" t="s">
        <v>528</v>
      </c>
      <c r="E5110" s="4" t="s">
        <v>106</v>
      </c>
    </row>
    <row r="5111" spans="1:5" hidden="1" x14ac:dyDescent="0.15">
      <c r="A5111" s="1" t="s">
        <v>39</v>
      </c>
      <c r="B5111" s="2">
        <v>92467</v>
      </c>
      <c r="C5111" s="3">
        <v>6.8000000000000005E-2</v>
      </c>
      <c r="D5111" s="4" t="s">
        <v>528</v>
      </c>
      <c r="E5111" s="4" t="s">
        <v>106</v>
      </c>
    </row>
    <row r="5112" spans="1:5" hidden="1" x14ac:dyDescent="0.15">
      <c r="A5112" s="1" t="s">
        <v>40</v>
      </c>
      <c r="B5112" s="2">
        <v>32510</v>
      </c>
      <c r="C5112" s="3">
        <v>2.4E-2</v>
      </c>
      <c r="D5112" s="4" t="s">
        <v>528</v>
      </c>
      <c r="E5112" s="4" t="s">
        <v>106</v>
      </c>
    </row>
    <row r="5113" spans="1:5" hidden="1" x14ac:dyDescent="0.15">
      <c r="A5113" s="1" t="s">
        <v>41</v>
      </c>
      <c r="B5113" s="2">
        <v>51662</v>
      </c>
      <c r="C5113" s="3">
        <v>3.7999999999999999E-2</v>
      </c>
      <c r="D5113" s="4" t="s">
        <v>528</v>
      </c>
      <c r="E5113" s="4" t="s">
        <v>106</v>
      </c>
    </row>
    <row r="5114" spans="1:5" hidden="1" x14ac:dyDescent="0.15">
      <c r="A5114" s="1" t="s">
        <v>42</v>
      </c>
      <c r="B5114" s="2">
        <v>85661</v>
      </c>
      <c r="C5114" s="3">
        <v>6.3E-2</v>
      </c>
      <c r="D5114" s="4" t="s">
        <v>528</v>
      </c>
      <c r="E5114" s="4" t="s">
        <v>106</v>
      </c>
    </row>
    <row r="5115" spans="1:5" hidden="1" x14ac:dyDescent="0.15">
      <c r="A5115" s="1" t="s">
        <v>43</v>
      </c>
      <c r="B5115" s="2">
        <v>182174</v>
      </c>
      <c r="C5115" s="3">
        <v>0.13400000000000001</v>
      </c>
      <c r="D5115" s="4" t="s">
        <v>528</v>
      </c>
      <c r="E5115" s="4" t="s">
        <v>106</v>
      </c>
    </row>
    <row r="5116" spans="1:5" ht="26" hidden="1" x14ac:dyDescent="0.15">
      <c r="A5116" s="1" t="s">
        <v>44</v>
      </c>
      <c r="B5116" s="2">
        <v>326583</v>
      </c>
      <c r="C5116" s="3">
        <v>0.24100000000000002</v>
      </c>
      <c r="D5116" s="4" t="s">
        <v>528</v>
      </c>
      <c r="E5116" s="4" t="s">
        <v>106</v>
      </c>
    </row>
    <row r="5117" spans="1:5" hidden="1" x14ac:dyDescent="0.15">
      <c r="A5117" s="1" t="s">
        <v>45</v>
      </c>
      <c r="B5117" s="2">
        <v>345794</v>
      </c>
      <c r="C5117" s="3">
        <v>0.255</v>
      </c>
      <c r="D5117" s="4" t="s">
        <v>528</v>
      </c>
      <c r="E5117" s="4" t="s">
        <v>106</v>
      </c>
    </row>
    <row r="5118" spans="1:5" ht="26" hidden="1" x14ac:dyDescent="0.15">
      <c r="A5118" s="1" t="s">
        <v>46</v>
      </c>
      <c r="B5118" s="2">
        <v>442545</v>
      </c>
      <c r="C5118" s="3">
        <v>0.32600000000000001</v>
      </c>
      <c r="D5118" s="4" t="s">
        <v>528</v>
      </c>
      <c r="E5118" s="4" t="s">
        <v>106</v>
      </c>
    </row>
    <row r="5119" spans="1:5" hidden="1" x14ac:dyDescent="0.15">
      <c r="A5119" s="1" t="s">
        <v>47</v>
      </c>
      <c r="B5119" s="2">
        <v>776417</v>
      </c>
      <c r="C5119" s="3">
        <v>0.57200000000000006</v>
      </c>
      <c r="D5119" s="4" t="s">
        <v>528</v>
      </c>
      <c r="E5119" s="4" t="s">
        <v>106</v>
      </c>
    </row>
    <row r="5120" spans="1:5" hidden="1" x14ac:dyDescent="0.15">
      <c r="A5120" s="1" t="s">
        <v>48</v>
      </c>
      <c r="B5120" s="2">
        <v>108985</v>
      </c>
      <c r="C5120" s="3">
        <v>0.08</v>
      </c>
      <c r="D5120" s="4" t="s">
        <v>528</v>
      </c>
      <c r="E5120" s="4" t="s">
        <v>106</v>
      </c>
    </row>
    <row r="5121" spans="1:5" hidden="1" x14ac:dyDescent="0.15">
      <c r="A5121" s="1" t="s">
        <v>49</v>
      </c>
      <c r="B5121" s="2">
        <v>155566</v>
      </c>
      <c r="C5121" s="3">
        <v>0.115</v>
      </c>
      <c r="D5121" s="4" t="s">
        <v>528</v>
      </c>
      <c r="E5121" s="4" t="s">
        <v>106</v>
      </c>
    </row>
    <row r="5122" spans="1:5" ht="26" hidden="1" x14ac:dyDescent="0.15">
      <c r="A5122" s="1" t="s">
        <v>50</v>
      </c>
      <c r="B5122" s="2">
        <v>284809</v>
      </c>
      <c r="C5122" s="3">
        <v>0.21</v>
      </c>
      <c r="D5122" s="4" t="s">
        <v>528</v>
      </c>
      <c r="E5122" s="4" t="s">
        <v>106</v>
      </c>
    </row>
    <row r="5123" spans="1:5" hidden="1" x14ac:dyDescent="0.15">
      <c r="A5123" s="1" t="s">
        <v>51</v>
      </c>
      <c r="B5123" s="2">
        <v>414058</v>
      </c>
      <c r="C5123" s="3">
        <v>0.30499999999999999</v>
      </c>
      <c r="D5123" s="4" t="s">
        <v>528</v>
      </c>
      <c r="E5123" s="4" t="s">
        <v>106</v>
      </c>
    </row>
    <row r="5124" spans="1:5" hidden="1" x14ac:dyDescent="0.15">
      <c r="A5124" s="1" t="s">
        <v>52</v>
      </c>
      <c r="B5124" s="2">
        <v>205496</v>
      </c>
      <c r="C5124" s="3">
        <v>0.152</v>
      </c>
      <c r="D5124" s="4" t="s">
        <v>528</v>
      </c>
      <c r="E5124" s="4" t="s">
        <v>106</v>
      </c>
    </row>
    <row r="5125" spans="1:5" ht="26" hidden="1" x14ac:dyDescent="0.15">
      <c r="A5125" s="1" t="s">
        <v>53</v>
      </c>
      <c r="B5125" s="2">
        <v>139740</v>
      </c>
      <c r="C5125" s="3">
        <v>0.10300000000000001</v>
      </c>
      <c r="D5125" s="4" t="s">
        <v>528</v>
      </c>
      <c r="E5125" s="4" t="s">
        <v>106</v>
      </c>
    </row>
    <row r="5126" spans="1:5" hidden="1" x14ac:dyDescent="0.15">
      <c r="A5126" s="1" t="s">
        <v>54</v>
      </c>
      <c r="B5126" s="2">
        <v>502676</v>
      </c>
      <c r="C5126" s="3">
        <v>0.371</v>
      </c>
      <c r="D5126" s="4" t="s">
        <v>528</v>
      </c>
      <c r="E5126" s="4" t="s">
        <v>106</v>
      </c>
    </row>
    <row r="5127" spans="1:5" ht="26" hidden="1" x14ac:dyDescent="0.15">
      <c r="A5127" s="1" t="s">
        <v>55</v>
      </c>
      <c r="B5127" s="2">
        <v>380874</v>
      </c>
      <c r="C5127" s="3">
        <v>0.28100000000000003</v>
      </c>
      <c r="D5127" s="4" t="s">
        <v>528</v>
      </c>
      <c r="E5127" s="4" t="s">
        <v>106</v>
      </c>
    </row>
    <row r="5128" spans="1:5" hidden="1" x14ac:dyDescent="0.15">
      <c r="A5128" s="1" t="s">
        <v>56</v>
      </c>
      <c r="B5128" s="2">
        <v>310223</v>
      </c>
      <c r="C5128" s="3">
        <v>0.22899999999999998</v>
      </c>
      <c r="D5128" s="4" t="s">
        <v>528</v>
      </c>
      <c r="E5128" s="4" t="s">
        <v>106</v>
      </c>
    </row>
    <row r="5129" spans="1:5" hidden="1" x14ac:dyDescent="0.15">
      <c r="A5129" s="1" t="s">
        <v>57</v>
      </c>
      <c r="B5129" s="2">
        <v>222089</v>
      </c>
      <c r="C5129" s="3">
        <v>0.16399999999999998</v>
      </c>
      <c r="D5129" s="4" t="s">
        <v>528</v>
      </c>
      <c r="E5129" s="4" t="s">
        <v>106</v>
      </c>
    </row>
    <row r="5130" spans="1:5" hidden="1" x14ac:dyDescent="0.15">
      <c r="A5130" s="1" t="s">
        <v>58</v>
      </c>
      <c r="B5130" s="2">
        <v>166039</v>
      </c>
      <c r="C5130" s="3">
        <v>0.122</v>
      </c>
      <c r="D5130" s="4" t="s">
        <v>528</v>
      </c>
      <c r="E5130" s="4" t="s">
        <v>106</v>
      </c>
    </row>
    <row r="5131" spans="1:5" hidden="1" x14ac:dyDescent="0.15">
      <c r="A5131" s="1" t="s">
        <v>59</v>
      </c>
      <c r="B5131" s="2">
        <v>578829</v>
      </c>
      <c r="C5131" s="3">
        <v>0.42700000000000005</v>
      </c>
      <c r="D5131" s="4" t="s">
        <v>528</v>
      </c>
      <c r="E5131" s="4" t="s">
        <v>106</v>
      </c>
    </row>
    <row r="5132" spans="1:5" hidden="1" x14ac:dyDescent="0.15">
      <c r="A5132" s="1" t="s">
        <v>60</v>
      </c>
      <c r="B5132" s="2">
        <v>201258</v>
      </c>
      <c r="C5132" s="3">
        <v>0.14800000000000002</v>
      </c>
      <c r="D5132" s="4" t="s">
        <v>528</v>
      </c>
      <c r="E5132" s="4" t="s">
        <v>106</v>
      </c>
    </row>
    <row r="5133" spans="1:5" ht="26" hidden="1" x14ac:dyDescent="0.15">
      <c r="A5133" s="1" t="s">
        <v>61</v>
      </c>
      <c r="B5133" s="2">
        <v>209905</v>
      </c>
      <c r="C5133" s="3">
        <v>0.155</v>
      </c>
      <c r="D5133" s="4" t="s">
        <v>528</v>
      </c>
      <c r="E5133" s="4" t="s">
        <v>106</v>
      </c>
    </row>
    <row r="5134" spans="1:5" hidden="1" x14ac:dyDescent="0.15">
      <c r="A5134" s="1" t="s">
        <v>62</v>
      </c>
      <c r="B5134" s="2">
        <v>78767</v>
      </c>
      <c r="C5134" s="3">
        <v>5.7999999999999996E-2</v>
      </c>
      <c r="D5134" s="4" t="s">
        <v>528</v>
      </c>
      <c r="E5134" s="4" t="s">
        <v>106</v>
      </c>
    </row>
    <row r="5135" spans="1:5" ht="26" hidden="1" x14ac:dyDescent="0.15">
      <c r="A5135" s="1" t="s">
        <v>63</v>
      </c>
      <c r="B5135" s="2">
        <v>263341</v>
      </c>
      <c r="C5135" s="3">
        <v>0.19399999999999998</v>
      </c>
      <c r="D5135" s="4" t="s">
        <v>528</v>
      </c>
      <c r="E5135" s="4" t="s">
        <v>106</v>
      </c>
    </row>
    <row r="5136" spans="1:5" ht="26" hidden="1" x14ac:dyDescent="0.15">
      <c r="A5136" s="1" t="s">
        <v>64</v>
      </c>
      <c r="B5136" s="2">
        <v>88985</v>
      </c>
      <c r="C5136" s="3">
        <v>6.6000000000000003E-2</v>
      </c>
      <c r="D5136" s="4" t="s">
        <v>528</v>
      </c>
      <c r="E5136" s="4" t="s">
        <v>106</v>
      </c>
    </row>
    <row r="5137" spans="1:5" hidden="1" x14ac:dyDescent="0.15">
      <c r="A5137" s="1" t="s">
        <v>65</v>
      </c>
      <c r="B5137" s="2">
        <v>332540</v>
      </c>
      <c r="C5137" s="3">
        <v>0.245</v>
      </c>
      <c r="D5137" s="4" t="s">
        <v>528</v>
      </c>
      <c r="E5137" s="4" t="s">
        <v>106</v>
      </c>
    </row>
    <row r="5138" spans="1:5" hidden="1" x14ac:dyDescent="0.15">
      <c r="A5138" s="1" t="s">
        <v>66</v>
      </c>
      <c r="B5138" s="2">
        <v>185780</v>
      </c>
      <c r="C5138" s="3">
        <v>0.13699999999999998</v>
      </c>
      <c r="D5138" s="4" t="s">
        <v>528</v>
      </c>
      <c r="E5138" s="4" t="s">
        <v>106</v>
      </c>
    </row>
    <row r="5139" spans="1:5" hidden="1" x14ac:dyDescent="0.15">
      <c r="A5139" s="1" t="s">
        <v>67</v>
      </c>
      <c r="B5139" s="2">
        <v>514531</v>
      </c>
      <c r="C5139" s="3">
        <v>0.379</v>
      </c>
      <c r="D5139" s="4" t="s">
        <v>528</v>
      </c>
      <c r="E5139" s="4" t="s">
        <v>106</v>
      </c>
    </row>
    <row r="5140" spans="1:5" hidden="1" x14ac:dyDescent="0.15">
      <c r="A5140" s="1" t="s">
        <v>68</v>
      </c>
      <c r="B5140" s="2">
        <v>433766</v>
      </c>
      <c r="C5140" s="3">
        <v>0.32</v>
      </c>
      <c r="D5140" s="4" t="s">
        <v>528</v>
      </c>
      <c r="E5140" s="4" t="s">
        <v>106</v>
      </c>
    </row>
    <row r="5141" spans="1:5" hidden="1" x14ac:dyDescent="0.15">
      <c r="A5141" s="1" t="s">
        <v>69</v>
      </c>
      <c r="B5141" s="2">
        <v>961244</v>
      </c>
      <c r="C5141" s="3">
        <v>0.70900000000000007</v>
      </c>
      <c r="D5141" s="4" t="s">
        <v>528</v>
      </c>
      <c r="E5141" s="4" t="s">
        <v>106</v>
      </c>
    </row>
    <row r="5142" spans="1:5" hidden="1" x14ac:dyDescent="0.15">
      <c r="A5142" s="1" t="s">
        <v>70</v>
      </c>
      <c r="B5142" s="2">
        <v>247227</v>
      </c>
      <c r="C5142" s="3">
        <v>0.182</v>
      </c>
      <c r="D5142" s="4" t="s">
        <v>528</v>
      </c>
      <c r="E5142" s="4" t="s">
        <v>106</v>
      </c>
    </row>
    <row r="5143" spans="1:5" ht="26" hidden="1" x14ac:dyDescent="0.15">
      <c r="A5143" s="1" t="s">
        <v>71</v>
      </c>
      <c r="B5143" s="2">
        <v>98026</v>
      </c>
      <c r="C5143" s="3">
        <v>7.2000000000000008E-2</v>
      </c>
      <c r="D5143" s="4" t="s">
        <v>528</v>
      </c>
      <c r="E5143" s="4" t="s">
        <v>106</v>
      </c>
    </row>
    <row r="5144" spans="1:5" hidden="1" x14ac:dyDescent="0.15">
      <c r="A5144" s="1" t="s">
        <v>72</v>
      </c>
      <c r="B5144" s="2">
        <v>236921</v>
      </c>
      <c r="C5144" s="3">
        <v>0.17499999999999999</v>
      </c>
      <c r="D5144" s="4" t="s">
        <v>528</v>
      </c>
      <c r="E5144" s="4" t="s">
        <v>106</v>
      </c>
    </row>
    <row r="5145" spans="1:5" hidden="1" x14ac:dyDescent="0.15">
      <c r="A5145" s="1" t="s">
        <v>73</v>
      </c>
      <c r="B5145" s="2">
        <v>831635</v>
      </c>
      <c r="C5145" s="3">
        <v>0.61299999999999999</v>
      </c>
      <c r="D5145" s="4" t="s">
        <v>528</v>
      </c>
      <c r="E5145" s="4" t="s">
        <v>106</v>
      </c>
    </row>
    <row r="5146" spans="1:5" hidden="1" x14ac:dyDescent="0.15">
      <c r="A5146" s="1" t="s">
        <v>74</v>
      </c>
      <c r="B5146" s="2">
        <v>419466</v>
      </c>
      <c r="C5146" s="3">
        <v>0.309</v>
      </c>
      <c r="D5146" s="4" t="s">
        <v>528</v>
      </c>
      <c r="E5146" s="4" t="s">
        <v>106</v>
      </c>
    </row>
    <row r="5147" spans="1:5" hidden="1" x14ac:dyDescent="0.15">
      <c r="A5147" s="1" t="s">
        <v>75</v>
      </c>
      <c r="B5147" s="2">
        <v>303168</v>
      </c>
      <c r="C5147" s="3">
        <v>0.22399999999999998</v>
      </c>
      <c r="D5147" s="4" t="s">
        <v>528</v>
      </c>
      <c r="E5147" s="4" t="s">
        <v>106</v>
      </c>
    </row>
    <row r="5148" spans="1:5" hidden="1" x14ac:dyDescent="0.15">
      <c r="A5148" s="1" t="s">
        <v>76</v>
      </c>
      <c r="B5148" s="2">
        <v>226967</v>
      </c>
      <c r="C5148" s="3">
        <v>0.16699999999999998</v>
      </c>
      <c r="D5148" s="4" t="s">
        <v>528</v>
      </c>
      <c r="E5148" s="4" t="s">
        <v>106</v>
      </c>
    </row>
    <row r="5149" spans="1:5" hidden="1" x14ac:dyDescent="0.15">
      <c r="A5149" s="1" t="s">
        <v>77</v>
      </c>
      <c r="B5149" s="2">
        <v>193251</v>
      </c>
      <c r="C5149" s="3">
        <v>0.14199999999999999</v>
      </c>
      <c r="D5149" s="4" t="s">
        <v>528</v>
      </c>
      <c r="E5149" s="4" t="s">
        <v>106</v>
      </c>
    </row>
    <row r="5150" spans="1:5" ht="26" hidden="1" x14ac:dyDescent="0.15">
      <c r="A5150" s="1" t="s">
        <v>78</v>
      </c>
      <c r="B5150" s="2">
        <v>237915</v>
      </c>
      <c r="C5150" s="3">
        <v>0.17499999999999999</v>
      </c>
      <c r="D5150" s="4" t="s">
        <v>528</v>
      </c>
      <c r="E5150" s="4" t="s">
        <v>106</v>
      </c>
    </row>
    <row r="5151" spans="1:5" hidden="1" x14ac:dyDescent="0.15">
      <c r="A5151" s="1" t="s">
        <v>79</v>
      </c>
      <c r="B5151" s="2">
        <v>301827</v>
      </c>
      <c r="C5151" s="3">
        <v>0.223</v>
      </c>
      <c r="D5151" s="4" t="s">
        <v>528</v>
      </c>
      <c r="E5151" s="4" t="s">
        <v>106</v>
      </c>
    </row>
    <row r="5152" spans="1:5" hidden="1" x14ac:dyDescent="0.15">
      <c r="A5152" s="1" t="s">
        <v>80</v>
      </c>
      <c r="B5152" s="2">
        <v>172412</v>
      </c>
      <c r="C5152" s="3">
        <v>0.127</v>
      </c>
      <c r="D5152" s="4" t="s">
        <v>528</v>
      </c>
      <c r="E5152" s="4" t="s">
        <v>106</v>
      </c>
    </row>
    <row r="5153" spans="1:5" ht="26" hidden="1" x14ac:dyDescent="0.15">
      <c r="A5153" s="1" t="s">
        <v>81</v>
      </c>
      <c r="B5153" s="2">
        <v>238542</v>
      </c>
      <c r="C5153" s="3">
        <v>0.17600000000000002</v>
      </c>
      <c r="D5153" s="4" t="s">
        <v>528</v>
      </c>
      <c r="E5153" s="4" t="s">
        <v>106</v>
      </c>
    </row>
    <row r="5154" spans="1:5" hidden="1" x14ac:dyDescent="0.15">
      <c r="A5154" s="1" t="s">
        <v>82</v>
      </c>
      <c r="B5154" s="2">
        <v>204514</v>
      </c>
      <c r="C5154" s="3">
        <v>0.151</v>
      </c>
      <c r="D5154" s="4" t="s">
        <v>528</v>
      </c>
      <c r="E5154" s="4" t="s">
        <v>106</v>
      </c>
    </row>
    <row r="5155" spans="1:5" hidden="1" x14ac:dyDescent="0.15">
      <c r="A5155" s="4"/>
      <c r="B5155" s="4"/>
      <c r="C5155" s="4"/>
      <c r="D5155" s="4" t="s">
        <v>528</v>
      </c>
      <c r="E5155" s="4" t="s">
        <v>106</v>
      </c>
    </row>
    <row r="5156" spans="1:5" hidden="1" x14ac:dyDescent="0.15">
      <c r="A5156" s="5"/>
      <c r="B5156" s="5"/>
      <c r="C5156" s="5"/>
      <c r="D5156" s="4" t="s">
        <v>528</v>
      </c>
      <c r="E5156" s="4" t="s">
        <v>106</v>
      </c>
    </row>
    <row r="5157" spans="1:5" ht="26" hidden="1" x14ac:dyDescent="0.15">
      <c r="A5157" s="1" t="s">
        <v>108</v>
      </c>
      <c r="B5157" s="2">
        <v>148744</v>
      </c>
      <c r="C5157" s="3">
        <v>0.11</v>
      </c>
      <c r="D5157" s="4" t="s">
        <v>528</v>
      </c>
      <c r="E5157" s="4" t="s">
        <v>106</v>
      </c>
    </row>
    <row r="5158" spans="1:5" hidden="1" x14ac:dyDescent="0.15">
      <c r="A5158" s="4"/>
      <c r="B5158" s="4"/>
      <c r="C5158" s="4"/>
      <c r="D5158" s="4" t="s">
        <v>528</v>
      </c>
      <c r="E5158" s="4" t="s">
        <v>106</v>
      </c>
    </row>
    <row r="5159" spans="1:5" hidden="1" x14ac:dyDescent="0.15">
      <c r="A5159" s="5"/>
      <c r="B5159" s="5"/>
      <c r="C5159" s="5"/>
      <c r="D5159" s="4" t="s">
        <v>528</v>
      </c>
      <c r="E5159" s="4" t="s">
        <v>106</v>
      </c>
    </row>
    <row r="5160" spans="1:5" hidden="1" x14ac:dyDescent="0.15">
      <c r="A5160" s="1" t="s">
        <v>110</v>
      </c>
      <c r="B5160" s="2">
        <v>159721</v>
      </c>
      <c r="C5160" s="3">
        <v>0.11800000000000001</v>
      </c>
      <c r="D5160" s="4" t="s">
        <v>528</v>
      </c>
      <c r="E5160" s="4" t="s">
        <v>106</v>
      </c>
    </row>
    <row r="5161" spans="1:5" hidden="1" x14ac:dyDescent="0.15">
      <c r="A5161" s="4"/>
      <c r="B5161" s="4"/>
      <c r="C5161" s="4"/>
      <c r="D5161" s="4" t="s">
        <v>528</v>
      </c>
      <c r="E5161" s="4" t="s">
        <v>106</v>
      </c>
    </row>
    <row r="5162" spans="1:5" hidden="1" x14ac:dyDescent="0.15">
      <c r="A5162" s="5"/>
      <c r="B5162" s="5"/>
      <c r="C5162" s="5"/>
      <c r="D5162" s="4" t="s">
        <v>528</v>
      </c>
      <c r="E5162" s="4" t="s">
        <v>106</v>
      </c>
    </row>
    <row r="5163" spans="1:5" ht="26" hidden="1" x14ac:dyDescent="0.15">
      <c r="A5163" s="1" t="s">
        <v>111</v>
      </c>
      <c r="B5163" s="2">
        <v>820304</v>
      </c>
      <c r="C5163" s="3">
        <v>0.60499999999999998</v>
      </c>
      <c r="D5163" s="4" t="s">
        <v>528</v>
      </c>
      <c r="E5163" s="4" t="s">
        <v>106</v>
      </c>
    </row>
    <row r="5164" spans="1:5" ht="26" hidden="1" x14ac:dyDescent="0.15">
      <c r="A5164" s="1" t="s">
        <v>113</v>
      </c>
      <c r="B5164" s="2">
        <v>224090</v>
      </c>
      <c r="C5164" s="3">
        <v>0.16500000000000001</v>
      </c>
      <c r="D5164" s="4" t="s">
        <v>528</v>
      </c>
      <c r="E5164" s="4" t="s">
        <v>106</v>
      </c>
    </row>
    <row r="5165" spans="1:5" hidden="1" x14ac:dyDescent="0.15">
      <c r="A5165" s="4"/>
      <c r="B5165" s="4"/>
      <c r="C5165" s="4"/>
      <c r="D5165" s="4" t="s">
        <v>528</v>
      </c>
      <c r="E5165" s="4" t="s">
        <v>106</v>
      </c>
    </row>
    <row r="5166" spans="1:5" hidden="1" x14ac:dyDescent="0.15">
      <c r="A5166" s="5"/>
      <c r="B5166" s="5"/>
      <c r="C5166" s="5"/>
      <c r="D5166" s="4" t="s">
        <v>528</v>
      </c>
      <c r="E5166" s="4" t="s">
        <v>106</v>
      </c>
    </row>
    <row r="5167" spans="1:5" ht="26" hidden="1" x14ac:dyDescent="0.15">
      <c r="A5167" s="1" t="s">
        <v>120</v>
      </c>
      <c r="B5167" s="2">
        <v>337185</v>
      </c>
      <c r="C5167" s="3">
        <v>0.249</v>
      </c>
      <c r="D5167" s="4" t="s">
        <v>528</v>
      </c>
      <c r="E5167" s="4" t="s">
        <v>106</v>
      </c>
    </row>
    <row r="5168" spans="1:5" ht="26" hidden="1" x14ac:dyDescent="0.15">
      <c r="A5168" s="1" t="s">
        <v>122</v>
      </c>
      <c r="B5168" s="2">
        <v>588141</v>
      </c>
      <c r="C5168" s="3">
        <v>0.434</v>
      </c>
      <c r="D5168" s="4" t="s">
        <v>528</v>
      </c>
      <c r="E5168" s="4" t="s">
        <v>106</v>
      </c>
    </row>
    <row r="5169" spans="1:5" ht="26" hidden="1" x14ac:dyDescent="0.15">
      <c r="A5169" s="1" t="s">
        <v>124</v>
      </c>
      <c r="B5169" s="2">
        <v>0</v>
      </c>
      <c r="C5169" s="3">
        <v>0</v>
      </c>
      <c r="D5169" s="4" t="s">
        <v>528</v>
      </c>
      <c r="E5169" s="4" t="s">
        <v>106</v>
      </c>
    </row>
    <row r="5170" spans="1:5" ht="39" hidden="1" x14ac:dyDescent="0.15">
      <c r="A5170" s="1" t="s">
        <v>529</v>
      </c>
      <c r="B5170" s="2">
        <v>401594</v>
      </c>
      <c r="C5170" s="3">
        <v>0.29600000000000004</v>
      </c>
      <c r="D5170" s="4" t="s">
        <v>528</v>
      </c>
      <c r="E5170" s="4" t="s">
        <v>106</v>
      </c>
    </row>
    <row r="5171" spans="1:5" ht="26" hidden="1" x14ac:dyDescent="0.15">
      <c r="A5171" s="1" t="s">
        <v>130</v>
      </c>
      <c r="B5171" s="2">
        <v>98165</v>
      </c>
      <c r="C5171" s="3">
        <v>7.2000000000000008E-2</v>
      </c>
      <c r="D5171" s="4" t="s">
        <v>528</v>
      </c>
      <c r="E5171" s="4" t="s">
        <v>106</v>
      </c>
    </row>
    <row r="5172" spans="1:5" ht="26" hidden="1" x14ac:dyDescent="0.15">
      <c r="A5172" s="1" t="s">
        <v>132</v>
      </c>
      <c r="B5172" s="2">
        <v>169559</v>
      </c>
      <c r="C5172" s="3">
        <v>0.125</v>
      </c>
      <c r="D5172" s="4" t="s">
        <v>528</v>
      </c>
      <c r="E5172" s="4" t="s">
        <v>106</v>
      </c>
    </row>
    <row r="5173" spans="1:5" ht="26" hidden="1" x14ac:dyDescent="0.15">
      <c r="A5173" s="1" t="s">
        <v>530</v>
      </c>
      <c r="B5173" s="2">
        <v>157730</v>
      </c>
      <c r="C5173" s="3">
        <v>0.11599999999999999</v>
      </c>
      <c r="D5173" s="4" t="s">
        <v>528</v>
      </c>
      <c r="E5173" s="4" t="s">
        <v>106</v>
      </c>
    </row>
    <row r="5174" spans="1:5" ht="26" hidden="1" x14ac:dyDescent="0.15">
      <c r="A5174" s="1" t="s">
        <v>531</v>
      </c>
      <c r="B5174" s="2">
        <v>348781</v>
      </c>
      <c r="C5174" s="3">
        <v>0.25700000000000001</v>
      </c>
      <c r="D5174" s="4" t="s">
        <v>528</v>
      </c>
      <c r="E5174" s="4" t="s">
        <v>106</v>
      </c>
    </row>
    <row r="5175" spans="1:5" hidden="1" x14ac:dyDescent="0.15">
      <c r="A5175" s="1" t="s">
        <v>0</v>
      </c>
      <c r="B5175" s="2">
        <v>2212730</v>
      </c>
      <c r="C5175" s="3">
        <v>1</v>
      </c>
      <c r="D5175" s="4" t="s">
        <v>532</v>
      </c>
      <c r="E5175" s="4" t="s">
        <v>533</v>
      </c>
    </row>
    <row r="5176" spans="1:5" ht="26" hidden="1" x14ac:dyDescent="0.15">
      <c r="A5176" s="1" t="s">
        <v>3</v>
      </c>
      <c r="B5176" s="2">
        <v>17459</v>
      </c>
      <c r="C5176" s="3">
        <v>8.0000000000000002E-3</v>
      </c>
      <c r="D5176" s="4" t="s">
        <v>532</v>
      </c>
      <c r="E5176" s="4" t="s">
        <v>533</v>
      </c>
    </row>
    <row r="5177" spans="1:5" hidden="1" x14ac:dyDescent="0.15">
      <c r="A5177" s="1" t="s">
        <v>4</v>
      </c>
      <c r="B5177" s="2">
        <v>25303</v>
      </c>
      <c r="C5177" s="3">
        <v>1.1000000000000001E-2</v>
      </c>
      <c r="D5177" s="4" t="s">
        <v>532</v>
      </c>
      <c r="E5177" s="4" t="s">
        <v>533</v>
      </c>
    </row>
    <row r="5178" spans="1:5" ht="26" hidden="1" x14ac:dyDescent="0.15">
      <c r="A5178" s="1" t="s">
        <v>5</v>
      </c>
      <c r="B5178" s="2">
        <v>71871</v>
      </c>
      <c r="C5178" s="3">
        <v>3.2000000000000001E-2</v>
      </c>
      <c r="D5178" s="4" t="s">
        <v>532</v>
      </c>
      <c r="E5178" s="4" t="s">
        <v>533</v>
      </c>
    </row>
    <row r="5179" spans="1:5" ht="26" hidden="1" x14ac:dyDescent="0.15">
      <c r="A5179" s="1" t="s">
        <v>6</v>
      </c>
      <c r="B5179" s="2">
        <v>414966</v>
      </c>
      <c r="C5179" s="3">
        <v>0.188</v>
      </c>
      <c r="D5179" s="4" t="s">
        <v>532</v>
      </c>
      <c r="E5179" s="4" t="s">
        <v>533</v>
      </c>
    </row>
    <row r="5180" spans="1:5" ht="26" hidden="1" x14ac:dyDescent="0.15">
      <c r="A5180" s="1" t="s">
        <v>7</v>
      </c>
      <c r="B5180" s="2">
        <v>426041</v>
      </c>
      <c r="C5180" s="3">
        <v>0.193</v>
      </c>
      <c r="D5180" s="4" t="s">
        <v>532</v>
      </c>
      <c r="E5180" s="4" t="s">
        <v>533</v>
      </c>
    </row>
    <row r="5181" spans="1:5" ht="26" hidden="1" x14ac:dyDescent="0.15">
      <c r="A5181" s="1" t="s">
        <v>8</v>
      </c>
      <c r="B5181" s="2">
        <v>24303</v>
      </c>
      <c r="C5181" s="3">
        <v>1.1000000000000001E-2</v>
      </c>
      <c r="D5181" s="4" t="s">
        <v>532</v>
      </c>
      <c r="E5181" s="4" t="s">
        <v>533</v>
      </c>
    </row>
    <row r="5182" spans="1:5" ht="26" hidden="1" x14ac:dyDescent="0.15">
      <c r="A5182" s="1" t="s">
        <v>9</v>
      </c>
      <c r="B5182" s="2">
        <v>32387</v>
      </c>
      <c r="C5182" s="3">
        <v>1.4999999999999999E-2</v>
      </c>
      <c r="D5182" s="4" t="s">
        <v>532</v>
      </c>
      <c r="E5182" s="4" t="s">
        <v>533</v>
      </c>
    </row>
    <row r="5183" spans="1:5" ht="26" hidden="1" x14ac:dyDescent="0.15">
      <c r="A5183" s="1" t="s">
        <v>10</v>
      </c>
      <c r="B5183" s="2">
        <v>28890</v>
      </c>
      <c r="C5183" s="3">
        <v>1.3000000000000001E-2</v>
      </c>
      <c r="D5183" s="4" t="s">
        <v>532</v>
      </c>
      <c r="E5183" s="4" t="s">
        <v>533</v>
      </c>
    </row>
    <row r="5184" spans="1:5" ht="26" hidden="1" x14ac:dyDescent="0.15">
      <c r="A5184" s="1" t="s">
        <v>11</v>
      </c>
      <c r="B5184" s="2">
        <v>120434</v>
      </c>
      <c r="C5184" s="3">
        <v>5.4000000000000006E-2</v>
      </c>
      <c r="D5184" s="4" t="s">
        <v>532</v>
      </c>
      <c r="E5184" s="4" t="s">
        <v>533</v>
      </c>
    </row>
    <row r="5185" spans="1:5" ht="26" hidden="1" x14ac:dyDescent="0.15">
      <c r="A5185" s="1" t="s">
        <v>12</v>
      </c>
      <c r="B5185" s="2">
        <v>35326</v>
      </c>
      <c r="C5185" s="3">
        <v>1.6E-2</v>
      </c>
      <c r="D5185" s="4" t="s">
        <v>532</v>
      </c>
      <c r="E5185" s="4" t="s">
        <v>533</v>
      </c>
    </row>
    <row r="5186" spans="1:5" ht="26" hidden="1" x14ac:dyDescent="0.15">
      <c r="A5186" s="1" t="s">
        <v>13</v>
      </c>
      <c r="B5186" s="2">
        <v>20996</v>
      </c>
      <c r="C5186" s="3">
        <v>9.0000000000000011E-3</v>
      </c>
      <c r="D5186" s="4" t="s">
        <v>532</v>
      </c>
      <c r="E5186" s="4" t="s">
        <v>533</v>
      </c>
    </row>
    <row r="5187" spans="1:5" hidden="1" x14ac:dyDescent="0.15">
      <c r="A5187" s="1" t="s">
        <v>14</v>
      </c>
      <c r="B5187" s="2">
        <v>123379</v>
      </c>
      <c r="C5187" s="3">
        <v>5.5999999999999994E-2</v>
      </c>
      <c r="D5187" s="4" t="s">
        <v>532</v>
      </c>
      <c r="E5187" s="4" t="s">
        <v>533</v>
      </c>
    </row>
    <row r="5188" spans="1:5" ht="26" hidden="1" x14ac:dyDescent="0.15">
      <c r="A5188" s="1" t="s">
        <v>15</v>
      </c>
      <c r="B5188" s="2">
        <v>144331</v>
      </c>
      <c r="C5188" s="3">
        <v>6.5000000000000002E-2</v>
      </c>
      <c r="D5188" s="4" t="s">
        <v>532</v>
      </c>
      <c r="E5188" s="4" t="s">
        <v>533</v>
      </c>
    </row>
    <row r="5189" spans="1:5" ht="26" hidden="1" x14ac:dyDescent="0.15">
      <c r="A5189" s="1" t="s">
        <v>16</v>
      </c>
      <c r="B5189" s="2">
        <v>54484</v>
      </c>
      <c r="C5189" s="3">
        <v>2.5000000000000001E-2</v>
      </c>
      <c r="D5189" s="4" t="s">
        <v>532</v>
      </c>
      <c r="E5189" s="4" t="s">
        <v>533</v>
      </c>
    </row>
    <row r="5190" spans="1:5" ht="26" hidden="1" x14ac:dyDescent="0.15">
      <c r="A5190" s="1" t="s">
        <v>17</v>
      </c>
      <c r="B5190" s="2">
        <v>184586</v>
      </c>
      <c r="C5190" s="3">
        <v>8.3000000000000004E-2</v>
      </c>
      <c r="D5190" s="4" t="s">
        <v>532</v>
      </c>
      <c r="E5190" s="4" t="s">
        <v>533</v>
      </c>
    </row>
    <row r="5191" spans="1:5" hidden="1" x14ac:dyDescent="0.15">
      <c r="A5191" s="1" t="s">
        <v>18</v>
      </c>
      <c r="B5191" s="2">
        <v>24469</v>
      </c>
      <c r="C5191" s="3">
        <v>1.1000000000000001E-2</v>
      </c>
      <c r="D5191" s="4" t="s">
        <v>532</v>
      </c>
      <c r="E5191" s="4" t="s">
        <v>533</v>
      </c>
    </row>
    <row r="5192" spans="1:5" hidden="1" x14ac:dyDescent="0.15">
      <c r="A5192" s="1" t="s">
        <v>19</v>
      </c>
      <c r="B5192" s="2">
        <v>199104</v>
      </c>
      <c r="C5192" s="3">
        <v>0.09</v>
      </c>
      <c r="D5192" s="4" t="s">
        <v>532</v>
      </c>
      <c r="E5192" s="4" t="s">
        <v>533</v>
      </c>
    </row>
    <row r="5193" spans="1:5" hidden="1" x14ac:dyDescent="0.15">
      <c r="A5193" s="1" t="s">
        <v>20</v>
      </c>
      <c r="B5193" s="2">
        <v>29136</v>
      </c>
      <c r="C5193" s="3">
        <v>1.3000000000000001E-2</v>
      </c>
      <c r="D5193" s="4" t="s">
        <v>532</v>
      </c>
      <c r="E5193" s="4" t="s">
        <v>533</v>
      </c>
    </row>
    <row r="5194" spans="1:5" ht="26" hidden="1" x14ac:dyDescent="0.15">
      <c r="A5194" s="1" t="s">
        <v>21</v>
      </c>
      <c r="B5194" s="2">
        <v>47832</v>
      </c>
      <c r="C5194" s="3">
        <v>2.2000000000000002E-2</v>
      </c>
      <c r="D5194" s="4" t="s">
        <v>532</v>
      </c>
      <c r="E5194" s="4" t="s">
        <v>533</v>
      </c>
    </row>
    <row r="5195" spans="1:5" ht="26" hidden="1" x14ac:dyDescent="0.15">
      <c r="A5195" s="1" t="s">
        <v>22</v>
      </c>
      <c r="B5195" s="2">
        <v>17198</v>
      </c>
      <c r="C5195" s="3">
        <v>8.0000000000000002E-3</v>
      </c>
      <c r="D5195" s="4" t="s">
        <v>532</v>
      </c>
      <c r="E5195" s="4" t="s">
        <v>533</v>
      </c>
    </row>
    <row r="5196" spans="1:5" ht="26" hidden="1" x14ac:dyDescent="0.15">
      <c r="A5196" s="1" t="s">
        <v>23</v>
      </c>
      <c r="B5196" s="2">
        <v>37920</v>
      </c>
      <c r="C5196" s="3">
        <v>1.7000000000000001E-2</v>
      </c>
      <c r="D5196" s="4" t="s">
        <v>532</v>
      </c>
      <c r="E5196" s="4" t="s">
        <v>533</v>
      </c>
    </row>
    <row r="5197" spans="1:5" ht="26" hidden="1" x14ac:dyDescent="0.15">
      <c r="A5197" s="1" t="s">
        <v>24</v>
      </c>
      <c r="B5197" s="2">
        <v>6702</v>
      </c>
      <c r="C5197" s="3">
        <v>3.0000000000000001E-3</v>
      </c>
      <c r="D5197" s="4" t="s">
        <v>532</v>
      </c>
      <c r="E5197" s="4" t="s">
        <v>533</v>
      </c>
    </row>
    <row r="5198" spans="1:5" ht="26" hidden="1" x14ac:dyDescent="0.15">
      <c r="A5198" s="1" t="s">
        <v>25</v>
      </c>
      <c r="B5198" s="2">
        <v>74277</v>
      </c>
      <c r="C5198" s="3">
        <v>3.4000000000000002E-2</v>
      </c>
      <c r="D5198" s="4" t="s">
        <v>532</v>
      </c>
      <c r="E5198" s="4" t="s">
        <v>533</v>
      </c>
    </row>
    <row r="5199" spans="1:5" hidden="1" x14ac:dyDescent="0.15">
      <c r="A5199" s="1" t="s">
        <v>26</v>
      </c>
      <c r="B5199" s="2">
        <v>34563</v>
      </c>
      <c r="C5199" s="3">
        <v>1.6E-2</v>
      </c>
      <c r="D5199" s="4" t="s">
        <v>532</v>
      </c>
      <c r="E5199" s="4" t="s">
        <v>533</v>
      </c>
    </row>
    <row r="5200" spans="1:5" hidden="1" x14ac:dyDescent="0.15">
      <c r="A5200" s="1" t="s">
        <v>27</v>
      </c>
      <c r="B5200" s="2">
        <v>329784</v>
      </c>
      <c r="C5200" s="3">
        <v>0.14899999999999999</v>
      </c>
      <c r="D5200" s="4" t="s">
        <v>532</v>
      </c>
      <c r="E5200" s="4" t="s">
        <v>533</v>
      </c>
    </row>
    <row r="5201" spans="1:5" hidden="1" x14ac:dyDescent="0.15">
      <c r="A5201" s="1" t="s">
        <v>28</v>
      </c>
      <c r="B5201" s="2">
        <v>187365</v>
      </c>
      <c r="C5201" s="3">
        <v>8.5000000000000006E-2</v>
      </c>
      <c r="D5201" s="4" t="s">
        <v>532</v>
      </c>
      <c r="E5201" s="4" t="s">
        <v>533</v>
      </c>
    </row>
    <row r="5202" spans="1:5" hidden="1" x14ac:dyDescent="0.15">
      <c r="A5202" s="1" t="s">
        <v>29</v>
      </c>
      <c r="B5202" s="2">
        <v>766745</v>
      </c>
      <c r="C5202" s="3">
        <v>0.34700000000000003</v>
      </c>
      <c r="D5202" s="4" t="s">
        <v>532</v>
      </c>
      <c r="E5202" s="4" t="s">
        <v>533</v>
      </c>
    </row>
    <row r="5203" spans="1:5" hidden="1" x14ac:dyDescent="0.15">
      <c r="A5203" s="1" t="s">
        <v>30</v>
      </c>
      <c r="B5203" s="2">
        <v>52153</v>
      </c>
      <c r="C5203" s="3">
        <v>2.4E-2</v>
      </c>
      <c r="D5203" s="4" t="s">
        <v>532</v>
      </c>
      <c r="E5203" s="4" t="s">
        <v>533</v>
      </c>
    </row>
    <row r="5204" spans="1:5" ht="39" hidden="1" x14ac:dyDescent="0.15">
      <c r="A5204" s="1" t="s">
        <v>31</v>
      </c>
      <c r="B5204" s="2">
        <v>13871</v>
      </c>
      <c r="C5204" s="3">
        <v>6.0000000000000001E-3</v>
      </c>
      <c r="D5204" s="4" t="s">
        <v>532</v>
      </c>
      <c r="E5204" s="4" t="s">
        <v>533</v>
      </c>
    </row>
    <row r="5205" spans="1:5" hidden="1" x14ac:dyDescent="0.15">
      <c r="A5205" s="1" t="s">
        <v>32</v>
      </c>
      <c r="B5205" s="2">
        <v>96555</v>
      </c>
      <c r="C5205" s="3">
        <v>4.4000000000000004E-2</v>
      </c>
      <c r="D5205" s="4" t="s">
        <v>532</v>
      </c>
      <c r="E5205" s="4" t="s">
        <v>533</v>
      </c>
    </row>
    <row r="5206" spans="1:5" hidden="1" x14ac:dyDescent="0.15">
      <c r="A5206" s="1" t="s">
        <v>33</v>
      </c>
      <c r="B5206" s="2">
        <v>533715</v>
      </c>
      <c r="C5206" s="3">
        <v>0.24100000000000002</v>
      </c>
      <c r="D5206" s="4" t="s">
        <v>532</v>
      </c>
      <c r="E5206" s="4" t="s">
        <v>533</v>
      </c>
    </row>
    <row r="5207" spans="1:5" hidden="1" x14ac:dyDescent="0.15">
      <c r="A5207" s="1" t="s">
        <v>34</v>
      </c>
      <c r="B5207" s="2">
        <v>146760</v>
      </c>
      <c r="C5207" s="3">
        <v>6.6000000000000003E-2</v>
      </c>
      <c r="D5207" s="4" t="s">
        <v>532</v>
      </c>
      <c r="E5207" s="4" t="s">
        <v>533</v>
      </c>
    </row>
    <row r="5208" spans="1:5" hidden="1" x14ac:dyDescent="0.15">
      <c r="A5208" s="1" t="s">
        <v>35</v>
      </c>
      <c r="B5208" s="2">
        <v>47771</v>
      </c>
      <c r="C5208" s="3">
        <v>2.2000000000000002E-2</v>
      </c>
      <c r="D5208" s="4" t="s">
        <v>532</v>
      </c>
      <c r="E5208" s="4" t="s">
        <v>533</v>
      </c>
    </row>
    <row r="5209" spans="1:5" ht="26" hidden="1" x14ac:dyDescent="0.15">
      <c r="A5209" s="1" t="s">
        <v>36</v>
      </c>
      <c r="B5209" s="2">
        <v>18358</v>
      </c>
      <c r="C5209" s="3">
        <v>8.0000000000000002E-3</v>
      </c>
      <c r="D5209" s="4" t="s">
        <v>532</v>
      </c>
      <c r="E5209" s="4" t="s">
        <v>533</v>
      </c>
    </row>
    <row r="5210" spans="1:5" hidden="1" x14ac:dyDescent="0.15">
      <c r="A5210" s="1" t="s">
        <v>37</v>
      </c>
      <c r="B5210" s="2">
        <v>19035</v>
      </c>
      <c r="C5210" s="3">
        <v>9.0000000000000011E-3</v>
      </c>
      <c r="D5210" s="4" t="s">
        <v>532</v>
      </c>
      <c r="E5210" s="4" t="s">
        <v>533</v>
      </c>
    </row>
    <row r="5211" spans="1:5" ht="39" hidden="1" x14ac:dyDescent="0.15">
      <c r="A5211" s="1" t="s">
        <v>38</v>
      </c>
      <c r="B5211" s="2">
        <v>50256</v>
      </c>
      <c r="C5211" s="3">
        <v>2.3E-2</v>
      </c>
      <c r="D5211" s="4" t="s">
        <v>532</v>
      </c>
      <c r="E5211" s="4" t="s">
        <v>533</v>
      </c>
    </row>
    <row r="5212" spans="1:5" hidden="1" x14ac:dyDescent="0.15">
      <c r="A5212" s="1" t="s">
        <v>39</v>
      </c>
      <c r="B5212" s="2">
        <v>72397</v>
      </c>
      <c r="C5212" s="3">
        <v>3.3000000000000002E-2</v>
      </c>
      <c r="D5212" s="4" t="s">
        <v>532</v>
      </c>
      <c r="E5212" s="4" t="s">
        <v>533</v>
      </c>
    </row>
    <row r="5213" spans="1:5" hidden="1" x14ac:dyDescent="0.15">
      <c r="A5213" s="1" t="s">
        <v>40</v>
      </c>
      <c r="B5213" s="2">
        <v>43338</v>
      </c>
      <c r="C5213" s="3">
        <v>0.02</v>
      </c>
      <c r="D5213" s="4" t="s">
        <v>532</v>
      </c>
      <c r="E5213" s="4" t="s">
        <v>533</v>
      </c>
    </row>
    <row r="5214" spans="1:5" hidden="1" x14ac:dyDescent="0.15">
      <c r="A5214" s="1" t="s">
        <v>41</v>
      </c>
      <c r="B5214" s="2">
        <v>43669</v>
      </c>
      <c r="C5214" s="3">
        <v>0.02</v>
      </c>
      <c r="D5214" s="4" t="s">
        <v>532</v>
      </c>
      <c r="E5214" s="4" t="s">
        <v>533</v>
      </c>
    </row>
    <row r="5215" spans="1:5" hidden="1" x14ac:dyDescent="0.15">
      <c r="A5215" s="1" t="s">
        <v>42</v>
      </c>
      <c r="B5215" s="2">
        <v>50975</v>
      </c>
      <c r="C5215" s="3">
        <v>2.3E-2</v>
      </c>
      <c r="D5215" s="4" t="s">
        <v>532</v>
      </c>
      <c r="E5215" s="4" t="s">
        <v>533</v>
      </c>
    </row>
    <row r="5216" spans="1:5" hidden="1" x14ac:dyDescent="0.15">
      <c r="A5216" s="1" t="s">
        <v>43</v>
      </c>
      <c r="B5216" s="2">
        <v>227991</v>
      </c>
      <c r="C5216" s="3">
        <v>0.10300000000000001</v>
      </c>
      <c r="D5216" s="4" t="s">
        <v>532</v>
      </c>
      <c r="E5216" s="4" t="s">
        <v>533</v>
      </c>
    </row>
    <row r="5217" spans="1:5" ht="26" hidden="1" x14ac:dyDescent="0.15">
      <c r="A5217" s="1" t="s">
        <v>44</v>
      </c>
      <c r="B5217" s="2">
        <v>253755</v>
      </c>
      <c r="C5217" s="3">
        <v>0.115</v>
      </c>
      <c r="D5217" s="4" t="s">
        <v>532</v>
      </c>
      <c r="E5217" s="4" t="s">
        <v>533</v>
      </c>
    </row>
    <row r="5218" spans="1:5" hidden="1" x14ac:dyDescent="0.15">
      <c r="A5218" s="1" t="s">
        <v>45</v>
      </c>
      <c r="B5218" s="2">
        <v>411281</v>
      </c>
      <c r="C5218" s="3">
        <v>0.18600000000000003</v>
      </c>
      <c r="D5218" s="4" t="s">
        <v>532</v>
      </c>
      <c r="E5218" s="4" t="s">
        <v>533</v>
      </c>
    </row>
    <row r="5219" spans="1:5" ht="26" hidden="1" x14ac:dyDescent="0.15">
      <c r="A5219" s="1" t="s">
        <v>46</v>
      </c>
      <c r="B5219" s="2">
        <v>976828</v>
      </c>
      <c r="C5219" s="3">
        <v>0.441</v>
      </c>
      <c r="D5219" s="4" t="s">
        <v>532</v>
      </c>
      <c r="E5219" s="4" t="s">
        <v>533</v>
      </c>
    </row>
    <row r="5220" spans="1:5" hidden="1" x14ac:dyDescent="0.15">
      <c r="A5220" s="1" t="s">
        <v>47</v>
      </c>
      <c r="B5220" s="2">
        <v>969438</v>
      </c>
      <c r="C5220" s="3">
        <v>0.43799999999999994</v>
      </c>
      <c r="D5220" s="4" t="s">
        <v>532</v>
      </c>
      <c r="E5220" s="4" t="s">
        <v>533</v>
      </c>
    </row>
    <row r="5221" spans="1:5" hidden="1" x14ac:dyDescent="0.15">
      <c r="A5221" s="1" t="s">
        <v>48</v>
      </c>
      <c r="B5221" s="2">
        <v>165532</v>
      </c>
      <c r="C5221" s="3">
        <v>7.4999999999999997E-2</v>
      </c>
      <c r="D5221" s="4" t="s">
        <v>532</v>
      </c>
      <c r="E5221" s="4" t="s">
        <v>533</v>
      </c>
    </row>
    <row r="5222" spans="1:5" hidden="1" x14ac:dyDescent="0.15">
      <c r="A5222" s="1" t="s">
        <v>49</v>
      </c>
      <c r="B5222" s="2">
        <v>161778</v>
      </c>
      <c r="C5222" s="3">
        <v>7.2999999999999995E-2</v>
      </c>
      <c r="D5222" s="4" t="s">
        <v>532</v>
      </c>
      <c r="E5222" s="4" t="s">
        <v>533</v>
      </c>
    </row>
    <row r="5223" spans="1:5" ht="26" hidden="1" x14ac:dyDescent="0.15">
      <c r="A5223" s="1" t="s">
        <v>50</v>
      </c>
      <c r="B5223" s="2">
        <v>332633</v>
      </c>
      <c r="C5223" s="3">
        <v>0.15</v>
      </c>
      <c r="D5223" s="4" t="s">
        <v>532</v>
      </c>
      <c r="E5223" s="4" t="s">
        <v>533</v>
      </c>
    </row>
    <row r="5224" spans="1:5" hidden="1" x14ac:dyDescent="0.15">
      <c r="A5224" s="1" t="s">
        <v>51</v>
      </c>
      <c r="B5224" s="2">
        <v>616505</v>
      </c>
      <c r="C5224" s="3">
        <v>0.27899999999999997</v>
      </c>
      <c r="D5224" s="4" t="s">
        <v>532</v>
      </c>
      <c r="E5224" s="4" t="s">
        <v>533</v>
      </c>
    </row>
    <row r="5225" spans="1:5" hidden="1" x14ac:dyDescent="0.15">
      <c r="A5225" s="1" t="s">
        <v>52</v>
      </c>
      <c r="B5225" s="2">
        <v>378524</v>
      </c>
      <c r="C5225" s="3">
        <v>0.17100000000000001</v>
      </c>
      <c r="D5225" s="4" t="s">
        <v>532</v>
      </c>
      <c r="E5225" s="4" t="s">
        <v>533</v>
      </c>
    </row>
    <row r="5226" spans="1:5" ht="26" hidden="1" x14ac:dyDescent="0.15">
      <c r="A5226" s="1" t="s">
        <v>53</v>
      </c>
      <c r="B5226" s="2">
        <v>244533</v>
      </c>
      <c r="C5226" s="3">
        <v>0.111</v>
      </c>
      <c r="D5226" s="4" t="s">
        <v>532</v>
      </c>
      <c r="E5226" s="4" t="s">
        <v>533</v>
      </c>
    </row>
    <row r="5227" spans="1:5" hidden="1" x14ac:dyDescent="0.15">
      <c r="A5227" s="1" t="s">
        <v>54</v>
      </c>
      <c r="B5227" s="2">
        <v>744588</v>
      </c>
      <c r="C5227" s="3">
        <v>0.33700000000000002</v>
      </c>
      <c r="D5227" s="4" t="s">
        <v>532</v>
      </c>
      <c r="E5227" s="4" t="s">
        <v>533</v>
      </c>
    </row>
    <row r="5228" spans="1:5" ht="26" hidden="1" x14ac:dyDescent="0.15">
      <c r="A5228" s="1" t="s">
        <v>55</v>
      </c>
      <c r="B5228" s="2">
        <v>725074</v>
      </c>
      <c r="C5228" s="3">
        <v>0.32799999999999996</v>
      </c>
      <c r="D5228" s="4" t="s">
        <v>532</v>
      </c>
      <c r="E5228" s="4" t="s">
        <v>533</v>
      </c>
    </row>
    <row r="5229" spans="1:5" hidden="1" x14ac:dyDescent="0.15">
      <c r="A5229" s="1" t="s">
        <v>56</v>
      </c>
      <c r="B5229" s="2">
        <v>525939</v>
      </c>
      <c r="C5229" s="3">
        <v>0.23800000000000002</v>
      </c>
      <c r="D5229" s="4" t="s">
        <v>532</v>
      </c>
      <c r="E5229" s="4" t="s">
        <v>533</v>
      </c>
    </row>
    <row r="5230" spans="1:5" hidden="1" x14ac:dyDescent="0.15">
      <c r="A5230" s="1" t="s">
        <v>57</v>
      </c>
      <c r="B5230" s="2">
        <v>851742</v>
      </c>
      <c r="C5230" s="3">
        <v>0.38500000000000001</v>
      </c>
      <c r="D5230" s="4" t="s">
        <v>532</v>
      </c>
      <c r="E5230" s="4" t="s">
        <v>533</v>
      </c>
    </row>
    <row r="5231" spans="1:5" hidden="1" x14ac:dyDescent="0.15">
      <c r="A5231" s="1" t="s">
        <v>58</v>
      </c>
      <c r="B5231" s="2">
        <v>256051</v>
      </c>
      <c r="C5231" s="3">
        <v>0.11599999999999999</v>
      </c>
      <c r="D5231" s="4" t="s">
        <v>532</v>
      </c>
      <c r="E5231" s="4" t="s">
        <v>533</v>
      </c>
    </row>
    <row r="5232" spans="1:5" hidden="1" x14ac:dyDescent="0.15">
      <c r="A5232" s="1" t="s">
        <v>59</v>
      </c>
      <c r="B5232" s="2">
        <v>986759</v>
      </c>
      <c r="C5232" s="3">
        <v>0.44600000000000001</v>
      </c>
      <c r="D5232" s="4" t="s">
        <v>532</v>
      </c>
      <c r="E5232" s="4" t="s">
        <v>533</v>
      </c>
    </row>
    <row r="5233" spans="1:5" hidden="1" x14ac:dyDescent="0.15">
      <c r="A5233" s="1" t="s">
        <v>60</v>
      </c>
      <c r="B5233" s="2">
        <v>213212</v>
      </c>
      <c r="C5233" s="3">
        <v>9.6000000000000002E-2</v>
      </c>
      <c r="D5233" s="4" t="s">
        <v>532</v>
      </c>
      <c r="E5233" s="4" t="s">
        <v>533</v>
      </c>
    </row>
    <row r="5234" spans="1:5" ht="26" hidden="1" x14ac:dyDescent="0.15">
      <c r="A5234" s="1" t="s">
        <v>61</v>
      </c>
      <c r="B5234" s="2">
        <v>350527</v>
      </c>
      <c r="C5234" s="3">
        <v>0.158</v>
      </c>
      <c r="D5234" s="4" t="s">
        <v>532</v>
      </c>
      <c r="E5234" s="4" t="s">
        <v>533</v>
      </c>
    </row>
    <row r="5235" spans="1:5" hidden="1" x14ac:dyDescent="0.15">
      <c r="A5235" s="1" t="s">
        <v>62</v>
      </c>
      <c r="B5235" s="2">
        <v>81464</v>
      </c>
      <c r="C5235" s="3">
        <v>3.7000000000000005E-2</v>
      </c>
      <c r="D5235" s="4" t="s">
        <v>532</v>
      </c>
      <c r="E5235" s="4" t="s">
        <v>533</v>
      </c>
    </row>
    <row r="5236" spans="1:5" ht="26" hidden="1" x14ac:dyDescent="0.15">
      <c r="A5236" s="1" t="s">
        <v>63</v>
      </c>
      <c r="B5236" s="2">
        <v>395209</v>
      </c>
      <c r="C5236" s="3">
        <v>0.17899999999999999</v>
      </c>
      <c r="D5236" s="4" t="s">
        <v>532</v>
      </c>
      <c r="E5236" s="4" t="s">
        <v>533</v>
      </c>
    </row>
    <row r="5237" spans="1:5" ht="26" hidden="1" x14ac:dyDescent="0.15">
      <c r="A5237" s="1" t="s">
        <v>64</v>
      </c>
      <c r="B5237" s="2">
        <v>148923</v>
      </c>
      <c r="C5237" s="3">
        <v>6.7000000000000004E-2</v>
      </c>
      <c r="D5237" s="4" t="s">
        <v>532</v>
      </c>
      <c r="E5237" s="4" t="s">
        <v>533</v>
      </c>
    </row>
    <row r="5238" spans="1:5" hidden="1" x14ac:dyDescent="0.15">
      <c r="A5238" s="1" t="s">
        <v>65</v>
      </c>
      <c r="B5238" s="2">
        <v>438801</v>
      </c>
      <c r="C5238" s="3">
        <v>0.19800000000000001</v>
      </c>
      <c r="D5238" s="4" t="s">
        <v>532</v>
      </c>
      <c r="E5238" s="4" t="s">
        <v>533</v>
      </c>
    </row>
    <row r="5239" spans="1:5" hidden="1" x14ac:dyDescent="0.15">
      <c r="A5239" s="1" t="s">
        <v>66</v>
      </c>
      <c r="B5239" s="2">
        <v>238162</v>
      </c>
      <c r="C5239" s="3">
        <v>0.10800000000000001</v>
      </c>
      <c r="D5239" s="4" t="s">
        <v>532</v>
      </c>
      <c r="E5239" s="4" t="s">
        <v>533</v>
      </c>
    </row>
    <row r="5240" spans="1:5" hidden="1" x14ac:dyDescent="0.15">
      <c r="A5240" s="1" t="s">
        <v>67</v>
      </c>
      <c r="B5240" s="2">
        <v>945862</v>
      </c>
      <c r="C5240" s="3">
        <v>0.42700000000000005</v>
      </c>
      <c r="D5240" s="4" t="s">
        <v>532</v>
      </c>
      <c r="E5240" s="4" t="s">
        <v>533</v>
      </c>
    </row>
    <row r="5241" spans="1:5" hidden="1" x14ac:dyDescent="0.15">
      <c r="A5241" s="1" t="s">
        <v>68</v>
      </c>
      <c r="B5241" s="2">
        <v>955970</v>
      </c>
      <c r="C5241" s="3">
        <v>0.43200000000000005</v>
      </c>
      <c r="D5241" s="4" t="s">
        <v>532</v>
      </c>
      <c r="E5241" s="4" t="s">
        <v>533</v>
      </c>
    </row>
    <row r="5242" spans="1:5" hidden="1" x14ac:dyDescent="0.15">
      <c r="A5242" s="1" t="s">
        <v>69</v>
      </c>
      <c r="B5242" s="2">
        <v>1561492</v>
      </c>
      <c r="C5242" s="3">
        <v>0.70599999999999996</v>
      </c>
      <c r="D5242" s="4" t="s">
        <v>532</v>
      </c>
      <c r="E5242" s="4" t="s">
        <v>533</v>
      </c>
    </row>
    <row r="5243" spans="1:5" hidden="1" x14ac:dyDescent="0.15">
      <c r="A5243" s="1" t="s">
        <v>70</v>
      </c>
      <c r="B5243" s="2">
        <v>380733</v>
      </c>
      <c r="C5243" s="3">
        <v>0.17199999999999999</v>
      </c>
      <c r="D5243" s="4" t="s">
        <v>532</v>
      </c>
      <c r="E5243" s="4" t="s">
        <v>533</v>
      </c>
    </row>
    <row r="5244" spans="1:5" ht="26" hidden="1" x14ac:dyDescent="0.15">
      <c r="A5244" s="1" t="s">
        <v>71</v>
      </c>
      <c r="B5244" s="2">
        <v>130625</v>
      </c>
      <c r="C5244" s="3">
        <v>5.9000000000000004E-2</v>
      </c>
      <c r="D5244" s="4" t="s">
        <v>532</v>
      </c>
      <c r="E5244" s="4" t="s">
        <v>533</v>
      </c>
    </row>
    <row r="5245" spans="1:5" hidden="1" x14ac:dyDescent="0.15">
      <c r="A5245" s="1" t="s">
        <v>72</v>
      </c>
      <c r="B5245" s="2">
        <v>458931</v>
      </c>
      <c r="C5245" s="3">
        <v>0.20699999999999999</v>
      </c>
      <c r="D5245" s="4" t="s">
        <v>532</v>
      </c>
      <c r="E5245" s="4" t="s">
        <v>533</v>
      </c>
    </row>
    <row r="5246" spans="1:5" hidden="1" x14ac:dyDescent="0.15">
      <c r="A5246" s="1" t="s">
        <v>73</v>
      </c>
      <c r="B5246" s="2">
        <v>1222102</v>
      </c>
      <c r="C5246" s="3">
        <v>0.55200000000000005</v>
      </c>
      <c r="D5246" s="4" t="s">
        <v>532</v>
      </c>
      <c r="E5246" s="4" t="s">
        <v>533</v>
      </c>
    </row>
    <row r="5247" spans="1:5" hidden="1" x14ac:dyDescent="0.15">
      <c r="A5247" s="1" t="s">
        <v>74</v>
      </c>
      <c r="B5247" s="2">
        <v>603711</v>
      </c>
      <c r="C5247" s="3">
        <v>0.27300000000000002</v>
      </c>
      <c r="D5247" s="4" t="s">
        <v>532</v>
      </c>
      <c r="E5247" s="4" t="s">
        <v>533</v>
      </c>
    </row>
    <row r="5248" spans="1:5" hidden="1" x14ac:dyDescent="0.15">
      <c r="A5248" s="1" t="s">
        <v>75</v>
      </c>
      <c r="B5248" s="2">
        <v>357088</v>
      </c>
      <c r="C5248" s="3">
        <v>0.161</v>
      </c>
      <c r="D5248" s="4" t="s">
        <v>532</v>
      </c>
      <c r="E5248" s="4" t="s">
        <v>533</v>
      </c>
    </row>
    <row r="5249" spans="1:5" hidden="1" x14ac:dyDescent="0.15">
      <c r="A5249" s="1" t="s">
        <v>76</v>
      </c>
      <c r="B5249" s="2">
        <v>293208</v>
      </c>
      <c r="C5249" s="3">
        <v>0.13300000000000001</v>
      </c>
      <c r="D5249" s="4" t="s">
        <v>532</v>
      </c>
      <c r="E5249" s="4" t="s">
        <v>533</v>
      </c>
    </row>
    <row r="5250" spans="1:5" hidden="1" x14ac:dyDescent="0.15">
      <c r="A5250" s="1" t="s">
        <v>77</v>
      </c>
      <c r="B5250" s="2">
        <v>254496</v>
      </c>
      <c r="C5250" s="3">
        <v>0.115</v>
      </c>
      <c r="D5250" s="4" t="s">
        <v>532</v>
      </c>
      <c r="E5250" s="4" t="s">
        <v>533</v>
      </c>
    </row>
    <row r="5251" spans="1:5" ht="26" hidden="1" x14ac:dyDescent="0.15">
      <c r="A5251" s="1" t="s">
        <v>78</v>
      </c>
      <c r="B5251" s="2">
        <v>287433</v>
      </c>
      <c r="C5251" s="3">
        <v>0.13</v>
      </c>
      <c r="D5251" s="4" t="s">
        <v>532</v>
      </c>
      <c r="E5251" s="4" t="s">
        <v>533</v>
      </c>
    </row>
    <row r="5252" spans="1:5" hidden="1" x14ac:dyDescent="0.15">
      <c r="A5252" s="1" t="s">
        <v>79</v>
      </c>
      <c r="B5252" s="2">
        <v>391640</v>
      </c>
      <c r="C5252" s="3">
        <v>0.17699999999999999</v>
      </c>
      <c r="D5252" s="4" t="s">
        <v>532</v>
      </c>
      <c r="E5252" s="4" t="s">
        <v>533</v>
      </c>
    </row>
    <row r="5253" spans="1:5" hidden="1" x14ac:dyDescent="0.15">
      <c r="A5253" s="1" t="s">
        <v>80</v>
      </c>
      <c r="B5253" s="2">
        <v>421059</v>
      </c>
      <c r="C5253" s="3">
        <v>0.19</v>
      </c>
      <c r="D5253" s="4" t="s">
        <v>532</v>
      </c>
      <c r="E5253" s="4" t="s">
        <v>533</v>
      </c>
    </row>
    <row r="5254" spans="1:5" ht="26" hidden="1" x14ac:dyDescent="0.15">
      <c r="A5254" s="1" t="s">
        <v>81</v>
      </c>
      <c r="B5254" s="2">
        <v>346008</v>
      </c>
      <c r="C5254" s="3">
        <v>0.156</v>
      </c>
      <c r="D5254" s="4" t="s">
        <v>532</v>
      </c>
      <c r="E5254" s="4" t="s">
        <v>533</v>
      </c>
    </row>
    <row r="5255" spans="1:5" hidden="1" x14ac:dyDescent="0.15">
      <c r="A5255" s="1" t="s">
        <v>82</v>
      </c>
      <c r="B5255" s="2">
        <v>210349</v>
      </c>
      <c r="C5255" s="3">
        <v>9.5000000000000001E-2</v>
      </c>
      <c r="D5255" s="4" t="s">
        <v>532</v>
      </c>
      <c r="E5255" s="4" t="s">
        <v>533</v>
      </c>
    </row>
    <row r="5256" spans="1:5" hidden="1" x14ac:dyDescent="0.15">
      <c r="A5256" s="4"/>
      <c r="B5256" s="4"/>
      <c r="C5256" s="4"/>
      <c r="D5256" s="4" t="s">
        <v>532</v>
      </c>
      <c r="E5256" s="4" t="s">
        <v>533</v>
      </c>
    </row>
    <row r="5257" spans="1:5" hidden="1" x14ac:dyDescent="0.15">
      <c r="A5257" s="4"/>
      <c r="B5257" s="4"/>
      <c r="C5257" s="4"/>
      <c r="D5257" s="4" t="s">
        <v>532</v>
      </c>
      <c r="E5257" s="4" t="s">
        <v>533</v>
      </c>
    </row>
    <row r="5258" spans="1:5" hidden="1" x14ac:dyDescent="0.15">
      <c r="A5258" s="4"/>
      <c r="B5258" s="4"/>
      <c r="C5258" s="4"/>
      <c r="D5258" s="4" t="s">
        <v>532</v>
      </c>
      <c r="E5258" s="4" t="s">
        <v>533</v>
      </c>
    </row>
    <row r="5259" spans="1:5" hidden="1" x14ac:dyDescent="0.15">
      <c r="A5259" s="4"/>
      <c r="B5259" s="4"/>
      <c r="C5259" s="4"/>
      <c r="D5259" s="4" t="s">
        <v>532</v>
      </c>
      <c r="E5259" s="4" t="s">
        <v>533</v>
      </c>
    </row>
    <row r="5260" spans="1:5" hidden="1" x14ac:dyDescent="0.15">
      <c r="A5260" s="4"/>
      <c r="B5260" s="4"/>
      <c r="C5260" s="4"/>
      <c r="D5260" s="4" t="s">
        <v>532</v>
      </c>
      <c r="E5260" s="4" t="s">
        <v>533</v>
      </c>
    </row>
    <row r="5261" spans="1:5" hidden="1" x14ac:dyDescent="0.15">
      <c r="A5261" s="4"/>
      <c r="B5261" s="4"/>
      <c r="C5261" s="4"/>
      <c r="D5261" s="4" t="s">
        <v>532</v>
      </c>
      <c r="E5261" s="4" t="s">
        <v>533</v>
      </c>
    </row>
    <row r="5262" spans="1:5" hidden="1" x14ac:dyDescent="0.15">
      <c r="A5262" s="1" t="s">
        <v>479</v>
      </c>
      <c r="B5262" s="2">
        <v>795050</v>
      </c>
      <c r="C5262" s="3">
        <v>0.35899999999999999</v>
      </c>
      <c r="D5262" s="4" t="s">
        <v>532</v>
      </c>
      <c r="E5262" s="4" t="s">
        <v>533</v>
      </c>
    </row>
    <row r="5263" spans="1:5" ht="26" hidden="1" x14ac:dyDescent="0.15">
      <c r="A5263" s="1" t="s">
        <v>481</v>
      </c>
      <c r="B5263" s="2">
        <v>1435144</v>
      </c>
      <c r="C5263" s="3">
        <v>0.64900000000000002</v>
      </c>
      <c r="D5263" s="4" t="s">
        <v>532</v>
      </c>
      <c r="E5263" s="4" t="s">
        <v>533</v>
      </c>
    </row>
    <row r="5264" spans="1:5" ht="39" hidden="1" x14ac:dyDescent="0.15">
      <c r="A5264" s="1" t="s">
        <v>534</v>
      </c>
      <c r="B5264" s="2">
        <v>642326</v>
      </c>
      <c r="C5264" s="3">
        <v>0.28999999999999998</v>
      </c>
      <c r="D5264" s="4" t="s">
        <v>532</v>
      </c>
      <c r="E5264" s="4" t="s">
        <v>533</v>
      </c>
    </row>
    <row r="5265" spans="1:5" ht="26" hidden="1" x14ac:dyDescent="0.15">
      <c r="A5265" s="1" t="s">
        <v>535</v>
      </c>
      <c r="B5265" s="2">
        <v>402995</v>
      </c>
      <c r="C5265" s="3">
        <v>0.182</v>
      </c>
      <c r="D5265" s="4" t="s">
        <v>532</v>
      </c>
      <c r="E5265" s="4" t="s">
        <v>533</v>
      </c>
    </row>
    <row r="5266" spans="1:5" ht="39" hidden="1" x14ac:dyDescent="0.15">
      <c r="A5266" s="1" t="s">
        <v>536</v>
      </c>
      <c r="B5266" s="2">
        <v>75478</v>
      </c>
      <c r="C5266" s="3">
        <v>3.4000000000000002E-2</v>
      </c>
      <c r="D5266" s="4" t="s">
        <v>532</v>
      </c>
      <c r="E5266" s="4" t="s">
        <v>533</v>
      </c>
    </row>
    <row r="5267" spans="1:5" ht="26" hidden="1" x14ac:dyDescent="0.15">
      <c r="A5267" s="1" t="s">
        <v>537</v>
      </c>
      <c r="B5267" s="2">
        <v>331179</v>
      </c>
      <c r="C5267" s="3">
        <v>0.15</v>
      </c>
      <c r="D5267" s="4" t="s">
        <v>532</v>
      </c>
      <c r="E5267" s="4" t="s">
        <v>533</v>
      </c>
    </row>
    <row r="5268" spans="1:5" ht="26" hidden="1" x14ac:dyDescent="0.15">
      <c r="A5268" s="1" t="s">
        <v>181</v>
      </c>
      <c r="B5268" s="2">
        <v>425232</v>
      </c>
      <c r="C5268" s="3">
        <v>0.192</v>
      </c>
      <c r="D5268" s="4" t="s">
        <v>532</v>
      </c>
      <c r="E5268" s="4" t="s">
        <v>533</v>
      </c>
    </row>
    <row r="5269" spans="1:5" ht="26" hidden="1" x14ac:dyDescent="0.15">
      <c r="A5269" s="1" t="s">
        <v>538</v>
      </c>
      <c r="B5269" s="2">
        <v>431660</v>
      </c>
      <c r="C5269" s="3">
        <v>0.19500000000000001</v>
      </c>
      <c r="D5269" s="4" t="s">
        <v>532</v>
      </c>
      <c r="E5269" s="4" t="s">
        <v>533</v>
      </c>
    </row>
    <row r="5270" spans="1:5" ht="39" hidden="1" x14ac:dyDescent="0.15">
      <c r="A5270" s="1" t="s">
        <v>539</v>
      </c>
      <c r="B5270" s="2">
        <v>435571</v>
      </c>
      <c r="C5270" s="3">
        <v>0.19699999999999998</v>
      </c>
      <c r="D5270" s="4" t="s">
        <v>532</v>
      </c>
      <c r="E5270" s="4" t="s">
        <v>533</v>
      </c>
    </row>
    <row r="5271" spans="1:5" ht="39" hidden="1" x14ac:dyDescent="0.15">
      <c r="A5271" s="1" t="s">
        <v>540</v>
      </c>
      <c r="B5271" s="2">
        <v>90723</v>
      </c>
      <c r="C5271" s="3">
        <v>4.0999999999999995E-2</v>
      </c>
      <c r="D5271" s="4" t="s">
        <v>532</v>
      </c>
      <c r="E5271" s="4" t="s">
        <v>533</v>
      </c>
    </row>
    <row r="5272" spans="1:5" ht="26" hidden="1" x14ac:dyDescent="0.15">
      <c r="A5272" s="1" t="s">
        <v>541</v>
      </c>
      <c r="B5272" s="2">
        <v>410443</v>
      </c>
      <c r="C5272" s="3">
        <v>0.185</v>
      </c>
      <c r="D5272" s="4" t="s">
        <v>532</v>
      </c>
      <c r="E5272" s="4" t="s">
        <v>533</v>
      </c>
    </row>
    <row r="5273" spans="1:5" ht="26" hidden="1" x14ac:dyDescent="0.15">
      <c r="A5273" s="1" t="s">
        <v>542</v>
      </c>
      <c r="B5273" s="2">
        <v>92297</v>
      </c>
      <c r="C5273" s="3">
        <v>4.2000000000000003E-2</v>
      </c>
      <c r="D5273" s="4" t="s">
        <v>532</v>
      </c>
      <c r="E5273" s="4" t="s">
        <v>533</v>
      </c>
    </row>
    <row r="5274" spans="1:5" ht="26" hidden="1" x14ac:dyDescent="0.15">
      <c r="A5274" s="1" t="s">
        <v>543</v>
      </c>
      <c r="B5274" s="2">
        <v>104535</v>
      </c>
      <c r="C5274" s="3">
        <v>4.7E-2</v>
      </c>
      <c r="D5274" s="4" t="s">
        <v>532</v>
      </c>
      <c r="E5274" s="4" t="s">
        <v>533</v>
      </c>
    </row>
    <row r="5275" spans="1:5" ht="26" hidden="1" x14ac:dyDescent="0.15">
      <c r="A5275" s="1" t="s">
        <v>544</v>
      </c>
      <c r="B5275" s="2">
        <v>476299</v>
      </c>
      <c r="C5275" s="3">
        <v>0.215</v>
      </c>
      <c r="D5275" s="4" t="s">
        <v>532</v>
      </c>
      <c r="E5275" s="4" t="s">
        <v>533</v>
      </c>
    </row>
    <row r="5276" spans="1:5" hidden="1" x14ac:dyDescent="0.15">
      <c r="A5276" s="1" t="s">
        <v>478</v>
      </c>
      <c r="B5276" s="2">
        <v>346561</v>
      </c>
      <c r="C5276" s="3">
        <v>0.157</v>
      </c>
      <c r="D5276" s="4" t="s">
        <v>532</v>
      </c>
      <c r="E5276" s="4" t="s">
        <v>533</v>
      </c>
    </row>
    <row r="5277" spans="1:5" hidden="1" x14ac:dyDescent="0.15">
      <c r="A5277" s="1" t="s">
        <v>0</v>
      </c>
      <c r="B5277" s="2">
        <v>4715901</v>
      </c>
      <c r="C5277" s="3">
        <v>1</v>
      </c>
      <c r="D5277" s="4" t="s">
        <v>545</v>
      </c>
      <c r="E5277" s="4" t="s">
        <v>272</v>
      </c>
    </row>
    <row r="5278" spans="1:5" ht="26" hidden="1" x14ac:dyDescent="0.15">
      <c r="A5278" s="1" t="s">
        <v>3</v>
      </c>
      <c r="B5278" s="2">
        <v>38226</v>
      </c>
      <c r="C5278" s="3">
        <v>8.0000000000000002E-3</v>
      </c>
      <c r="D5278" s="4" t="s">
        <v>545</v>
      </c>
      <c r="E5278" s="4" t="s">
        <v>272</v>
      </c>
    </row>
    <row r="5279" spans="1:5" hidden="1" x14ac:dyDescent="0.15">
      <c r="A5279" s="1" t="s">
        <v>4</v>
      </c>
      <c r="B5279" s="2">
        <v>63466</v>
      </c>
      <c r="C5279" s="3">
        <v>1.3000000000000001E-2</v>
      </c>
      <c r="D5279" s="4" t="s">
        <v>545</v>
      </c>
      <c r="E5279" s="4" t="s">
        <v>272</v>
      </c>
    </row>
    <row r="5280" spans="1:5" ht="26" hidden="1" x14ac:dyDescent="0.15">
      <c r="A5280" s="1" t="s">
        <v>5</v>
      </c>
      <c r="B5280" s="2">
        <v>120868</v>
      </c>
      <c r="C5280" s="3">
        <v>2.6000000000000002E-2</v>
      </c>
      <c r="D5280" s="4" t="s">
        <v>545</v>
      </c>
      <c r="E5280" s="4" t="s">
        <v>272</v>
      </c>
    </row>
    <row r="5281" spans="1:5" ht="26" hidden="1" x14ac:dyDescent="0.15">
      <c r="A5281" s="1" t="s">
        <v>6</v>
      </c>
      <c r="B5281" s="2">
        <v>250118</v>
      </c>
      <c r="C5281" s="3">
        <v>5.2999999999999999E-2</v>
      </c>
      <c r="D5281" s="4" t="s">
        <v>545</v>
      </c>
      <c r="E5281" s="4" t="s">
        <v>272</v>
      </c>
    </row>
    <row r="5282" spans="1:5" ht="26" hidden="1" x14ac:dyDescent="0.15">
      <c r="A5282" s="1" t="s">
        <v>7</v>
      </c>
      <c r="B5282" s="2">
        <v>906244</v>
      </c>
      <c r="C5282" s="3">
        <v>0.192</v>
      </c>
      <c r="D5282" s="4" t="s">
        <v>545</v>
      </c>
      <c r="E5282" s="4" t="s">
        <v>272</v>
      </c>
    </row>
    <row r="5283" spans="1:5" ht="26" hidden="1" x14ac:dyDescent="0.15">
      <c r="A5283" s="1" t="s">
        <v>8</v>
      </c>
      <c r="B5283" s="2">
        <v>30908</v>
      </c>
      <c r="C5283" s="3">
        <v>6.9999999999999993E-3</v>
      </c>
      <c r="D5283" s="4" t="s">
        <v>545</v>
      </c>
      <c r="E5283" s="4" t="s">
        <v>272</v>
      </c>
    </row>
    <row r="5284" spans="1:5" ht="26" hidden="1" x14ac:dyDescent="0.15">
      <c r="A5284" s="1" t="s">
        <v>9</v>
      </c>
      <c r="B5284" s="2">
        <v>178445</v>
      </c>
      <c r="C5284" s="3">
        <v>3.7999999999999999E-2</v>
      </c>
      <c r="D5284" s="4" t="s">
        <v>545</v>
      </c>
      <c r="E5284" s="4" t="s">
        <v>272</v>
      </c>
    </row>
    <row r="5285" spans="1:5" ht="26" hidden="1" x14ac:dyDescent="0.15">
      <c r="A5285" s="1" t="s">
        <v>10</v>
      </c>
      <c r="B5285" s="2">
        <v>76435</v>
      </c>
      <c r="C5285" s="3">
        <v>1.6E-2</v>
      </c>
      <c r="D5285" s="4" t="s">
        <v>545</v>
      </c>
      <c r="E5285" s="4" t="s">
        <v>272</v>
      </c>
    </row>
    <row r="5286" spans="1:5" ht="26" hidden="1" x14ac:dyDescent="0.15">
      <c r="A5286" s="1" t="s">
        <v>11</v>
      </c>
      <c r="B5286" s="2">
        <v>238450</v>
      </c>
      <c r="C5286" s="3">
        <v>5.0999999999999997E-2</v>
      </c>
      <c r="D5286" s="4" t="s">
        <v>545</v>
      </c>
      <c r="E5286" s="4" t="s">
        <v>272</v>
      </c>
    </row>
    <row r="5287" spans="1:5" ht="26" hidden="1" x14ac:dyDescent="0.15">
      <c r="A5287" s="1" t="s">
        <v>12</v>
      </c>
      <c r="B5287" s="2">
        <v>38048</v>
      </c>
      <c r="C5287" s="3">
        <v>8.0000000000000002E-3</v>
      </c>
      <c r="D5287" s="4" t="s">
        <v>545</v>
      </c>
      <c r="E5287" s="4" t="s">
        <v>272</v>
      </c>
    </row>
    <row r="5288" spans="1:5" ht="26" hidden="1" x14ac:dyDescent="0.15">
      <c r="A5288" s="1" t="s">
        <v>13</v>
      </c>
      <c r="B5288" s="2">
        <v>25158</v>
      </c>
      <c r="C5288" s="3">
        <v>5.0000000000000001E-3</v>
      </c>
      <c r="D5288" s="4" t="s">
        <v>545</v>
      </c>
      <c r="E5288" s="4" t="s">
        <v>272</v>
      </c>
    </row>
    <row r="5289" spans="1:5" hidden="1" x14ac:dyDescent="0.15">
      <c r="A5289" s="1" t="s">
        <v>14</v>
      </c>
      <c r="B5289" s="2">
        <v>369674</v>
      </c>
      <c r="C5289" s="3">
        <v>7.8E-2</v>
      </c>
      <c r="D5289" s="4" t="s">
        <v>545</v>
      </c>
      <c r="E5289" s="4" t="s">
        <v>272</v>
      </c>
    </row>
    <row r="5290" spans="1:5" ht="26" hidden="1" x14ac:dyDescent="0.15">
      <c r="A5290" s="1" t="s">
        <v>15</v>
      </c>
      <c r="B5290" s="2">
        <v>286872</v>
      </c>
      <c r="C5290" s="3">
        <v>6.0999999999999999E-2</v>
      </c>
      <c r="D5290" s="4" t="s">
        <v>545</v>
      </c>
      <c r="E5290" s="4" t="s">
        <v>272</v>
      </c>
    </row>
    <row r="5291" spans="1:5" ht="26" hidden="1" x14ac:dyDescent="0.15">
      <c r="A5291" s="1" t="s">
        <v>16</v>
      </c>
      <c r="B5291" s="2">
        <v>147624</v>
      </c>
      <c r="C5291" s="3">
        <v>3.1E-2</v>
      </c>
      <c r="D5291" s="4" t="s">
        <v>545</v>
      </c>
      <c r="E5291" s="4" t="s">
        <v>272</v>
      </c>
    </row>
    <row r="5292" spans="1:5" ht="26" hidden="1" x14ac:dyDescent="0.15">
      <c r="A5292" s="1" t="s">
        <v>17</v>
      </c>
      <c r="B5292" s="2">
        <v>65929</v>
      </c>
      <c r="C5292" s="3">
        <v>1.3999999999999999E-2</v>
      </c>
      <c r="D5292" s="4" t="s">
        <v>545</v>
      </c>
      <c r="E5292" s="4" t="s">
        <v>272</v>
      </c>
    </row>
    <row r="5293" spans="1:5" hidden="1" x14ac:dyDescent="0.15">
      <c r="A5293" s="1" t="s">
        <v>18</v>
      </c>
      <c r="B5293" s="2">
        <v>25017</v>
      </c>
      <c r="C5293" s="3">
        <v>5.0000000000000001E-3</v>
      </c>
      <c r="D5293" s="4" t="s">
        <v>545</v>
      </c>
      <c r="E5293" s="4" t="s">
        <v>272</v>
      </c>
    </row>
    <row r="5294" spans="1:5" hidden="1" x14ac:dyDescent="0.15">
      <c r="A5294" s="1" t="s">
        <v>19</v>
      </c>
      <c r="B5294" s="2">
        <v>475594</v>
      </c>
      <c r="C5294" s="3">
        <v>0.10099999999999999</v>
      </c>
      <c r="D5294" s="4" t="s">
        <v>545</v>
      </c>
      <c r="E5294" s="4" t="s">
        <v>272</v>
      </c>
    </row>
    <row r="5295" spans="1:5" hidden="1" x14ac:dyDescent="0.15">
      <c r="A5295" s="1" t="s">
        <v>20</v>
      </c>
      <c r="B5295" s="2">
        <v>237738</v>
      </c>
      <c r="C5295" s="3">
        <v>0.05</v>
      </c>
      <c r="D5295" s="4" t="s">
        <v>545</v>
      </c>
      <c r="E5295" s="4" t="s">
        <v>272</v>
      </c>
    </row>
    <row r="5296" spans="1:5" ht="26" hidden="1" x14ac:dyDescent="0.15">
      <c r="A5296" s="1" t="s">
        <v>21</v>
      </c>
      <c r="B5296" s="2">
        <v>81228</v>
      </c>
      <c r="C5296" s="3">
        <v>1.7000000000000001E-2</v>
      </c>
      <c r="D5296" s="4" t="s">
        <v>545</v>
      </c>
      <c r="E5296" s="4" t="s">
        <v>272</v>
      </c>
    </row>
    <row r="5297" spans="1:5" ht="26" hidden="1" x14ac:dyDescent="0.15">
      <c r="A5297" s="1" t="s">
        <v>22</v>
      </c>
      <c r="B5297" s="2">
        <v>271089</v>
      </c>
      <c r="C5297" s="3">
        <v>5.7000000000000002E-2</v>
      </c>
      <c r="D5297" s="4" t="s">
        <v>545</v>
      </c>
      <c r="E5297" s="4" t="s">
        <v>272</v>
      </c>
    </row>
    <row r="5298" spans="1:5" ht="26" hidden="1" x14ac:dyDescent="0.15">
      <c r="A5298" s="1" t="s">
        <v>23</v>
      </c>
      <c r="B5298" s="2">
        <v>33349</v>
      </c>
      <c r="C5298" s="3">
        <v>6.9999999999999993E-3</v>
      </c>
      <c r="D5298" s="4" t="s">
        <v>545</v>
      </c>
      <c r="E5298" s="4" t="s">
        <v>272</v>
      </c>
    </row>
    <row r="5299" spans="1:5" ht="26" hidden="1" x14ac:dyDescent="0.15">
      <c r="A5299" s="1" t="s">
        <v>24</v>
      </c>
      <c r="B5299" s="2">
        <v>10747</v>
      </c>
      <c r="C5299" s="3">
        <v>2E-3</v>
      </c>
      <c r="D5299" s="4" t="s">
        <v>545</v>
      </c>
      <c r="E5299" s="4" t="s">
        <v>272</v>
      </c>
    </row>
    <row r="5300" spans="1:5" ht="26" hidden="1" x14ac:dyDescent="0.15">
      <c r="A5300" s="1" t="s">
        <v>25</v>
      </c>
      <c r="B5300" s="2">
        <v>51702</v>
      </c>
      <c r="C5300" s="3">
        <v>1.1000000000000001E-2</v>
      </c>
      <c r="D5300" s="4" t="s">
        <v>545</v>
      </c>
      <c r="E5300" s="4" t="s">
        <v>272</v>
      </c>
    </row>
    <row r="5301" spans="1:5" hidden="1" x14ac:dyDescent="0.15">
      <c r="A5301" s="1" t="s">
        <v>26</v>
      </c>
      <c r="B5301" s="2">
        <v>33345</v>
      </c>
      <c r="C5301" s="3">
        <v>6.9999999999999993E-3</v>
      </c>
      <c r="D5301" s="4" t="s">
        <v>545</v>
      </c>
      <c r="E5301" s="4" t="s">
        <v>272</v>
      </c>
    </row>
    <row r="5302" spans="1:5" hidden="1" x14ac:dyDescent="0.15">
      <c r="A5302" s="1" t="s">
        <v>27</v>
      </c>
      <c r="B5302" s="2">
        <v>187290</v>
      </c>
      <c r="C5302" s="3">
        <v>0.04</v>
      </c>
      <c r="D5302" s="4" t="s">
        <v>545</v>
      </c>
      <c r="E5302" s="4" t="s">
        <v>272</v>
      </c>
    </row>
    <row r="5303" spans="1:5" hidden="1" x14ac:dyDescent="0.15">
      <c r="A5303" s="1" t="s">
        <v>28</v>
      </c>
      <c r="B5303" s="2">
        <v>599203</v>
      </c>
      <c r="C5303" s="3">
        <v>0.127</v>
      </c>
      <c r="D5303" s="4" t="s">
        <v>545</v>
      </c>
      <c r="E5303" s="4" t="s">
        <v>272</v>
      </c>
    </row>
    <row r="5304" spans="1:5" hidden="1" x14ac:dyDescent="0.15">
      <c r="A5304" s="1" t="s">
        <v>29</v>
      </c>
      <c r="B5304" s="2">
        <v>1488377</v>
      </c>
      <c r="C5304" s="3">
        <v>0.316</v>
      </c>
      <c r="D5304" s="4" t="s">
        <v>545</v>
      </c>
      <c r="E5304" s="4" t="s">
        <v>272</v>
      </c>
    </row>
    <row r="5305" spans="1:5" hidden="1" x14ac:dyDescent="0.15">
      <c r="A5305" s="1" t="s">
        <v>30</v>
      </c>
      <c r="B5305" s="2">
        <v>85443</v>
      </c>
      <c r="C5305" s="3">
        <v>1.8000000000000002E-2</v>
      </c>
      <c r="D5305" s="4" t="s">
        <v>545</v>
      </c>
      <c r="E5305" s="4" t="s">
        <v>272</v>
      </c>
    </row>
    <row r="5306" spans="1:5" ht="39" hidden="1" x14ac:dyDescent="0.15">
      <c r="A5306" s="1" t="s">
        <v>31</v>
      </c>
      <c r="B5306" s="2">
        <v>93788</v>
      </c>
      <c r="C5306" s="3">
        <v>0.02</v>
      </c>
      <c r="D5306" s="4" t="s">
        <v>545</v>
      </c>
      <c r="E5306" s="4" t="s">
        <v>272</v>
      </c>
    </row>
    <row r="5307" spans="1:5" hidden="1" x14ac:dyDescent="0.15">
      <c r="A5307" s="1" t="s">
        <v>32</v>
      </c>
      <c r="B5307" s="2">
        <v>114132</v>
      </c>
      <c r="C5307" s="3">
        <v>2.4E-2</v>
      </c>
      <c r="D5307" s="4" t="s">
        <v>545</v>
      </c>
      <c r="E5307" s="4" t="s">
        <v>272</v>
      </c>
    </row>
    <row r="5308" spans="1:5" hidden="1" x14ac:dyDescent="0.15">
      <c r="A5308" s="1" t="s">
        <v>33</v>
      </c>
      <c r="B5308" s="2">
        <v>1304919</v>
      </c>
      <c r="C5308" s="3">
        <v>0.27699999999999997</v>
      </c>
      <c r="D5308" s="4" t="s">
        <v>545</v>
      </c>
      <c r="E5308" s="4" t="s">
        <v>272</v>
      </c>
    </row>
    <row r="5309" spans="1:5" hidden="1" x14ac:dyDescent="0.15">
      <c r="A5309" s="1" t="s">
        <v>34</v>
      </c>
      <c r="B5309" s="2">
        <v>252764</v>
      </c>
      <c r="C5309" s="3">
        <v>5.4000000000000006E-2</v>
      </c>
      <c r="D5309" s="4" t="s">
        <v>545</v>
      </c>
      <c r="E5309" s="4" t="s">
        <v>272</v>
      </c>
    </row>
    <row r="5310" spans="1:5" hidden="1" x14ac:dyDescent="0.15">
      <c r="A5310" s="1" t="s">
        <v>35</v>
      </c>
      <c r="B5310" s="2">
        <v>305218</v>
      </c>
      <c r="C5310" s="3">
        <v>6.5000000000000002E-2</v>
      </c>
      <c r="D5310" s="4" t="s">
        <v>545</v>
      </c>
      <c r="E5310" s="4" t="s">
        <v>272</v>
      </c>
    </row>
    <row r="5311" spans="1:5" ht="26" hidden="1" x14ac:dyDescent="0.15">
      <c r="A5311" s="1" t="s">
        <v>36</v>
      </c>
      <c r="B5311" s="2">
        <v>151926</v>
      </c>
      <c r="C5311" s="3">
        <v>3.2000000000000001E-2</v>
      </c>
      <c r="D5311" s="4" t="s">
        <v>545</v>
      </c>
      <c r="E5311" s="4" t="s">
        <v>272</v>
      </c>
    </row>
    <row r="5312" spans="1:5" hidden="1" x14ac:dyDescent="0.15">
      <c r="A5312" s="1" t="s">
        <v>37</v>
      </c>
      <c r="B5312" s="2">
        <v>97127</v>
      </c>
      <c r="C5312" s="3">
        <v>2.1000000000000001E-2</v>
      </c>
      <c r="D5312" s="4" t="s">
        <v>545</v>
      </c>
      <c r="E5312" s="4" t="s">
        <v>272</v>
      </c>
    </row>
    <row r="5313" spans="1:5" ht="39" hidden="1" x14ac:dyDescent="0.15">
      <c r="A5313" s="1" t="s">
        <v>38</v>
      </c>
      <c r="B5313" s="2">
        <v>71723</v>
      </c>
      <c r="C5313" s="3">
        <v>1.4999999999999999E-2</v>
      </c>
      <c r="D5313" s="4" t="s">
        <v>545</v>
      </c>
      <c r="E5313" s="4" t="s">
        <v>272</v>
      </c>
    </row>
    <row r="5314" spans="1:5" hidden="1" x14ac:dyDescent="0.15">
      <c r="A5314" s="1" t="s">
        <v>39</v>
      </c>
      <c r="B5314" s="2">
        <v>205469</v>
      </c>
      <c r="C5314" s="3">
        <v>4.4000000000000004E-2</v>
      </c>
      <c r="D5314" s="4" t="s">
        <v>545</v>
      </c>
      <c r="E5314" s="4" t="s">
        <v>272</v>
      </c>
    </row>
    <row r="5315" spans="1:5" hidden="1" x14ac:dyDescent="0.15">
      <c r="A5315" s="1" t="s">
        <v>40</v>
      </c>
      <c r="B5315" s="2">
        <v>73586</v>
      </c>
      <c r="C5315" s="3">
        <v>1.6E-2</v>
      </c>
      <c r="D5315" s="4" t="s">
        <v>545</v>
      </c>
      <c r="E5315" s="4" t="s">
        <v>272</v>
      </c>
    </row>
    <row r="5316" spans="1:5" hidden="1" x14ac:dyDescent="0.15">
      <c r="A5316" s="1" t="s">
        <v>41</v>
      </c>
      <c r="B5316" s="2">
        <v>88987</v>
      </c>
      <c r="C5316" s="3">
        <v>1.9E-2</v>
      </c>
      <c r="D5316" s="4" t="s">
        <v>545</v>
      </c>
      <c r="E5316" s="4" t="s">
        <v>272</v>
      </c>
    </row>
    <row r="5317" spans="1:5" hidden="1" x14ac:dyDescent="0.15">
      <c r="A5317" s="1" t="s">
        <v>42</v>
      </c>
      <c r="B5317" s="2">
        <v>159649</v>
      </c>
      <c r="C5317" s="3">
        <v>3.4000000000000002E-2</v>
      </c>
      <c r="D5317" s="4" t="s">
        <v>545</v>
      </c>
      <c r="E5317" s="4" t="s">
        <v>272</v>
      </c>
    </row>
    <row r="5318" spans="1:5" hidden="1" x14ac:dyDescent="0.15">
      <c r="A5318" s="1" t="s">
        <v>43</v>
      </c>
      <c r="B5318" s="2">
        <v>250217</v>
      </c>
      <c r="C5318" s="3">
        <v>5.2999999999999999E-2</v>
      </c>
      <c r="D5318" s="4" t="s">
        <v>545</v>
      </c>
      <c r="E5318" s="4" t="s">
        <v>272</v>
      </c>
    </row>
    <row r="5319" spans="1:5" ht="26" hidden="1" x14ac:dyDescent="0.15">
      <c r="A5319" s="1" t="s">
        <v>44</v>
      </c>
      <c r="B5319" s="2">
        <v>387913</v>
      </c>
      <c r="C5319" s="3">
        <v>8.199999999999999E-2</v>
      </c>
      <c r="D5319" s="4" t="s">
        <v>545</v>
      </c>
      <c r="E5319" s="4" t="s">
        <v>272</v>
      </c>
    </row>
    <row r="5320" spans="1:5" hidden="1" x14ac:dyDescent="0.15">
      <c r="A5320" s="1" t="s">
        <v>45</v>
      </c>
      <c r="B5320" s="2">
        <v>940266</v>
      </c>
      <c r="C5320" s="3">
        <v>0.19899999999999998</v>
      </c>
      <c r="D5320" s="4" t="s">
        <v>545</v>
      </c>
      <c r="E5320" s="4" t="s">
        <v>272</v>
      </c>
    </row>
    <row r="5321" spans="1:5" ht="26" hidden="1" x14ac:dyDescent="0.15">
      <c r="A5321" s="1" t="s">
        <v>46</v>
      </c>
      <c r="B5321" s="2">
        <v>1228649</v>
      </c>
      <c r="C5321" s="3">
        <v>0.26100000000000001</v>
      </c>
      <c r="D5321" s="4" t="s">
        <v>545</v>
      </c>
      <c r="E5321" s="4" t="s">
        <v>272</v>
      </c>
    </row>
    <row r="5322" spans="1:5" hidden="1" x14ac:dyDescent="0.15">
      <c r="A5322" s="1" t="s">
        <v>47</v>
      </c>
      <c r="B5322" s="2">
        <v>2021494</v>
      </c>
      <c r="C5322" s="3">
        <v>0.42899999999999999</v>
      </c>
      <c r="D5322" s="4" t="s">
        <v>545</v>
      </c>
      <c r="E5322" s="4" t="s">
        <v>272</v>
      </c>
    </row>
    <row r="5323" spans="1:5" hidden="1" x14ac:dyDescent="0.15">
      <c r="A5323" s="1" t="s">
        <v>48</v>
      </c>
      <c r="B5323" s="2">
        <v>326800</v>
      </c>
      <c r="C5323" s="3">
        <v>6.9000000000000006E-2</v>
      </c>
      <c r="D5323" s="4" t="s">
        <v>545</v>
      </c>
      <c r="E5323" s="4" t="s">
        <v>272</v>
      </c>
    </row>
    <row r="5324" spans="1:5" hidden="1" x14ac:dyDescent="0.15">
      <c r="A5324" s="1" t="s">
        <v>49</v>
      </c>
      <c r="B5324" s="2">
        <v>729287</v>
      </c>
      <c r="C5324" s="3">
        <v>0.155</v>
      </c>
      <c r="D5324" s="4" t="s">
        <v>545</v>
      </c>
      <c r="E5324" s="4" t="s">
        <v>272</v>
      </c>
    </row>
    <row r="5325" spans="1:5" ht="26" hidden="1" x14ac:dyDescent="0.15">
      <c r="A5325" s="1" t="s">
        <v>50</v>
      </c>
      <c r="B5325" s="2">
        <v>660595</v>
      </c>
      <c r="C5325" s="3">
        <v>0.14000000000000001</v>
      </c>
      <c r="D5325" s="4" t="s">
        <v>545</v>
      </c>
      <c r="E5325" s="4" t="s">
        <v>272</v>
      </c>
    </row>
    <row r="5326" spans="1:5" hidden="1" x14ac:dyDescent="0.15">
      <c r="A5326" s="1" t="s">
        <v>51</v>
      </c>
      <c r="B5326" s="2">
        <v>1224422</v>
      </c>
      <c r="C5326" s="3">
        <v>0.26</v>
      </c>
      <c r="D5326" s="4" t="s">
        <v>545</v>
      </c>
      <c r="E5326" s="4" t="s">
        <v>272</v>
      </c>
    </row>
    <row r="5327" spans="1:5" hidden="1" x14ac:dyDescent="0.15">
      <c r="A5327" s="1" t="s">
        <v>52</v>
      </c>
      <c r="B5327" s="2">
        <v>540050</v>
      </c>
      <c r="C5327" s="3">
        <v>0.115</v>
      </c>
      <c r="D5327" s="4" t="s">
        <v>545</v>
      </c>
      <c r="E5327" s="4" t="s">
        <v>272</v>
      </c>
    </row>
    <row r="5328" spans="1:5" ht="26" hidden="1" x14ac:dyDescent="0.15">
      <c r="A5328" s="1" t="s">
        <v>53</v>
      </c>
      <c r="B5328" s="2">
        <v>334059</v>
      </c>
      <c r="C5328" s="3">
        <v>7.0999999999999994E-2</v>
      </c>
      <c r="D5328" s="4" t="s">
        <v>545</v>
      </c>
      <c r="E5328" s="4" t="s">
        <v>272</v>
      </c>
    </row>
    <row r="5329" spans="1:5" hidden="1" x14ac:dyDescent="0.15">
      <c r="A5329" s="1" t="s">
        <v>54</v>
      </c>
      <c r="B5329" s="2">
        <v>1515525</v>
      </c>
      <c r="C5329" s="3">
        <v>0.32100000000000001</v>
      </c>
      <c r="D5329" s="4" t="s">
        <v>545</v>
      </c>
      <c r="E5329" s="4" t="s">
        <v>272</v>
      </c>
    </row>
    <row r="5330" spans="1:5" ht="26" hidden="1" x14ac:dyDescent="0.15">
      <c r="A5330" s="1" t="s">
        <v>55</v>
      </c>
      <c r="B5330" s="2">
        <v>1295236</v>
      </c>
      <c r="C5330" s="3">
        <v>0.27500000000000002</v>
      </c>
      <c r="D5330" s="4" t="s">
        <v>545</v>
      </c>
      <c r="E5330" s="4" t="s">
        <v>272</v>
      </c>
    </row>
    <row r="5331" spans="1:5" hidden="1" x14ac:dyDescent="0.15">
      <c r="A5331" s="1" t="s">
        <v>56</v>
      </c>
      <c r="B5331" s="2">
        <v>837590</v>
      </c>
      <c r="C5331" s="3">
        <v>0.17800000000000002</v>
      </c>
      <c r="D5331" s="4" t="s">
        <v>545</v>
      </c>
      <c r="E5331" s="4" t="s">
        <v>272</v>
      </c>
    </row>
    <row r="5332" spans="1:5" hidden="1" x14ac:dyDescent="0.15">
      <c r="A5332" s="1" t="s">
        <v>57</v>
      </c>
      <c r="B5332" s="2">
        <v>547498</v>
      </c>
      <c r="C5332" s="3">
        <v>0.11599999999999999</v>
      </c>
      <c r="D5332" s="4" t="s">
        <v>545</v>
      </c>
      <c r="E5332" s="4" t="s">
        <v>272</v>
      </c>
    </row>
    <row r="5333" spans="1:5" hidden="1" x14ac:dyDescent="0.15">
      <c r="A5333" s="1" t="s">
        <v>58</v>
      </c>
      <c r="B5333" s="2">
        <v>412403</v>
      </c>
      <c r="C5333" s="3">
        <v>8.6999999999999994E-2</v>
      </c>
      <c r="D5333" s="4" t="s">
        <v>545</v>
      </c>
      <c r="E5333" s="4" t="s">
        <v>272</v>
      </c>
    </row>
    <row r="5334" spans="1:5" hidden="1" x14ac:dyDescent="0.15">
      <c r="A5334" s="1" t="s">
        <v>59</v>
      </c>
      <c r="B5334" s="2">
        <v>2304344</v>
      </c>
      <c r="C5334" s="3">
        <v>0.48899999999999999</v>
      </c>
      <c r="D5334" s="4" t="s">
        <v>545</v>
      </c>
      <c r="E5334" s="4" t="s">
        <v>272</v>
      </c>
    </row>
    <row r="5335" spans="1:5" hidden="1" x14ac:dyDescent="0.15">
      <c r="A5335" s="1" t="s">
        <v>60</v>
      </c>
      <c r="B5335" s="2">
        <v>1014767</v>
      </c>
      <c r="C5335" s="3">
        <v>0.215</v>
      </c>
      <c r="D5335" s="4" t="s">
        <v>545</v>
      </c>
      <c r="E5335" s="4" t="s">
        <v>272</v>
      </c>
    </row>
    <row r="5336" spans="1:5" ht="26" hidden="1" x14ac:dyDescent="0.15">
      <c r="A5336" s="1" t="s">
        <v>61</v>
      </c>
      <c r="B5336" s="2">
        <v>778865</v>
      </c>
      <c r="C5336" s="3">
        <v>0.16500000000000001</v>
      </c>
      <c r="D5336" s="4" t="s">
        <v>545</v>
      </c>
      <c r="E5336" s="4" t="s">
        <v>272</v>
      </c>
    </row>
    <row r="5337" spans="1:5" hidden="1" x14ac:dyDescent="0.15">
      <c r="A5337" s="1" t="s">
        <v>62</v>
      </c>
      <c r="B5337" s="2">
        <v>817984</v>
      </c>
      <c r="C5337" s="3">
        <v>0.17300000000000001</v>
      </c>
      <c r="D5337" s="4" t="s">
        <v>545</v>
      </c>
      <c r="E5337" s="4" t="s">
        <v>272</v>
      </c>
    </row>
    <row r="5338" spans="1:5" ht="26" hidden="1" x14ac:dyDescent="0.15">
      <c r="A5338" s="1" t="s">
        <v>63</v>
      </c>
      <c r="B5338" s="2">
        <v>522557</v>
      </c>
      <c r="C5338" s="3">
        <v>0.111</v>
      </c>
      <c r="D5338" s="4" t="s">
        <v>545</v>
      </c>
      <c r="E5338" s="4" t="s">
        <v>272</v>
      </c>
    </row>
    <row r="5339" spans="1:5" ht="26" hidden="1" x14ac:dyDescent="0.15">
      <c r="A5339" s="1" t="s">
        <v>64</v>
      </c>
      <c r="B5339" s="2">
        <v>234447</v>
      </c>
      <c r="C5339" s="3">
        <v>0.05</v>
      </c>
      <c r="D5339" s="4" t="s">
        <v>545</v>
      </c>
      <c r="E5339" s="4" t="s">
        <v>272</v>
      </c>
    </row>
    <row r="5340" spans="1:5" hidden="1" x14ac:dyDescent="0.15">
      <c r="A5340" s="1" t="s">
        <v>65</v>
      </c>
      <c r="B5340" s="2">
        <v>561906</v>
      </c>
      <c r="C5340" s="3">
        <v>0.11900000000000001</v>
      </c>
      <c r="D5340" s="4" t="s">
        <v>545</v>
      </c>
      <c r="E5340" s="4" t="s">
        <v>272</v>
      </c>
    </row>
    <row r="5341" spans="1:5" hidden="1" x14ac:dyDescent="0.15">
      <c r="A5341" s="1" t="s">
        <v>66</v>
      </c>
      <c r="B5341" s="2">
        <v>252695</v>
      </c>
      <c r="C5341" s="3">
        <v>5.4000000000000006E-2</v>
      </c>
      <c r="D5341" s="4" t="s">
        <v>545</v>
      </c>
      <c r="E5341" s="4" t="s">
        <v>272</v>
      </c>
    </row>
    <row r="5342" spans="1:5" hidden="1" x14ac:dyDescent="0.15">
      <c r="A5342" s="1" t="s">
        <v>67</v>
      </c>
      <c r="B5342" s="2">
        <v>842898</v>
      </c>
      <c r="C5342" s="3">
        <v>0.17899999999999999</v>
      </c>
      <c r="D5342" s="4" t="s">
        <v>545</v>
      </c>
      <c r="E5342" s="4" t="s">
        <v>272</v>
      </c>
    </row>
    <row r="5343" spans="1:5" hidden="1" x14ac:dyDescent="0.15">
      <c r="A5343" s="1" t="s">
        <v>68</v>
      </c>
      <c r="B5343" s="2">
        <v>1824619</v>
      </c>
      <c r="C5343" s="3">
        <v>0.38700000000000001</v>
      </c>
      <c r="D5343" s="4" t="s">
        <v>545</v>
      </c>
      <c r="E5343" s="4" t="s">
        <v>272</v>
      </c>
    </row>
    <row r="5344" spans="1:5" hidden="1" x14ac:dyDescent="0.15">
      <c r="A5344" s="1" t="s">
        <v>69</v>
      </c>
      <c r="B5344" s="2">
        <v>2952890</v>
      </c>
      <c r="C5344" s="3">
        <v>0.626</v>
      </c>
      <c r="D5344" s="4" t="s">
        <v>545</v>
      </c>
      <c r="E5344" s="4" t="s">
        <v>272</v>
      </c>
    </row>
    <row r="5345" spans="1:5" hidden="1" x14ac:dyDescent="0.15">
      <c r="A5345" s="1" t="s">
        <v>70</v>
      </c>
      <c r="B5345" s="2">
        <v>683318</v>
      </c>
      <c r="C5345" s="3">
        <v>0.14499999999999999</v>
      </c>
      <c r="D5345" s="4" t="s">
        <v>545</v>
      </c>
      <c r="E5345" s="4" t="s">
        <v>272</v>
      </c>
    </row>
    <row r="5346" spans="1:5" ht="26" hidden="1" x14ac:dyDescent="0.15">
      <c r="A5346" s="1" t="s">
        <v>71</v>
      </c>
      <c r="B5346" s="2">
        <v>381177</v>
      </c>
      <c r="C5346" s="3">
        <v>8.1000000000000003E-2</v>
      </c>
      <c r="D5346" s="4" t="s">
        <v>545</v>
      </c>
      <c r="E5346" s="4" t="s">
        <v>272</v>
      </c>
    </row>
    <row r="5347" spans="1:5" hidden="1" x14ac:dyDescent="0.15">
      <c r="A5347" s="1" t="s">
        <v>72</v>
      </c>
      <c r="B5347" s="2">
        <v>464183</v>
      </c>
      <c r="C5347" s="3">
        <v>9.8000000000000004E-2</v>
      </c>
      <c r="D5347" s="4" t="s">
        <v>545</v>
      </c>
      <c r="E5347" s="4" t="s">
        <v>272</v>
      </c>
    </row>
    <row r="5348" spans="1:5" hidden="1" x14ac:dyDescent="0.15">
      <c r="A5348" s="1" t="s">
        <v>73</v>
      </c>
      <c r="B5348" s="2">
        <v>2663573</v>
      </c>
      <c r="C5348" s="3">
        <v>0.56499999999999995</v>
      </c>
      <c r="D5348" s="4" t="s">
        <v>545</v>
      </c>
      <c r="E5348" s="4" t="s">
        <v>272</v>
      </c>
    </row>
    <row r="5349" spans="1:5" hidden="1" x14ac:dyDescent="0.15">
      <c r="A5349" s="1" t="s">
        <v>74</v>
      </c>
      <c r="B5349" s="2">
        <v>1022274</v>
      </c>
      <c r="C5349" s="3">
        <v>0.217</v>
      </c>
      <c r="D5349" s="4" t="s">
        <v>545</v>
      </c>
      <c r="E5349" s="4" t="s">
        <v>272</v>
      </c>
    </row>
    <row r="5350" spans="1:5" hidden="1" x14ac:dyDescent="0.15">
      <c r="A5350" s="1" t="s">
        <v>75</v>
      </c>
      <c r="B5350" s="2">
        <v>1027653</v>
      </c>
      <c r="C5350" s="3">
        <v>0.218</v>
      </c>
      <c r="D5350" s="4" t="s">
        <v>545</v>
      </c>
      <c r="E5350" s="4" t="s">
        <v>272</v>
      </c>
    </row>
    <row r="5351" spans="1:5" hidden="1" x14ac:dyDescent="0.15">
      <c r="A5351" s="1" t="s">
        <v>76</v>
      </c>
      <c r="B5351" s="2">
        <v>845628</v>
      </c>
      <c r="C5351" s="3">
        <v>0.17899999999999999</v>
      </c>
      <c r="D5351" s="4" t="s">
        <v>545</v>
      </c>
      <c r="E5351" s="4" t="s">
        <v>272</v>
      </c>
    </row>
    <row r="5352" spans="1:5" hidden="1" x14ac:dyDescent="0.15">
      <c r="A5352" s="1" t="s">
        <v>77</v>
      </c>
      <c r="B5352" s="2">
        <v>817623</v>
      </c>
      <c r="C5352" s="3">
        <v>0.17300000000000001</v>
      </c>
      <c r="D5352" s="4" t="s">
        <v>545</v>
      </c>
      <c r="E5352" s="4" t="s">
        <v>272</v>
      </c>
    </row>
    <row r="5353" spans="1:5" ht="26" hidden="1" x14ac:dyDescent="0.15">
      <c r="A5353" s="1" t="s">
        <v>78</v>
      </c>
      <c r="B5353" s="2">
        <v>368097</v>
      </c>
      <c r="C5353" s="3">
        <v>7.8E-2</v>
      </c>
      <c r="D5353" s="4" t="s">
        <v>545</v>
      </c>
      <c r="E5353" s="4" t="s">
        <v>272</v>
      </c>
    </row>
    <row r="5354" spans="1:5" hidden="1" x14ac:dyDescent="0.15">
      <c r="A5354" s="1" t="s">
        <v>79</v>
      </c>
      <c r="B5354" s="2">
        <v>698526</v>
      </c>
      <c r="C5354" s="3">
        <v>0.14800000000000002</v>
      </c>
      <c r="D5354" s="4" t="s">
        <v>545</v>
      </c>
      <c r="E5354" s="4" t="s">
        <v>272</v>
      </c>
    </row>
    <row r="5355" spans="1:5" hidden="1" x14ac:dyDescent="0.15">
      <c r="A5355" s="1" t="s">
        <v>80</v>
      </c>
      <c r="B5355" s="2">
        <v>662822</v>
      </c>
      <c r="C5355" s="3">
        <v>0.14099999999999999</v>
      </c>
      <c r="D5355" s="4" t="s">
        <v>545</v>
      </c>
      <c r="E5355" s="4" t="s">
        <v>272</v>
      </c>
    </row>
    <row r="5356" spans="1:5" ht="26" hidden="1" x14ac:dyDescent="0.15">
      <c r="A5356" s="1" t="s">
        <v>81</v>
      </c>
      <c r="B5356" s="2">
        <v>773754</v>
      </c>
      <c r="C5356" s="3">
        <v>0.16399999999999998</v>
      </c>
      <c r="D5356" s="4" t="s">
        <v>545</v>
      </c>
      <c r="E5356" s="4" t="s">
        <v>272</v>
      </c>
    </row>
    <row r="5357" spans="1:5" hidden="1" x14ac:dyDescent="0.15">
      <c r="A5357" s="1" t="s">
        <v>82</v>
      </c>
      <c r="B5357" s="2">
        <v>604371</v>
      </c>
      <c r="C5357" s="3">
        <v>0.128</v>
      </c>
      <c r="D5357" s="4" t="s">
        <v>545</v>
      </c>
      <c r="E5357" s="4" t="s">
        <v>272</v>
      </c>
    </row>
    <row r="5358" spans="1:5" hidden="1" x14ac:dyDescent="0.15">
      <c r="A5358" s="4"/>
      <c r="B5358" s="4"/>
      <c r="C5358" s="4"/>
      <c r="D5358" s="4" t="s">
        <v>545</v>
      </c>
      <c r="E5358" s="4" t="s">
        <v>272</v>
      </c>
    </row>
    <row r="5359" spans="1:5" hidden="1" x14ac:dyDescent="0.15">
      <c r="A5359" s="4"/>
      <c r="B5359" s="4"/>
      <c r="C5359" s="4"/>
      <c r="D5359" s="4" t="s">
        <v>545</v>
      </c>
      <c r="E5359" s="4" t="s">
        <v>272</v>
      </c>
    </row>
    <row r="5360" spans="1:5" hidden="1" x14ac:dyDescent="0.15">
      <c r="A5360" s="1" t="s">
        <v>273</v>
      </c>
      <c r="B5360" s="2">
        <v>2073790</v>
      </c>
      <c r="C5360" s="3">
        <v>0.44</v>
      </c>
      <c r="D5360" s="4" t="s">
        <v>545</v>
      </c>
      <c r="E5360" s="4" t="s">
        <v>272</v>
      </c>
    </row>
    <row r="5361" spans="1:5" hidden="1" x14ac:dyDescent="0.15">
      <c r="A5361" s="1" t="s">
        <v>546</v>
      </c>
      <c r="B5361" s="2">
        <v>711445</v>
      </c>
      <c r="C5361" s="3">
        <v>0.151</v>
      </c>
      <c r="D5361" s="4" t="s">
        <v>545</v>
      </c>
      <c r="E5361" s="4" t="s">
        <v>272</v>
      </c>
    </row>
    <row r="5362" spans="1:5" ht="26" hidden="1" x14ac:dyDescent="0.15">
      <c r="A5362" s="1" t="s">
        <v>547</v>
      </c>
      <c r="B5362" s="2">
        <v>1544186</v>
      </c>
      <c r="C5362" s="3">
        <v>0.32700000000000001</v>
      </c>
      <c r="D5362" s="4" t="s">
        <v>545</v>
      </c>
      <c r="E5362" s="4" t="s">
        <v>272</v>
      </c>
    </row>
    <row r="5363" spans="1:5" ht="26" hidden="1" x14ac:dyDescent="0.15">
      <c r="A5363" s="1" t="s">
        <v>275</v>
      </c>
      <c r="B5363" s="2">
        <v>510657</v>
      </c>
      <c r="C5363" s="3">
        <v>0.10800000000000001</v>
      </c>
      <c r="D5363" s="4" t="s">
        <v>545</v>
      </c>
      <c r="E5363" s="4" t="s">
        <v>272</v>
      </c>
    </row>
    <row r="5364" spans="1:5" hidden="1" x14ac:dyDescent="0.15">
      <c r="A5364" s="1" t="s">
        <v>276</v>
      </c>
      <c r="B5364" s="2">
        <v>1294842</v>
      </c>
      <c r="C5364" s="3">
        <v>0.27500000000000002</v>
      </c>
      <c r="D5364" s="4" t="s">
        <v>545</v>
      </c>
      <c r="E5364" s="4" t="s">
        <v>272</v>
      </c>
    </row>
    <row r="5365" spans="1:5" hidden="1" x14ac:dyDescent="0.15">
      <c r="A5365" s="1" t="s">
        <v>277</v>
      </c>
      <c r="B5365" s="2">
        <v>2752761</v>
      </c>
      <c r="C5365" s="3">
        <v>0.58399999999999996</v>
      </c>
      <c r="D5365" s="4" t="s">
        <v>545</v>
      </c>
      <c r="E5365" s="4" t="s">
        <v>272</v>
      </c>
    </row>
    <row r="5366" spans="1:5" hidden="1" x14ac:dyDescent="0.15">
      <c r="A5366" s="1" t="s">
        <v>278</v>
      </c>
      <c r="B5366" s="2">
        <v>201160</v>
      </c>
      <c r="C5366" s="3">
        <v>4.2999999999999997E-2</v>
      </c>
      <c r="D5366" s="4" t="s">
        <v>545</v>
      </c>
      <c r="E5366" s="4" t="s">
        <v>272</v>
      </c>
    </row>
    <row r="5367" spans="1:5" ht="26" hidden="1" x14ac:dyDescent="0.15">
      <c r="A5367" s="1" t="s">
        <v>548</v>
      </c>
      <c r="B5367" s="2">
        <v>434406</v>
      </c>
      <c r="C5367" s="3">
        <v>9.1999999999999998E-2</v>
      </c>
      <c r="D5367" s="4" t="s">
        <v>545</v>
      </c>
      <c r="E5367" s="4" t="s">
        <v>272</v>
      </c>
    </row>
    <row r="5368" spans="1:5" ht="26" hidden="1" x14ac:dyDescent="0.15">
      <c r="A5368" s="1" t="s">
        <v>549</v>
      </c>
      <c r="B5368" s="2">
        <v>655671</v>
      </c>
      <c r="C5368" s="3">
        <v>0.13900000000000001</v>
      </c>
      <c r="D5368" s="4" t="s">
        <v>545</v>
      </c>
      <c r="E5368" s="4" t="s">
        <v>272</v>
      </c>
    </row>
    <row r="5369" spans="1:5" ht="26" hidden="1" x14ac:dyDescent="0.15">
      <c r="A5369" s="1" t="s">
        <v>550</v>
      </c>
      <c r="B5369" s="2">
        <v>139524</v>
      </c>
      <c r="C5369" s="3">
        <v>0.03</v>
      </c>
      <c r="D5369" s="4" t="s">
        <v>545</v>
      </c>
      <c r="E5369" s="4" t="s">
        <v>272</v>
      </c>
    </row>
    <row r="5370" spans="1:5" ht="26" hidden="1" x14ac:dyDescent="0.15">
      <c r="A5370" s="1" t="s">
        <v>551</v>
      </c>
      <c r="B5370" s="2">
        <v>198013</v>
      </c>
      <c r="C5370" s="3">
        <v>4.2000000000000003E-2</v>
      </c>
      <c r="D5370" s="4" t="s">
        <v>545</v>
      </c>
      <c r="E5370" s="4" t="s">
        <v>272</v>
      </c>
    </row>
    <row r="5371" spans="1:5" hidden="1" x14ac:dyDescent="0.15">
      <c r="A5371" s="1" t="s">
        <v>552</v>
      </c>
      <c r="B5371" s="2">
        <v>305169</v>
      </c>
      <c r="C5371" s="3">
        <v>6.5000000000000002E-2</v>
      </c>
      <c r="D5371" s="4" t="s">
        <v>545</v>
      </c>
      <c r="E5371" s="4" t="s">
        <v>272</v>
      </c>
    </row>
    <row r="5372" spans="1:5" ht="26" hidden="1" x14ac:dyDescent="0.15">
      <c r="A5372" s="1" t="s">
        <v>553</v>
      </c>
      <c r="B5372" s="2">
        <v>525257</v>
      </c>
      <c r="C5372" s="3">
        <v>0.111</v>
      </c>
      <c r="D5372" s="4" t="s">
        <v>545</v>
      </c>
      <c r="E5372" s="4" t="s">
        <v>272</v>
      </c>
    </row>
    <row r="5373" spans="1:5" ht="26" hidden="1" x14ac:dyDescent="0.15">
      <c r="A5373" s="1" t="s">
        <v>554</v>
      </c>
      <c r="B5373" s="2">
        <v>1044829</v>
      </c>
      <c r="C5373" s="3">
        <v>0.222</v>
      </c>
      <c r="D5373" s="4" t="s">
        <v>545</v>
      </c>
      <c r="E5373" s="4" t="s">
        <v>272</v>
      </c>
    </row>
    <row r="5374" spans="1:5" ht="26" hidden="1" x14ac:dyDescent="0.15">
      <c r="A5374" s="1" t="s">
        <v>555</v>
      </c>
      <c r="B5374" s="2">
        <v>602371</v>
      </c>
      <c r="C5374" s="3">
        <v>0.128</v>
      </c>
      <c r="D5374" s="4" t="s">
        <v>545</v>
      </c>
      <c r="E5374" s="4" t="s">
        <v>272</v>
      </c>
    </row>
    <row r="5375" spans="1:5" ht="26" hidden="1" x14ac:dyDescent="0.15">
      <c r="A5375" s="1" t="s">
        <v>556</v>
      </c>
      <c r="B5375" s="2">
        <v>980758</v>
      </c>
      <c r="C5375" s="3">
        <v>0.20800000000000002</v>
      </c>
      <c r="D5375" s="4" t="s">
        <v>545</v>
      </c>
      <c r="E5375" s="4" t="s">
        <v>272</v>
      </c>
    </row>
    <row r="5376" spans="1:5" ht="26" hidden="1" x14ac:dyDescent="0.15">
      <c r="A5376" s="1" t="s">
        <v>557</v>
      </c>
      <c r="B5376" s="2">
        <v>154964</v>
      </c>
      <c r="C5376" s="3">
        <v>3.3000000000000002E-2</v>
      </c>
      <c r="D5376" s="4" t="s">
        <v>545</v>
      </c>
      <c r="E5376" s="4" t="s">
        <v>272</v>
      </c>
    </row>
    <row r="5377" spans="1:5" hidden="1" x14ac:dyDescent="0.15">
      <c r="A5377" s="1" t="s">
        <v>0</v>
      </c>
      <c r="B5377" s="2">
        <v>1071528</v>
      </c>
      <c r="C5377" s="3">
        <v>1</v>
      </c>
      <c r="D5377" s="4" t="s">
        <v>558</v>
      </c>
      <c r="E5377" s="4" t="s">
        <v>559</v>
      </c>
    </row>
    <row r="5378" spans="1:5" ht="26" hidden="1" x14ac:dyDescent="0.15">
      <c r="A5378" s="1" t="s">
        <v>3</v>
      </c>
      <c r="B5378" s="2">
        <v>29000</v>
      </c>
      <c r="C5378" s="3">
        <v>2.7000000000000003E-2</v>
      </c>
      <c r="D5378" s="4" t="s">
        <v>558</v>
      </c>
      <c r="E5378" s="4" t="s">
        <v>559</v>
      </c>
    </row>
    <row r="5379" spans="1:5" hidden="1" x14ac:dyDescent="0.15">
      <c r="A5379" s="1" t="s">
        <v>4</v>
      </c>
      <c r="B5379" s="2">
        <v>23685</v>
      </c>
      <c r="C5379" s="3">
        <v>2.2000000000000002E-2</v>
      </c>
      <c r="D5379" s="4" t="s">
        <v>558</v>
      </c>
      <c r="E5379" s="4" t="s">
        <v>559</v>
      </c>
    </row>
    <row r="5380" spans="1:5" ht="26" hidden="1" x14ac:dyDescent="0.15">
      <c r="A5380" s="1" t="s">
        <v>5</v>
      </c>
      <c r="B5380" s="2">
        <v>52563</v>
      </c>
      <c r="C5380" s="3">
        <v>4.9000000000000002E-2</v>
      </c>
      <c r="D5380" s="4" t="s">
        <v>558</v>
      </c>
      <c r="E5380" s="4" t="s">
        <v>559</v>
      </c>
    </row>
    <row r="5381" spans="1:5" ht="26" hidden="1" x14ac:dyDescent="0.15">
      <c r="A5381" s="1" t="s">
        <v>6</v>
      </c>
      <c r="B5381" s="2">
        <v>67640</v>
      </c>
      <c r="C5381" s="3">
        <v>6.3E-2</v>
      </c>
      <c r="D5381" s="4" t="s">
        <v>558</v>
      </c>
      <c r="E5381" s="4" t="s">
        <v>559</v>
      </c>
    </row>
    <row r="5382" spans="1:5" ht="26" hidden="1" x14ac:dyDescent="0.15">
      <c r="A5382" s="1" t="s">
        <v>7</v>
      </c>
      <c r="B5382" s="2">
        <v>174738</v>
      </c>
      <c r="C5382" s="3">
        <v>0.16300000000000001</v>
      </c>
      <c r="D5382" s="4" t="s">
        <v>558</v>
      </c>
      <c r="E5382" s="4" t="s">
        <v>559</v>
      </c>
    </row>
    <row r="5383" spans="1:5" ht="26" hidden="1" x14ac:dyDescent="0.15">
      <c r="A5383" s="1" t="s">
        <v>8</v>
      </c>
      <c r="B5383" s="2">
        <v>11624</v>
      </c>
      <c r="C5383" s="3">
        <v>1.1000000000000001E-2</v>
      </c>
      <c r="D5383" s="4" t="s">
        <v>558</v>
      </c>
      <c r="E5383" s="4" t="s">
        <v>559</v>
      </c>
    </row>
    <row r="5384" spans="1:5" ht="26" hidden="1" x14ac:dyDescent="0.15">
      <c r="A5384" s="1" t="s">
        <v>9</v>
      </c>
      <c r="B5384" s="2">
        <v>18205</v>
      </c>
      <c r="C5384" s="3">
        <v>1.7000000000000001E-2</v>
      </c>
      <c r="D5384" s="4" t="s">
        <v>558</v>
      </c>
      <c r="E5384" s="4" t="s">
        <v>559</v>
      </c>
    </row>
    <row r="5385" spans="1:5" ht="26" hidden="1" x14ac:dyDescent="0.15">
      <c r="A5385" s="1" t="s">
        <v>10</v>
      </c>
      <c r="B5385" s="2">
        <v>70887</v>
      </c>
      <c r="C5385" s="3">
        <v>6.6000000000000003E-2</v>
      </c>
      <c r="D5385" s="4" t="s">
        <v>558</v>
      </c>
      <c r="E5385" s="4" t="s">
        <v>559</v>
      </c>
    </row>
    <row r="5386" spans="1:5" ht="26" hidden="1" x14ac:dyDescent="0.15">
      <c r="A5386" s="1" t="s">
        <v>11</v>
      </c>
      <c r="B5386" s="2">
        <v>64029</v>
      </c>
      <c r="C5386" s="3">
        <v>0.06</v>
      </c>
      <c r="D5386" s="4" t="s">
        <v>558</v>
      </c>
      <c r="E5386" s="4" t="s">
        <v>559</v>
      </c>
    </row>
    <row r="5387" spans="1:5" ht="26" hidden="1" x14ac:dyDescent="0.15">
      <c r="A5387" s="1" t="s">
        <v>12</v>
      </c>
      <c r="B5387" s="2">
        <v>17423</v>
      </c>
      <c r="C5387" s="3">
        <v>1.6E-2</v>
      </c>
      <c r="D5387" s="4" t="s">
        <v>558</v>
      </c>
      <c r="E5387" s="4" t="s">
        <v>559</v>
      </c>
    </row>
    <row r="5388" spans="1:5" ht="26" hidden="1" x14ac:dyDescent="0.15">
      <c r="A5388" s="1" t="s">
        <v>13</v>
      </c>
      <c r="B5388" s="2">
        <v>10410</v>
      </c>
      <c r="C5388" s="3">
        <v>0.01</v>
      </c>
      <c r="D5388" s="4" t="s">
        <v>558</v>
      </c>
      <c r="E5388" s="4" t="s">
        <v>559</v>
      </c>
    </row>
    <row r="5389" spans="1:5" hidden="1" x14ac:dyDescent="0.15">
      <c r="A5389" s="1" t="s">
        <v>14</v>
      </c>
      <c r="B5389" s="2">
        <v>73220</v>
      </c>
      <c r="C5389" s="3">
        <v>6.8000000000000005E-2</v>
      </c>
      <c r="D5389" s="4" t="s">
        <v>558</v>
      </c>
      <c r="E5389" s="4" t="s">
        <v>559</v>
      </c>
    </row>
    <row r="5390" spans="1:5" ht="26" hidden="1" x14ac:dyDescent="0.15">
      <c r="A5390" s="1" t="s">
        <v>15</v>
      </c>
      <c r="B5390" s="2">
        <v>81337</v>
      </c>
      <c r="C5390" s="3">
        <v>7.5999999999999998E-2</v>
      </c>
      <c r="D5390" s="4" t="s">
        <v>558</v>
      </c>
      <c r="E5390" s="4" t="s">
        <v>559</v>
      </c>
    </row>
    <row r="5391" spans="1:5" ht="26" hidden="1" x14ac:dyDescent="0.15">
      <c r="A5391" s="1" t="s">
        <v>16</v>
      </c>
      <c r="B5391" s="2">
        <v>23141</v>
      </c>
      <c r="C5391" s="3">
        <v>2.2000000000000002E-2</v>
      </c>
      <c r="D5391" s="4" t="s">
        <v>558</v>
      </c>
      <c r="E5391" s="4" t="s">
        <v>559</v>
      </c>
    </row>
    <row r="5392" spans="1:5" ht="26" hidden="1" x14ac:dyDescent="0.15">
      <c r="A5392" s="1" t="s">
        <v>17</v>
      </c>
      <c r="B5392" s="2">
        <v>14256</v>
      </c>
      <c r="C5392" s="3">
        <v>1.3000000000000001E-2</v>
      </c>
      <c r="D5392" s="4" t="s">
        <v>558</v>
      </c>
      <c r="E5392" s="4" t="s">
        <v>559</v>
      </c>
    </row>
    <row r="5393" spans="1:5" hidden="1" x14ac:dyDescent="0.15">
      <c r="A5393" s="1" t="s">
        <v>18</v>
      </c>
      <c r="B5393" s="2">
        <v>51105</v>
      </c>
      <c r="C5393" s="3">
        <v>4.8000000000000001E-2</v>
      </c>
      <c r="D5393" s="4" t="s">
        <v>558</v>
      </c>
      <c r="E5393" s="4" t="s">
        <v>559</v>
      </c>
    </row>
    <row r="5394" spans="1:5" hidden="1" x14ac:dyDescent="0.15">
      <c r="A5394" s="1" t="s">
        <v>19</v>
      </c>
      <c r="B5394" s="2">
        <v>100462</v>
      </c>
      <c r="C5394" s="3">
        <v>9.4E-2</v>
      </c>
      <c r="D5394" s="4" t="s">
        <v>558</v>
      </c>
      <c r="E5394" s="4" t="s">
        <v>559</v>
      </c>
    </row>
    <row r="5395" spans="1:5" hidden="1" x14ac:dyDescent="0.15">
      <c r="A5395" s="1" t="s">
        <v>20</v>
      </c>
      <c r="B5395" s="2">
        <v>16220</v>
      </c>
      <c r="C5395" s="3">
        <v>1.4999999999999999E-2</v>
      </c>
      <c r="D5395" s="4" t="s">
        <v>558</v>
      </c>
      <c r="E5395" s="4" t="s">
        <v>559</v>
      </c>
    </row>
    <row r="5396" spans="1:5" ht="26" hidden="1" x14ac:dyDescent="0.15">
      <c r="A5396" s="1" t="s">
        <v>21</v>
      </c>
      <c r="B5396" s="2">
        <v>33034</v>
      </c>
      <c r="C5396" s="3">
        <v>3.1E-2</v>
      </c>
      <c r="D5396" s="4" t="s">
        <v>558</v>
      </c>
      <c r="E5396" s="4" t="s">
        <v>559</v>
      </c>
    </row>
    <row r="5397" spans="1:5" ht="26" hidden="1" x14ac:dyDescent="0.15">
      <c r="A5397" s="1" t="s">
        <v>22</v>
      </c>
      <c r="B5397" s="2">
        <v>4728</v>
      </c>
      <c r="C5397" s="3">
        <v>4.0000000000000001E-3</v>
      </c>
      <c r="D5397" s="4" t="s">
        <v>558</v>
      </c>
      <c r="E5397" s="4" t="s">
        <v>559</v>
      </c>
    </row>
    <row r="5398" spans="1:5" ht="26" hidden="1" x14ac:dyDescent="0.15">
      <c r="A5398" s="1" t="s">
        <v>23</v>
      </c>
      <c r="B5398" s="2">
        <v>17027</v>
      </c>
      <c r="C5398" s="3">
        <v>1.6E-2</v>
      </c>
      <c r="D5398" s="4" t="s">
        <v>558</v>
      </c>
      <c r="E5398" s="4" t="s">
        <v>559</v>
      </c>
    </row>
    <row r="5399" spans="1:5" ht="26" hidden="1" x14ac:dyDescent="0.15">
      <c r="A5399" s="1" t="s">
        <v>24</v>
      </c>
      <c r="B5399" s="2">
        <v>3834</v>
      </c>
      <c r="C5399" s="3">
        <v>4.0000000000000001E-3</v>
      </c>
      <c r="D5399" s="4" t="s">
        <v>558</v>
      </c>
      <c r="E5399" s="4" t="s">
        <v>559</v>
      </c>
    </row>
    <row r="5400" spans="1:5" ht="26" hidden="1" x14ac:dyDescent="0.15">
      <c r="A5400" s="1" t="s">
        <v>25</v>
      </c>
      <c r="B5400" s="2">
        <v>32358</v>
      </c>
      <c r="C5400" s="3">
        <v>0.03</v>
      </c>
      <c r="D5400" s="4" t="s">
        <v>558</v>
      </c>
      <c r="E5400" s="4" t="s">
        <v>559</v>
      </c>
    </row>
    <row r="5401" spans="1:5" hidden="1" x14ac:dyDescent="0.15">
      <c r="A5401" s="1" t="s">
        <v>26</v>
      </c>
      <c r="B5401" s="2">
        <v>27028</v>
      </c>
      <c r="C5401" s="3">
        <v>2.5000000000000001E-2</v>
      </c>
      <c r="D5401" s="4" t="s">
        <v>558</v>
      </c>
      <c r="E5401" s="4" t="s">
        <v>559</v>
      </c>
    </row>
    <row r="5402" spans="1:5" hidden="1" x14ac:dyDescent="0.15">
      <c r="A5402" s="1" t="s">
        <v>27</v>
      </c>
      <c r="B5402" s="2">
        <v>24826</v>
      </c>
      <c r="C5402" s="3">
        <v>2.3E-2</v>
      </c>
      <c r="D5402" s="4" t="s">
        <v>558</v>
      </c>
      <c r="E5402" s="4" t="s">
        <v>559</v>
      </c>
    </row>
    <row r="5403" spans="1:5" hidden="1" x14ac:dyDescent="0.15">
      <c r="A5403" s="1" t="s">
        <v>28</v>
      </c>
      <c r="B5403" s="2">
        <v>132201</v>
      </c>
      <c r="C5403" s="3">
        <v>0.12300000000000001</v>
      </c>
      <c r="D5403" s="4" t="s">
        <v>558</v>
      </c>
      <c r="E5403" s="4" t="s">
        <v>559</v>
      </c>
    </row>
    <row r="5404" spans="1:5" hidden="1" x14ac:dyDescent="0.15">
      <c r="A5404" s="1" t="s">
        <v>29</v>
      </c>
      <c r="B5404" s="2">
        <v>281468</v>
      </c>
      <c r="C5404" s="3">
        <v>0.26300000000000001</v>
      </c>
      <c r="D5404" s="4" t="s">
        <v>558</v>
      </c>
      <c r="E5404" s="4" t="s">
        <v>559</v>
      </c>
    </row>
    <row r="5405" spans="1:5" hidden="1" x14ac:dyDescent="0.15">
      <c r="A5405" s="1" t="s">
        <v>30</v>
      </c>
      <c r="B5405" s="2">
        <v>23393</v>
      </c>
      <c r="C5405" s="3">
        <v>2.2000000000000002E-2</v>
      </c>
      <c r="D5405" s="4" t="s">
        <v>558</v>
      </c>
      <c r="E5405" s="4" t="s">
        <v>559</v>
      </c>
    </row>
    <row r="5406" spans="1:5" ht="39" hidden="1" x14ac:dyDescent="0.15">
      <c r="A5406" s="1" t="s">
        <v>31</v>
      </c>
      <c r="B5406" s="2">
        <v>24343</v>
      </c>
      <c r="C5406" s="3">
        <v>2.3E-2</v>
      </c>
      <c r="D5406" s="4" t="s">
        <v>558</v>
      </c>
      <c r="E5406" s="4" t="s">
        <v>559</v>
      </c>
    </row>
    <row r="5407" spans="1:5" hidden="1" x14ac:dyDescent="0.15">
      <c r="A5407" s="1" t="s">
        <v>32</v>
      </c>
      <c r="B5407" s="2">
        <v>28853</v>
      </c>
      <c r="C5407" s="3">
        <v>2.7000000000000003E-2</v>
      </c>
      <c r="D5407" s="4" t="s">
        <v>558</v>
      </c>
      <c r="E5407" s="4" t="s">
        <v>559</v>
      </c>
    </row>
    <row r="5408" spans="1:5" hidden="1" x14ac:dyDescent="0.15">
      <c r="A5408" s="1" t="s">
        <v>33</v>
      </c>
      <c r="B5408" s="2">
        <v>339779</v>
      </c>
      <c r="C5408" s="3">
        <v>0.317</v>
      </c>
      <c r="D5408" s="4" t="s">
        <v>558</v>
      </c>
      <c r="E5408" s="4" t="s">
        <v>559</v>
      </c>
    </row>
    <row r="5409" spans="1:5" hidden="1" x14ac:dyDescent="0.15">
      <c r="A5409" s="1" t="s">
        <v>34</v>
      </c>
      <c r="B5409" s="2">
        <v>86374</v>
      </c>
      <c r="C5409" s="3">
        <v>8.1000000000000003E-2</v>
      </c>
      <c r="D5409" s="4" t="s">
        <v>558</v>
      </c>
      <c r="E5409" s="4" t="s">
        <v>559</v>
      </c>
    </row>
    <row r="5410" spans="1:5" hidden="1" x14ac:dyDescent="0.15">
      <c r="A5410" s="1" t="s">
        <v>35</v>
      </c>
      <c r="B5410" s="2">
        <v>77473</v>
      </c>
      <c r="C5410" s="3">
        <v>7.2000000000000008E-2</v>
      </c>
      <c r="D5410" s="4" t="s">
        <v>558</v>
      </c>
      <c r="E5410" s="4" t="s">
        <v>559</v>
      </c>
    </row>
    <row r="5411" spans="1:5" ht="26" hidden="1" x14ac:dyDescent="0.15">
      <c r="A5411" s="1" t="s">
        <v>36</v>
      </c>
      <c r="B5411" s="2">
        <v>20188</v>
      </c>
      <c r="C5411" s="3">
        <v>1.9E-2</v>
      </c>
      <c r="D5411" s="4" t="s">
        <v>558</v>
      </c>
      <c r="E5411" s="4" t="s">
        <v>559</v>
      </c>
    </row>
    <row r="5412" spans="1:5" hidden="1" x14ac:dyDescent="0.15">
      <c r="A5412" s="1" t="s">
        <v>37</v>
      </c>
      <c r="B5412" s="2">
        <v>19870</v>
      </c>
      <c r="C5412" s="3">
        <v>1.9E-2</v>
      </c>
      <c r="D5412" s="4" t="s">
        <v>558</v>
      </c>
      <c r="E5412" s="4" t="s">
        <v>559</v>
      </c>
    </row>
    <row r="5413" spans="1:5" ht="39" hidden="1" x14ac:dyDescent="0.15">
      <c r="A5413" s="1" t="s">
        <v>38</v>
      </c>
      <c r="B5413" s="2">
        <v>39171</v>
      </c>
      <c r="C5413" s="3">
        <v>3.7000000000000005E-2</v>
      </c>
      <c r="D5413" s="4" t="s">
        <v>558</v>
      </c>
      <c r="E5413" s="4" t="s">
        <v>559</v>
      </c>
    </row>
    <row r="5414" spans="1:5" hidden="1" x14ac:dyDescent="0.15">
      <c r="A5414" s="1" t="s">
        <v>39</v>
      </c>
      <c r="B5414" s="2">
        <v>114062</v>
      </c>
      <c r="C5414" s="3">
        <v>0.106</v>
      </c>
      <c r="D5414" s="4" t="s">
        <v>558</v>
      </c>
      <c r="E5414" s="4" t="s">
        <v>559</v>
      </c>
    </row>
    <row r="5415" spans="1:5" hidden="1" x14ac:dyDescent="0.15">
      <c r="A5415" s="1" t="s">
        <v>40</v>
      </c>
      <c r="B5415" s="2">
        <v>5456</v>
      </c>
      <c r="C5415" s="3">
        <v>5.0000000000000001E-3</v>
      </c>
      <c r="D5415" s="4" t="s">
        <v>558</v>
      </c>
      <c r="E5415" s="4" t="s">
        <v>559</v>
      </c>
    </row>
    <row r="5416" spans="1:5" hidden="1" x14ac:dyDescent="0.15">
      <c r="A5416" s="1" t="s">
        <v>41</v>
      </c>
      <c r="B5416" s="2">
        <v>32191</v>
      </c>
      <c r="C5416" s="3">
        <v>0.03</v>
      </c>
      <c r="D5416" s="4" t="s">
        <v>558</v>
      </c>
      <c r="E5416" s="4" t="s">
        <v>559</v>
      </c>
    </row>
    <row r="5417" spans="1:5" hidden="1" x14ac:dyDescent="0.15">
      <c r="A5417" s="1" t="s">
        <v>42</v>
      </c>
      <c r="B5417" s="2">
        <v>42502</v>
      </c>
      <c r="C5417" s="3">
        <v>0.04</v>
      </c>
      <c r="D5417" s="4" t="s">
        <v>558</v>
      </c>
      <c r="E5417" s="4" t="s">
        <v>559</v>
      </c>
    </row>
    <row r="5418" spans="1:5" hidden="1" x14ac:dyDescent="0.15">
      <c r="A5418" s="1" t="s">
        <v>43</v>
      </c>
      <c r="B5418" s="2">
        <v>123840</v>
      </c>
      <c r="C5418" s="3">
        <v>0.11599999999999999</v>
      </c>
      <c r="D5418" s="4" t="s">
        <v>558</v>
      </c>
      <c r="E5418" s="4" t="s">
        <v>559</v>
      </c>
    </row>
    <row r="5419" spans="1:5" ht="26" hidden="1" x14ac:dyDescent="0.15">
      <c r="A5419" s="1" t="s">
        <v>44</v>
      </c>
      <c r="B5419" s="2">
        <v>103138</v>
      </c>
      <c r="C5419" s="3">
        <v>9.6000000000000002E-2</v>
      </c>
      <c r="D5419" s="4" t="s">
        <v>558</v>
      </c>
      <c r="E5419" s="4" t="s">
        <v>559</v>
      </c>
    </row>
    <row r="5420" spans="1:5" hidden="1" x14ac:dyDescent="0.15">
      <c r="A5420" s="1" t="s">
        <v>45</v>
      </c>
      <c r="B5420" s="2">
        <v>234447</v>
      </c>
      <c r="C5420" s="3">
        <v>0.21899999999999997</v>
      </c>
      <c r="D5420" s="4" t="s">
        <v>558</v>
      </c>
      <c r="E5420" s="4" t="s">
        <v>559</v>
      </c>
    </row>
    <row r="5421" spans="1:5" ht="26" hidden="1" x14ac:dyDescent="0.15">
      <c r="A5421" s="1" t="s">
        <v>46</v>
      </c>
      <c r="B5421" s="2">
        <v>336918</v>
      </c>
      <c r="C5421" s="3">
        <v>0.314</v>
      </c>
      <c r="D5421" s="4" t="s">
        <v>558</v>
      </c>
      <c r="E5421" s="4" t="s">
        <v>559</v>
      </c>
    </row>
    <row r="5422" spans="1:5" hidden="1" x14ac:dyDescent="0.15">
      <c r="A5422" s="1" t="s">
        <v>47</v>
      </c>
      <c r="B5422" s="2">
        <v>502832</v>
      </c>
      <c r="C5422" s="3">
        <v>0.46899999999999997</v>
      </c>
      <c r="D5422" s="4" t="s">
        <v>558</v>
      </c>
      <c r="E5422" s="4" t="s">
        <v>559</v>
      </c>
    </row>
    <row r="5423" spans="1:5" hidden="1" x14ac:dyDescent="0.15">
      <c r="A5423" s="1" t="s">
        <v>48</v>
      </c>
      <c r="B5423" s="2">
        <v>94960</v>
      </c>
      <c r="C5423" s="3">
        <v>8.900000000000001E-2</v>
      </c>
      <c r="D5423" s="4" t="s">
        <v>558</v>
      </c>
      <c r="E5423" s="4" t="s">
        <v>559</v>
      </c>
    </row>
    <row r="5424" spans="1:5" hidden="1" x14ac:dyDescent="0.15">
      <c r="A5424" s="1" t="s">
        <v>49</v>
      </c>
      <c r="B5424" s="2">
        <v>117433</v>
      </c>
      <c r="C5424" s="3">
        <v>0.11</v>
      </c>
      <c r="D5424" s="4" t="s">
        <v>558</v>
      </c>
      <c r="E5424" s="4" t="s">
        <v>559</v>
      </c>
    </row>
    <row r="5425" spans="1:5" ht="26" hidden="1" x14ac:dyDescent="0.15">
      <c r="A5425" s="1" t="s">
        <v>50</v>
      </c>
      <c r="B5425" s="2">
        <v>226897</v>
      </c>
      <c r="C5425" s="3">
        <v>0.21199999999999999</v>
      </c>
      <c r="D5425" s="4" t="s">
        <v>558</v>
      </c>
      <c r="E5425" s="4" t="s">
        <v>559</v>
      </c>
    </row>
    <row r="5426" spans="1:5" hidden="1" x14ac:dyDescent="0.15">
      <c r="A5426" s="1" t="s">
        <v>51</v>
      </c>
      <c r="B5426" s="2">
        <v>323267</v>
      </c>
      <c r="C5426" s="3">
        <v>0.30199999999999999</v>
      </c>
      <c r="D5426" s="4" t="s">
        <v>558</v>
      </c>
      <c r="E5426" s="4" t="s">
        <v>559</v>
      </c>
    </row>
    <row r="5427" spans="1:5" hidden="1" x14ac:dyDescent="0.15">
      <c r="A5427" s="1" t="s">
        <v>52</v>
      </c>
      <c r="B5427" s="2">
        <v>113976</v>
      </c>
      <c r="C5427" s="3">
        <v>0.106</v>
      </c>
      <c r="D5427" s="4" t="s">
        <v>558</v>
      </c>
      <c r="E5427" s="4" t="s">
        <v>559</v>
      </c>
    </row>
    <row r="5428" spans="1:5" ht="26" hidden="1" x14ac:dyDescent="0.15">
      <c r="A5428" s="1" t="s">
        <v>53</v>
      </c>
      <c r="B5428" s="2">
        <v>91264</v>
      </c>
      <c r="C5428" s="3">
        <v>8.5000000000000006E-2</v>
      </c>
      <c r="D5428" s="4" t="s">
        <v>558</v>
      </c>
      <c r="E5428" s="4" t="s">
        <v>559</v>
      </c>
    </row>
    <row r="5429" spans="1:5" hidden="1" x14ac:dyDescent="0.15">
      <c r="A5429" s="1" t="s">
        <v>54</v>
      </c>
      <c r="B5429" s="2">
        <v>403701</v>
      </c>
      <c r="C5429" s="3">
        <v>0.377</v>
      </c>
      <c r="D5429" s="4" t="s">
        <v>558</v>
      </c>
      <c r="E5429" s="4" t="s">
        <v>559</v>
      </c>
    </row>
    <row r="5430" spans="1:5" ht="26" hidden="1" x14ac:dyDescent="0.15">
      <c r="A5430" s="1" t="s">
        <v>55</v>
      </c>
      <c r="B5430" s="2">
        <v>380437</v>
      </c>
      <c r="C5430" s="3">
        <v>0.35499999999999998</v>
      </c>
      <c r="D5430" s="4" t="s">
        <v>558</v>
      </c>
      <c r="E5430" s="4" t="s">
        <v>559</v>
      </c>
    </row>
    <row r="5431" spans="1:5" hidden="1" x14ac:dyDescent="0.15">
      <c r="A5431" s="1" t="s">
        <v>56</v>
      </c>
      <c r="B5431" s="2">
        <v>178602</v>
      </c>
      <c r="C5431" s="3">
        <v>0.16699999999999998</v>
      </c>
      <c r="D5431" s="4" t="s">
        <v>558</v>
      </c>
      <c r="E5431" s="4" t="s">
        <v>559</v>
      </c>
    </row>
    <row r="5432" spans="1:5" hidden="1" x14ac:dyDescent="0.15">
      <c r="A5432" s="1" t="s">
        <v>57</v>
      </c>
      <c r="B5432" s="2">
        <v>123775</v>
      </c>
      <c r="C5432" s="3">
        <v>0.11599999999999999</v>
      </c>
      <c r="D5432" s="4" t="s">
        <v>558</v>
      </c>
      <c r="E5432" s="4" t="s">
        <v>559</v>
      </c>
    </row>
    <row r="5433" spans="1:5" hidden="1" x14ac:dyDescent="0.15">
      <c r="A5433" s="1" t="s">
        <v>58</v>
      </c>
      <c r="B5433" s="2">
        <v>239731</v>
      </c>
      <c r="C5433" s="3">
        <v>0.22399999999999998</v>
      </c>
      <c r="D5433" s="4" t="s">
        <v>558</v>
      </c>
      <c r="E5433" s="4" t="s">
        <v>559</v>
      </c>
    </row>
    <row r="5434" spans="1:5" hidden="1" x14ac:dyDescent="0.15">
      <c r="A5434" s="1" t="s">
        <v>59</v>
      </c>
      <c r="B5434" s="2">
        <v>406655</v>
      </c>
      <c r="C5434" s="3">
        <v>0.38</v>
      </c>
      <c r="D5434" s="4" t="s">
        <v>558</v>
      </c>
      <c r="E5434" s="4" t="s">
        <v>559</v>
      </c>
    </row>
    <row r="5435" spans="1:5" hidden="1" x14ac:dyDescent="0.15">
      <c r="A5435" s="1" t="s">
        <v>60</v>
      </c>
      <c r="B5435" s="2">
        <v>168327</v>
      </c>
      <c r="C5435" s="3">
        <v>0.157</v>
      </c>
      <c r="D5435" s="4" t="s">
        <v>558</v>
      </c>
      <c r="E5435" s="4" t="s">
        <v>559</v>
      </c>
    </row>
    <row r="5436" spans="1:5" ht="26" hidden="1" x14ac:dyDescent="0.15">
      <c r="A5436" s="1" t="s">
        <v>61</v>
      </c>
      <c r="B5436" s="2">
        <v>194217</v>
      </c>
      <c r="C5436" s="3">
        <v>0.18100000000000002</v>
      </c>
      <c r="D5436" s="4" t="s">
        <v>558</v>
      </c>
      <c r="E5436" s="4" t="s">
        <v>559</v>
      </c>
    </row>
    <row r="5437" spans="1:5" hidden="1" x14ac:dyDescent="0.15">
      <c r="A5437" s="1" t="s">
        <v>62</v>
      </c>
      <c r="B5437" s="2">
        <v>60358</v>
      </c>
      <c r="C5437" s="3">
        <v>5.5999999999999994E-2</v>
      </c>
      <c r="D5437" s="4" t="s">
        <v>558</v>
      </c>
      <c r="E5437" s="4" t="s">
        <v>559</v>
      </c>
    </row>
    <row r="5438" spans="1:5" ht="26" hidden="1" x14ac:dyDescent="0.15">
      <c r="A5438" s="1" t="s">
        <v>63</v>
      </c>
      <c r="B5438" s="2">
        <v>104574</v>
      </c>
      <c r="C5438" s="3">
        <v>9.8000000000000004E-2</v>
      </c>
      <c r="D5438" s="4" t="s">
        <v>558</v>
      </c>
      <c r="E5438" s="4" t="s">
        <v>559</v>
      </c>
    </row>
    <row r="5439" spans="1:5" ht="26" hidden="1" x14ac:dyDescent="0.15">
      <c r="A5439" s="1" t="s">
        <v>64</v>
      </c>
      <c r="B5439" s="2">
        <v>46826</v>
      </c>
      <c r="C5439" s="3">
        <v>4.4000000000000004E-2</v>
      </c>
      <c r="D5439" s="4" t="s">
        <v>558</v>
      </c>
      <c r="E5439" s="4" t="s">
        <v>559</v>
      </c>
    </row>
    <row r="5440" spans="1:5" hidden="1" x14ac:dyDescent="0.15">
      <c r="A5440" s="1" t="s">
        <v>65</v>
      </c>
      <c r="B5440" s="2">
        <v>147186</v>
      </c>
      <c r="C5440" s="3">
        <v>0.13699999999999998</v>
      </c>
      <c r="D5440" s="4" t="s">
        <v>558</v>
      </c>
      <c r="E5440" s="4" t="s">
        <v>559</v>
      </c>
    </row>
    <row r="5441" spans="1:5" hidden="1" x14ac:dyDescent="0.15">
      <c r="A5441" s="1" t="s">
        <v>66</v>
      </c>
      <c r="B5441" s="2">
        <v>101464</v>
      </c>
      <c r="C5441" s="3">
        <v>9.5000000000000001E-2</v>
      </c>
      <c r="D5441" s="4" t="s">
        <v>558</v>
      </c>
      <c r="E5441" s="4" t="s">
        <v>559</v>
      </c>
    </row>
    <row r="5442" spans="1:5" hidden="1" x14ac:dyDescent="0.15">
      <c r="A5442" s="1" t="s">
        <v>67</v>
      </c>
      <c r="B5442" s="2">
        <v>153782</v>
      </c>
      <c r="C5442" s="3">
        <v>0.14400000000000002</v>
      </c>
      <c r="D5442" s="4" t="s">
        <v>558</v>
      </c>
      <c r="E5442" s="4" t="s">
        <v>559</v>
      </c>
    </row>
    <row r="5443" spans="1:5" hidden="1" x14ac:dyDescent="0.15">
      <c r="A5443" s="1" t="s">
        <v>68</v>
      </c>
      <c r="B5443" s="2">
        <v>428851</v>
      </c>
      <c r="C5443" s="3">
        <v>0.4</v>
      </c>
      <c r="D5443" s="4" t="s">
        <v>558</v>
      </c>
      <c r="E5443" s="4" t="s">
        <v>559</v>
      </c>
    </row>
    <row r="5444" spans="1:5" hidden="1" x14ac:dyDescent="0.15">
      <c r="A5444" s="1" t="s">
        <v>69</v>
      </c>
      <c r="B5444" s="2">
        <v>621928</v>
      </c>
      <c r="C5444" s="3">
        <v>0.57999999999999996</v>
      </c>
      <c r="D5444" s="4" t="s">
        <v>558</v>
      </c>
      <c r="E5444" s="4" t="s">
        <v>559</v>
      </c>
    </row>
    <row r="5445" spans="1:5" hidden="1" x14ac:dyDescent="0.15">
      <c r="A5445" s="1" t="s">
        <v>70</v>
      </c>
      <c r="B5445" s="2">
        <v>161080</v>
      </c>
      <c r="C5445" s="3">
        <v>0.15</v>
      </c>
      <c r="D5445" s="4" t="s">
        <v>558</v>
      </c>
      <c r="E5445" s="4" t="s">
        <v>559</v>
      </c>
    </row>
    <row r="5446" spans="1:5" ht="26" hidden="1" x14ac:dyDescent="0.15">
      <c r="A5446" s="1" t="s">
        <v>71</v>
      </c>
      <c r="B5446" s="2">
        <v>80747</v>
      </c>
      <c r="C5446" s="3">
        <v>7.4999999999999997E-2</v>
      </c>
      <c r="D5446" s="4" t="s">
        <v>558</v>
      </c>
      <c r="E5446" s="4" t="s">
        <v>559</v>
      </c>
    </row>
    <row r="5447" spans="1:5" hidden="1" x14ac:dyDescent="0.15">
      <c r="A5447" s="1" t="s">
        <v>72</v>
      </c>
      <c r="B5447" s="2">
        <v>163124</v>
      </c>
      <c r="C5447" s="3">
        <v>0.152</v>
      </c>
      <c r="D5447" s="4" t="s">
        <v>558</v>
      </c>
      <c r="E5447" s="4" t="s">
        <v>559</v>
      </c>
    </row>
    <row r="5448" spans="1:5" hidden="1" x14ac:dyDescent="0.15">
      <c r="A5448" s="1" t="s">
        <v>73</v>
      </c>
      <c r="B5448" s="2">
        <v>756837</v>
      </c>
      <c r="C5448" s="3">
        <v>0.70599999999999996</v>
      </c>
      <c r="D5448" s="4" t="s">
        <v>558</v>
      </c>
      <c r="E5448" s="4" t="s">
        <v>559</v>
      </c>
    </row>
    <row r="5449" spans="1:5" hidden="1" x14ac:dyDescent="0.15">
      <c r="A5449" s="1" t="s">
        <v>74</v>
      </c>
      <c r="B5449" s="2">
        <v>352149</v>
      </c>
      <c r="C5449" s="3">
        <v>0.32899999999999996</v>
      </c>
      <c r="D5449" s="4" t="s">
        <v>558</v>
      </c>
      <c r="E5449" s="4" t="s">
        <v>559</v>
      </c>
    </row>
    <row r="5450" spans="1:5" hidden="1" x14ac:dyDescent="0.15">
      <c r="A5450" s="1" t="s">
        <v>75</v>
      </c>
      <c r="B5450" s="2">
        <v>310848</v>
      </c>
      <c r="C5450" s="3">
        <v>0.28999999999999998</v>
      </c>
      <c r="D5450" s="4" t="s">
        <v>558</v>
      </c>
      <c r="E5450" s="4" t="s">
        <v>559</v>
      </c>
    </row>
    <row r="5451" spans="1:5" hidden="1" x14ac:dyDescent="0.15">
      <c r="A5451" s="1" t="s">
        <v>76</v>
      </c>
      <c r="B5451" s="2">
        <v>138378</v>
      </c>
      <c r="C5451" s="3">
        <v>0.129</v>
      </c>
      <c r="D5451" s="4" t="s">
        <v>558</v>
      </c>
      <c r="E5451" s="4" t="s">
        <v>559</v>
      </c>
    </row>
    <row r="5452" spans="1:5" hidden="1" x14ac:dyDescent="0.15">
      <c r="A5452" s="1" t="s">
        <v>77</v>
      </c>
      <c r="B5452" s="2">
        <v>118816</v>
      </c>
      <c r="C5452" s="3">
        <v>0.111</v>
      </c>
      <c r="D5452" s="4" t="s">
        <v>558</v>
      </c>
      <c r="E5452" s="4" t="s">
        <v>559</v>
      </c>
    </row>
    <row r="5453" spans="1:5" ht="26" hidden="1" x14ac:dyDescent="0.15">
      <c r="A5453" s="1" t="s">
        <v>78</v>
      </c>
      <c r="B5453" s="2">
        <v>151177</v>
      </c>
      <c r="C5453" s="3">
        <v>0.14099999999999999</v>
      </c>
      <c r="D5453" s="4" t="s">
        <v>558</v>
      </c>
      <c r="E5453" s="4" t="s">
        <v>559</v>
      </c>
    </row>
    <row r="5454" spans="1:5" hidden="1" x14ac:dyDescent="0.15">
      <c r="A5454" s="1" t="s">
        <v>79</v>
      </c>
      <c r="B5454" s="2">
        <v>347640</v>
      </c>
      <c r="C5454" s="3">
        <v>0.32400000000000001</v>
      </c>
      <c r="D5454" s="4" t="s">
        <v>558</v>
      </c>
      <c r="E5454" s="4" t="s">
        <v>559</v>
      </c>
    </row>
    <row r="5455" spans="1:5" hidden="1" x14ac:dyDescent="0.15">
      <c r="A5455" s="1" t="s">
        <v>80</v>
      </c>
      <c r="B5455" s="2">
        <v>132617</v>
      </c>
      <c r="C5455" s="3">
        <v>0.124</v>
      </c>
      <c r="D5455" s="4" t="s">
        <v>558</v>
      </c>
      <c r="E5455" s="4" t="s">
        <v>559</v>
      </c>
    </row>
    <row r="5456" spans="1:5" ht="26" hidden="1" x14ac:dyDescent="0.15">
      <c r="A5456" s="1" t="s">
        <v>81</v>
      </c>
      <c r="B5456" s="2">
        <v>215419</v>
      </c>
      <c r="C5456" s="3">
        <v>0.20100000000000001</v>
      </c>
      <c r="D5456" s="4" t="s">
        <v>558</v>
      </c>
      <c r="E5456" s="4" t="s">
        <v>559</v>
      </c>
    </row>
    <row r="5457" spans="1:5" hidden="1" x14ac:dyDescent="0.15">
      <c r="A5457" s="1" t="s">
        <v>82</v>
      </c>
      <c r="B5457" s="2">
        <v>153126</v>
      </c>
      <c r="C5457" s="3">
        <v>0.14300000000000002</v>
      </c>
      <c r="D5457" s="4" t="s">
        <v>558</v>
      </c>
      <c r="E5457" s="4" t="s">
        <v>559</v>
      </c>
    </row>
    <row r="5458" spans="1:5" hidden="1" x14ac:dyDescent="0.15">
      <c r="A5458" s="4"/>
      <c r="B5458" s="4"/>
      <c r="C5458" s="4"/>
      <c r="D5458" s="4" t="s">
        <v>558</v>
      </c>
      <c r="E5458" s="4" t="s">
        <v>559</v>
      </c>
    </row>
    <row r="5459" spans="1:5" hidden="1" x14ac:dyDescent="0.15">
      <c r="A5459" s="5"/>
      <c r="B5459" s="5"/>
      <c r="C5459" s="5"/>
      <c r="D5459" s="4" t="s">
        <v>558</v>
      </c>
      <c r="E5459" s="4" t="s">
        <v>559</v>
      </c>
    </row>
    <row r="5460" spans="1:5" ht="26" hidden="1" x14ac:dyDescent="0.15">
      <c r="A5460" s="1" t="s">
        <v>264</v>
      </c>
      <c r="B5460" s="2">
        <v>211208</v>
      </c>
      <c r="C5460" s="3">
        <v>0.19699999999999998</v>
      </c>
      <c r="D5460" s="4" t="s">
        <v>558</v>
      </c>
      <c r="E5460" s="4" t="s">
        <v>559</v>
      </c>
    </row>
    <row r="5461" spans="1:5" hidden="1" x14ac:dyDescent="0.15">
      <c r="A5461" s="4"/>
      <c r="B5461" s="4"/>
      <c r="C5461" s="4"/>
      <c r="D5461" s="4" t="s">
        <v>558</v>
      </c>
      <c r="E5461" s="4" t="s">
        <v>559</v>
      </c>
    </row>
    <row r="5462" spans="1:5" hidden="1" x14ac:dyDescent="0.15">
      <c r="A5462" s="5"/>
      <c r="B5462" s="5"/>
      <c r="C5462" s="5"/>
      <c r="D5462" s="4" t="s">
        <v>558</v>
      </c>
      <c r="E5462" s="4" t="s">
        <v>559</v>
      </c>
    </row>
    <row r="5463" spans="1:5" ht="39" hidden="1" x14ac:dyDescent="0.15">
      <c r="A5463" s="1" t="s">
        <v>560</v>
      </c>
      <c r="B5463" s="2">
        <v>252185</v>
      </c>
      <c r="C5463" s="3">
        <v>0.23499999999999999</v>
      </c>
      <c r="D5463" s="4" t="s">
        <v>558</v>
      </c>
      <c r="E5463" s="4" t="s">
        <v>559</v>
      </c>
    </row>
    <row r="5464" spans="1:5" ht="26" hidden="1" x14ac:dyDescent="0.15">
      <c r="A5464" s="1" t="s">
        <v>561</v>
      </c>
      <c r="B5464" s="2">
        <v>384530</v>
      </c>
      <c r="C5464" s="3">
        <v>0.35899999999999999</v>
      </c>
      <c r="D5464" s="4" t="s">
        <v>558</v>
      </c>
      <c r="E5464" s="4" t="s">
        <v>559</v>
      </c>
    </row>
    <row r="5465" spans="1:5" ht="39" hidden="1" x14ac:dyDescent="0.15">
      <c r="A5465" s="1" t="s">
        <v>562</v>
      </c>
      <c r="B5465" s="2">
        <v>213806</v>
      </c>
      <c r="C5465" s="3">
        <v>0.2</v>
      </c>
      <c r="D5465" s="4" t="s">
        <v>558</v>
      </c>
      <c r="E5465" s="4" t="s">
        <v>559</v>
      </c>
    </row>
    <row r="5466" spans="1:5" ht="39" hidden="1" x14ac:dyDescent="0.15">
      <c r="A5466" s="1" t="s">
        <v>563</v>
      </c>
      <c r="B5466" s="2">
        <v>359206</v>
      </c>
      <c r="C5466" s="3">
        <v>0.33500000000000002</v>
      </c>
      <c r="D5466" s="4" t="s">
        <v>558</v>
      </c>
      <c r="E5466" s="4" t="s">
        <v>559</v>
      </c>
    </row>
    <row r="5467" spans="1:5" hidden="1" x14ac:dyDescent="0.15">
      <c r="A5467" s="1" t="s">
        <v>0</v>
      </c>
      <c r="B5467" s="2">
        <v>2076906</v>
      </c>
      <c r="C5467" s="3">
        <v>1</v>
      </c>
      <c r="D5467" s="4" t="s">
        <v>564</v>
      </c>
      <c r="E5467" s="4" t="s">
        <v>402</v>
      </c>
    </row>
    <row r="5468" spans="1:5" ht="26" hidden="1" x14ac:dyDescent="0.15">
      <c r="A5468" s="1" t="s">
        <v>3</v>
      </c>
      <c r="B5468" s="2">
        <v>22788</v>
      </c>
      <c r="C5468" s="3">
        <v>1.1000000000000001E-2</v>
      </c>
      <c r="D5468" s="4" t="s">
        <v>564</v>
      </c>
      <c r="E5468" s="4" t="s">
        <v>402</v>
      </c>
    </row>
    <row r="5469" spans="1:5" hidden="1" x14ac:dyDescent="0.15">
      <c r="A5469" s="1" t="s">
        <v>4</v>
      </c>
      <c r="B5469" s="2">
        <v>9784</v>
      </c>
      <c r="C5469" s="3">
        <v>5.0000000000000001E-3</v>
      </c>
      <c r="D5469" s="4" t="s">
        <v>564</v>
      </c>
      <c r="E5469" s="4" t="s">
        <v>402</v>
      </c>
    </row>
    <row r="5470" spans="1:5" ht="26" hidden="1" x14ac:dyDescent="0.15">
      <c r="A5470" s="1" t="s">
        <v>5</v>
      </c>
      <c r="B5470" s="2">
        <v>58513</v>
      </c>
      <c r="C5470" s="3">
        <v>2.7999999999999997E-2</v>
      </c>
      <c r="D5470" s="4" t="s">
        <v>564</v>
      </c>
      <c r="E5470" s="4" t="s">
        <v>402</v>
      </c>
    </row>
    <row r="5471" spans="1:5" ht="26" hidden="1" x14ac:dyDescent="0.15">
      <c r="A5471" s="1" t="s">
        <v>6</v>
      </c>
      <c r="B5471" s="2">
        <v>364100</v>
      </c>
      <c r="C5471" s="3">
        <v>0.17499999999999999</v>
      </c>
      <c r="D5471" s="4" t="s">
        <v>564</v>
      </c>
      <c r="E5471" s="4" t="s">
        <v>402</v>
      </c>
    </row>
    <row r="5472" spans="1:5" ht="26" hidden="1" x14ac:dyDescent="0.15">
      <c r="A5472" s="1" t="s">
        <v>7</v>
      </c>
      <c r="B5472" s="2">
        <v>171062</v>
      </c>
      <c r="C5472" s="3">
        <v>8.199999999999999E-2</v>
      </c>
      <c r="D5472" s="4" t="s">
        <v>564</v>
      </c>
      <c r="E5472" s="4" t="s">
        <v>402</v>
      </c>
    </row>
    <row r="5473" spans="1:5" ht="26" hidden="1" x14ac:dyDescent="0.15">
      <c r="A5473" s="1" t="s">
        <v>8</v>
      </c>
      <c r="B5473" s="2">
        <v>20597</v>
      </c>
      <c r="C5473" s="3">
        <v>0.01</v>
      </c>
      <c r="D5473" s="4" t="s">
        <v>564</v>
      </c>
      <c r="E5473" s="4" t="s">
        <v>402</v>
      </c>
    </row>
    <row r="5474" spans="1:5" ht="26" hidden="1" x14ac:dyDescent="0.15">
      <c r="A5474" s="1" t="s">
        <v>9</v>
      </c>
      <c r="B5474" s="2">
        <v>57624</v>
      </c>
      <c r="C5474" s="3">
        <v>2.7999999999999997E-2</v>
      </c>
      <c r="D5474" s="4" t="s">
        <v>564</v>
      </c>
      <c r="E5474" s="4" t="s">
        <v>402</v>
      </c>
    </row>
    <row r="5475" spans="1:5" ht="26" hidden="1" x14ac:dyDescent="0.15">
      <c r="A5475" s="1" t="s">
        <v>10</v>
      </c>
      <c r="B5475" s="2">
        <v>25234</v>
      </c>
      <c r="C5475" s="3">
        <v>1.2E-2</v>
      </c>
      <c r="D5475" s="4" t="s">
        <v>564</v>
      </c>
      <c r="E5475" s="4" t="s">
        <v>402</v>
      </c>
    </row>
    <row r="5476" spans="1:5" ht="26" hidden="1" x14ac:dyDescent="0.15">
      <c r="A5476" s="1" t="s">
        <v>11</v>
      </c>
      <c r="B5476" s="2">
        <v>113099</v>
      </c>
      <c r="C5476" s="3">
        <v>5.4000000000000006E-2</v>
      </c>
      <c r="D5476" s="4" t="s">
        <v>564</v>
      </c>
      <c r="E5476" s="4" t="s">
        <v>402</v>
      </c>
    </row>
    <row r="5477" spans="1:5" ht="26" hidden="1" x14ac:dyDescent="0.15">
      <c r="A5477" s="1" t="s">
        <v>12</v>
      </c>
      <c r="B5477" s="2">
        <v>33905</v>
      </c>
      <c r="C5477" s="3">
        <v>1.6E-2</v>
      </c>
      <c r="D5477" s="4" t="s">
        <v>564</v>
      </c>
      <c r="E5477" s="4" t="s">
        <v>402</v>
      </c>
    </row>
    <row r="5478" spans="1:5" ht="26" hidden="1" x14ac:dyDescent="0.15">
      <c r="A5478" s="1" t="s">
        <v>13</v>
      </c>
      <c r="B5478" s="2">
        <v>12507</v>
      </c>
      <c r="C5478" s="3">
        <v>6.0000000000000001E-3</v>
      </c>
      <c r="D5478" s="4" t="s">
        <v>564</v>
      </c>
      <c r="E5478" s="4" t="s">
        <v>402</v>
      </c>
    </row>
    <row r="5479" spans="1:5" hidden="1" x14ac:dyDescent="0.15">
      <c r="A5479" s="1" t="s">
        <v>14</v>
      </c>
      <c r="B5479" s="2">
        <v>98364</v>
      </c>
      <c r="C5479" s="3">
        <v>4.7E-2</v>
      </c>
      <c r="D5479" s="4" t="s">
        <v>564</v>
      </c>
      <c r="E5479" s="4" t="s">
        <v>402</v>
      </c>
    </row>
    <row r="5480" spans="1:5" ht="26" hidden="1" x14ac:dyDescent="0.15">
      <c r="A5480" s="1" t="s">
        <v>15</v>
      </c>
      <c r="B5480" s="2">
        <v>77592</v>
      </c>
      <c r="C5480" s="3">
        <v>3.7000000000000005E-2</v>
      </c>
      <c r="D5480" s="4" t="s">
        <v>564</v>
      </c>
      <c r="E5480" s="4" t="s">
        <v>402</v>
      </c>
    </row>
    <row r="5481" spans="1:5" ht="26" hidden="1" x14ac:dyDescent="0.15">
      <c r="A5481" s="1" t="s">
        <v>16</v>
      </c>
      <c r="B5481" s="2">
        <v>62129</v>
      </c>
      <c r="C5481" s="3">
        <v>0.03</v>
      </c>
      <c r="D5481" s="4" t="s">
        <v>564</v>
      </c>
      <c r="E5481" s="4" t="s">
        <v>402</v>
      </c>
    </row>
    <row r="5482" spans="1:5" ht="26" hidden="1" x14ac:dyDescent="0.15">
      <c r="A5482" s="1" t="s">
        <v>17</v>
      </c>
      <c r="B5482" s="2">
        <v>43403</v>
      </c>
      <c r="C5482" s="3">
        <v>2.1000000000000001E-2</v>
      </c>
      <c r="D5482" s="4" t="s">
        <v>564</v>
      </c>
      <c r="E5482" s="4" t="s">
        <v>402</v>
      </c>
    </row>
    <row r="5483" spans="1:5" hidden="1" x14ac:dyDescent="0.15">
      <c r="A5483" s="1" t="s">
        <v>18</v>
      </c>
      <c r="B5483" s="2">
        <v>23658</v>
      </c>
      <c r="C5483" s="3">
        <v>1.1000000000000001E-2</v>
      </c>
      <c r="D5483" s="4" t="s">
        <v>564</v>
      </c>
      <c r="E5483" s="4" t="s">
        <v>402</v>
      </c>
    </row>
    <row r="5484" spans="1:5" hidden="1" x14ac:dyDescent="0.15">
      <c r="A5484" s="1" t="s">
        <v>19</v>
      </c>
      <c r="B5484" s="2">
        <v>501041</v>
      </c>
      <c r="C5484" s="3">
        <v>0.24100000000000002</v>
      </c>
      <c r="D5484" s="4" t="s">
        <v>564</v>
      </c>
      <c r="E5484" s="4" t="s">
        <v>402</v>
      </c>
    </row>
    <row r="5485" spans="1:5" hidden="1" x14ac:dyDescent="0.15">
      <c r="A5485" s="1" t="s">
        <v>20</v>
      </c>
      <c r="B5485" s="2">
        <v>26356</v>
      </c>
      <c r="C5485" s="3">
        <v>1.3000000000000001E-2</v>
      </c>
      <c r="D5485" s="4" t="s">
        <v>564</v>
      </c>
      <c r="E5485" s="4" t="s">
        <v>402</v>
      </c>
    </row>
    <row r="5486" spans="1:5" ht="26" hidden="1" x14ac:dyDescent="0.15">
      <c r="A5486" s="1" t="s">
        <v>21</v>
      </c>
      <c r="B5486" s="2">
        <v>72280</v>
      </c>
      <c r="C5486" s="3">
        <v>3.5000000000000003E-2</v>
      </c>
      <c r="D5486" s="4" t="s">
        <v>564</v>
      </c>
      <c r="E5486" s="4" t="s">
        <v>402</v>
      </c>
    </row>
    <row r="5487" spans="1:5" ht="26" hidden="1" x14ac:dyDescent="0.15">
      <c r="A5487" s="1" t="s">
        <v>22</v>
      </c>
      <c r="B5487" s="2">
        <v>18045</v>
      </c>
      <c r="C5487" s="3">
        <v>9.0000000000000011E-3</v>
      </c>
      <c r="D5487" s="4" t="s">
        <v>564</v>
      </c>
      <c r="E5487" s="4" t="s">
        <v>402</v>
      </c>
    </row>
    <row r="5488" spans="1:5" ht="26" hidden="1" x14ac:dyDescent="0.15">
      <c r="A5488" s="1" t="s">
        <v>23</v>
      </c>
      <c r="B5488" s="2">
        <v>51997</v>
      </c>
      <c r="C5488" s="3">
        <v>2.5000000000000001E-2</v>
      </c>
      <c r="D5488" s="4" t="s">
        <v>564</v>
      </c>
      <c r="E5488" s="4" t="s">
        <v>402</v>
      </c>
    </row>
    <row r="5489" spans="1:5" ht="26" hidden="1" x14ac:dyDescent="0.15">
      <c r="A5489" s="1" t="s">
        <v>24</v>
      </c>
      <c r="B5489" s="2">
        <v>20268</v>
      </c>
      <c r="C5489" s="3">
        <v>0.01</v>
      </c>
      <c r="D5489" s="4" t="s">
        <v>564</v>
      </c>
      <c r="E5489" s="4" t="s">
        <v>402</v>
      </c>
    </row>
    <row r="5490" spans="1:5" ht="26" hidden="1" x14ac:dyDescent="0.15">
      <c r="A5490" s="1" t="s">
        <v>25</v>
      </c>
      <c r="B5490" s="2">
        <v>28982</v>
      </c>
      <c r="C5490" s="3">
        <v>1.3999999999999999E-2</v>
      </c>
      <c r="D5490" s="4" t="s">
        <v>564</v>
      </c>
      <c r="E5490" s="4" t="s">
        <v>402</v>
      </c>
    </row>
    <row r="5491" spans="1:5" hidden="1" x14ac:dyDescent="0.15">
      <c r="A5491" s="1" t="s">
        <v>26</v>
      </c>
      <c r="B5491" s="2">
        <v>22699</v>
      </c>
      <c r="C5491" s="3">
        <v>1.1000000000000001E-2</v>
      </c>
      <c r="D5491" s="4" t="s">
        <v>564</v>
      </c>
      <c r="E5491" s="4" t="s">
        <v>402</v>
      </c>
    </row>
    <row r="5492" spans="1:5" hidden="1" x14ac:dyDescent="0.15">
      <c r="A5492" s="1" t="s">
        <v>27</v>
      </c>
      <c r="B5492" s="2">
        <v>142874</v>
      </c>
      <c r="C5492" s="3">
        <v>6.9000000000000006E-2</v>
      </c>
      <c r="D5492" s="4" t="s">
        <v>564</v>
      </c>
      <c r="E5492" s="4" t="s">
        <v>402</v>
      </c>
    </row>
    <row r="5493" spans="1:5" hidden="1" x14ac:dyDescent="0.15">
      <c r="A5493" s="1" t="s">
        <v>28</v>
      </c>
      <c r="B5493" s="2">
        <v>140517</v>
      </c>
      <c r="C5493" s="3">
        <v>6.8000000000000005E-2</v>
      </c>
      <c r="D5493" s="4" t="s">
        <v>564</v>
      </c>
      <c r="E5493" s="4" t="s">
        <v>402</v>
      </c>
    </row>
    <row r="5494" spans="1:5" hidden="1" x14ac:dyDescent="0.15">
      <c r="A5494" s="1" t="s">
        <v>29</v>
      </c>
      <c r="B5494" s="2">
        <v>553943</v>
      </c>
      <c r="C5494" s="3">
        <v>0.26700000000000002</v>
      </c>
      <c r="D5494" s="4" t="s">
        <v>564</v>
      </c>
      <c r="E5494" s="4" t="s">
        <v>402</v>
      </c>
    </row>
    <row r="5495" spans="1:5" hidden="1" x14ac:dyDescent="0.15">
      <c r="A5495" s="1" t="s">
        <v>30</v>
      </c>
      <c r="B5495" s="2">
        <v>82263</v>
      </c>
      <c r="C5495" s="3">
        <v>0.04</v>
      </c>
      <c r="D5495" s="4" t="s">
        <v>564</v>
      </c>
      <c r="E5495" s="4" t="s">
        <v>402</v>
      </c>
    </row>
    <row r="5496" spans="1:5" ht="39" hidden="1" x14ac:dyDescent="0.15">
      <c r="A5496" s="1" t="s">
        <v>31</v>
      </c>
      <c r="B5496" s="2">
        <v>9554</v>
      </c>
      <c r="C5496" s="3">
        <v>5.0000000000000001E-3</v>
      </c>
      <c r="D5496" s="4" t="s">
        <v>564</v>
      </c>
      <c r="E5496" s="4" t="s">
        <v>402</v>
      </c>
    </row>
    <row r="5497" spans="1:5" hidden="1" x14ac:dyDescent="0.15">
      <c r="A5497" s="1" t="s">
        <v>32</v>
      </c>
      <c r="B5497" s="2">
        <v>43506</v>
      </c>
      <c r="C5497" s="3">
        <v>2.1000000000000001E-2</v>
      </c>
      <c r="D5497" s="4" t="s">
        <v>564</v>
      </c>
      <c r="E5497" s="4" t="s">
        <v>402</v>
      </c>
    </row>
    <row r="5498" spans="1:5" hidden="1" x14ac:dyDescent="0.15">
      <c r="A5498" s="1" t="s">
        <v>33</v>
      </c>
      <c r="B5498" s="2">
        <v>616181</v>
      </c>
      <c r="C5498" s="3">
        <v>0.29699999999999999</v>
      </c>
      <c r="D5498" s="4" t="s">
        <v>564</v>
      </c>
      <c r="E5498" s="4" t="s">
        <v>402</v>
      </c>
    </row>
    <row r="5499" spans="1:5" hidden="1" x14ac:dyDescent="0.15">
      <c r="A5499" s="1" t="s">
        <v>34</v>
      </c>
      <c r="B5499" s="2">
        <v>164396</v>
      </c>
      <c r="C5499" s="3">
        <v>7.9000000000000001E-2</v>
      </c>
      <c r="D5499" s="4" t="s">
        <v>564</v>
      </c>
      <c r="E5499" s="4" t="s">
        <v>402</v>
      </c>
    </row>
    <row r="5500" spans="1:5" hidden="1" x14ac:dyDescent="0.15">
      <c r="A5500" s="1" t="s">
        <v>35</v>
      </c>
      <c r="B5500" s="2">
        <v>95873</v>
      </c>
      <c r="C5500" s="3">
        <v>4.5999999999999999E-2</v>
      </c>
      <c r="D5500" s="4" t="s">
        <v>564</v>
      </c>
      <c r="E5500" s="4" t="s">
        <v>402</v>
      </c>
    </row>
    <row r="5501" spans="1:5" ht="26" hidden="1" x14ac:dyDescent="0.15">
      <c r="A5501" s="1" t="s">
        <v>36</v>
      </c>
      <c r="B5501" s="2">
        <v>11970</v>
      </c>
      <c r="C5501" s="3">
        <v>6.0000000000000001E-3</v>
      </c>
      <c r="D5501" s="4" t="s">
        <v>564</v>
      </c>
      <c r="E5501" s="4" t="s">
        <v>402</v>
      </c>
    </row>
    <row r="5502" spans="1:5" hidden="1" x14ac:dyDescent="0.15">
      <c r="A5502" s="1" t="s">
        <v>37</v>
      </c>
      <c r="B5502" s="2">
        <v>10883</v>
      </c>
      <c r="C5502" s="3">
        <v>5.0000000000000001E-3</v>
      </c>
      <c r="D5502" s="4" t="s">
        <v>564</v>
      </c>
      <c r="E5502" s="4" t="s">
        <v>402</v>
      </c>
    </row>
    <row r="5503" spans="1:5" ht="39" hidden="1" x14ac:dyDescent="0.15">
      <c r="A5503" s="1" t="s">
        <v>38</v>
      </c>
      <c r="B5503" s="2">
        <v>27777</v>
      </c>
      <c r="C5503" s="3">
        <v>1.3000000000000001E-2</v>
      </c>
      <c r="D5503" s="4" t="s">
        <v>564</v>
      </c>
      <c r="E5503" s="4" t="s">
        <v>402</v>
      </c>
    </row>
    <row r="5504" spans="1:5" hidden="1" x14ac:dyDescent="0.15">
      <c r="A5504" s="1" t="s">
        <v>39</v>
      </c>
      <c r="B5504" s="2">
        <v>75818</v>
      </c>
      <c r="C5504" s="3">
        <v>3.7000000000000005E-2</v>
      </c>
      <c r="D5504" s="4" t="s">
        <v>564</v>
      </c>
      <c r="E5504" s="4" t="s">
        <v>402</v>
      </c>
    </row>
    <row r="5505" spans="1:5" hidden="1" x14ac:dyDescent="0.15">
      <c r="A5505" s="1" t="s">
        <v>40</v>
      </c>
      <c r="B5505" s="2">
        <v>117123</v>
      </c>
      <c r="C5505" s="3">
        <v>5.5999999999999994E-2</v>
      </c>
      <c r="D5505" s="4" t="s">
        <v>564</v>
      </c>
      <c r="E5505" s="4" t="s">
        <v>402</v>
      </c>
    </row>
    <row r="5506" spans="1:5" hidden="1" x14ac:dyDescent="0.15">
      <c r="A5506" s="1" t="s">
        <v>41</v>
      </c>
      <c r="B5506" s="2">
        <v>62033</v>
      </c>
      <c r="C5506" s="3">
        <v>0.03</v>
      </c>
      <c r="D5506" s="4" t="s">
        <v>564</v>
      </c>
      <c r="E5506" s="4" t="s">
        <v>402</v>
      </c>
    </row>
    <row r="5507" spans="1:5" hidden="1" x14ac:dyDescent="0.15">
      <c r="A5507" s="1" t="s">
        <v>42</v>
      </c>
      <c r="B5507" s="2">
        <v>86469</v>
      </c>
      <c r="C5507" s="3">
        <v>4.2000000000000003E-2</v>
      </c>
      <c r="D5507" s="4" t="s">
        <v>564</v>
      </c>
      <c r="E5507" s="4" t="s">
        <v>402</v>
      </c>
    </row>
    <row r="5508" spans="1:5" hidden="1" x14ac:dyDescent="0.15">
      <c r="A5508" s="1" t="s">
        <v>43</v>
      </c>
      <c r="B5508" s="2">
        <v>159167</v>
      </c>
      <c r="C5508" s="3">
        <v>7.6999999999999999E-2</v>
      </c>
      <c r="D5508" s="4" t="s">
        <v>564</v>
      </c>
      <c r="E5508" s="4" t="s">
        <v>402</v>
      </c>
    </row>
    <row r="5509" spans="1:5" ht="26" hidden="1" x14ac:dyDescent="0.15">
      <c r="A5509" s="1" t="s">
        <v>44</v>
      </c>
      <c r="B5509" s="2">
        <v>151037</v>
      </c>
      <c r="C5509" s="3">
        <v>7.2999999999999995E-2</v>
      </c>
      <c r="D5509" s="4" t="s">
        <v>564</v>
      </c>
      <c r="E5509" s="4" t="s">
        <v>402</v>
      </c>
    </row>
    <row r="5510" spans="1:5" hidden="1" x14ac:dyDescent="0.15">
      <c r="A5510" s="1" t="s">
        <v>45</v>
      </c>
      <c r="B5510" s="2">
        <v>408319</v>
      </c>
      <c r="C5510" s="3">
        <v>0.19699999999999998</v>
      </c>
      <c r="D5510" s="4" t="s">
        <v>564</v>
      </c>
      <c r="E5510" s="4" t="s">
        <v>402</v>
      </c>
    </row>
    <row r="5511" spans="1:5" ht="26" hidden="1" x14ac:dyDescent="0.15">
      <c r="A5511" s="1" t="s">
        <v>46</v>
      </c>
      <c r="B5511" s="2">
        <v>859639</v>
      </c>
      <c r="C5511" s="3">
        <v>0.41399999999999998</v>
      </c>
      <c r="D5511" s="4" t="s">
        <v>564</v>
      </c>
      <c r="E5511" s="4" t="s">
        <v>402</v>
      </c>
    </row>
    <row r="5512" spans="1:5" hidden="1" x14ac:dyDescent="0.15">
      <c r="A5512" s="1" t="s">
        <v>47</v>
      </c>
      <c r="B5512" s="2">
        <v>656963</v>
      </c>
      <c r="C5512" s="3">
        <v>0.316</v>
      </c>
      <c r="D5512" s="4" t="s">
        <v>564</v>
      </c>
      <c r="E5512" s="4" t="s">
        <v>402</v>
      </c>
    </row>
    <row r="5513" spans="1:5" hidden="1" x14ac:dyDescent="0.15">
      <c r="A5513" s="1" t="s">
        <v>48</v>
      </c>
      <c r="B5513" s="2">
        <v>246841</v>
      </c>
      <c r="C5513" s="3">
        <v>0.11900000000000001</v>
      </c>
      <c r="D5513" s="4" t="s">
        <v>564</v>
      </c>
      <c r="E5513" s="4" t="s">
        <v>402</v>
      </c>
    </row>
    <row r="5514" spans="1:5" hidden="1" x14ac:dyDescent="0.15">
      <c r="A5514" s="1" t="s">
        <v>49</v>
      </c>
      <c r="B5514" s="2">
        <v>308568</v>
      </c>
      <c r="C5514" s="3">
        <v>0.14899999999999999</v>
      </c>
      <c r="D5514" s="4" t="s">
        <v>564</v>
      </c>
      <c r="E5514" s="4" t="s">
        <v>402</v>
      </c>
    </row>
    <row r="5515" spans="1:5" ht="26" hidden="1" x14ac:dyDescent="0.15">
      <c r="A5515" s="1" t="s">
        <v>50</v>
      </c>
      <c r="B5515" s="2">
        <v>315150</v>
      </c>
      <c r="C5515" s="3">
        <v>0.152</v>
      </c>
      <c r="D5515" s="4" t="s">
        <v>564</v>
      </c>
      <c r="E5515" s="4" t="s">
        <v>402</v>
      </c>
    </row>
    <row r="5516" spans="1:5" hidden="1" x14ac:dyDescent="0.15">
      <c r="A5516" s="1" t="s">
        <v>51</v>
      </c>
      <c r="B5516" s="2">
        <v>616191</v>
      </c>
      <c r="C5516" s="3">
        <v>0.29699999999999999</v>
      </c>
      <c r="D5516" s="4" t="s">
        <v>564</v>
      </c>
      <c r="E5516" s="4" t="s">
        <v>402</v>
      </c>
    </row>
    <row r="5517" spans="1:5" hidden="1" x14ac:dyDescent="0.15">
      <c r="A5517" s="1" t="s">
        <v>52</v>
      </c>
      <c r="B5517" s="2">
        <v>206259</v>
      </c>
      <c r="C5517" s="3">
        <v>9.9000000000000005E-2</v>
      </c>
      <c r="D5517" s="4" t="s">
        <v>564</v>
      </c>
      <c r="E5517" s="4" t="s">
        <v>402</v>
      </c>
    </row>
    <row r="5518" spans="1:5" ht="26" hidden="1" x14ac:dyDescent="0.15">
      <c r="A5518" s="1" t="s">
        <v>53</v>
      </c>
      <c r="B5518" s="2">
        <v>155059</v>
      </c>
      <c r="C5518" s="3">
        <v>7.4999999999999997E-2</v>
      </c>
      <c r="D5518" s="4" t="s">
        <v>564</v>
      </c>
      <c r="E5518" s="4" t="s">
        <v>402</v>
      </c>
    </row>
    <row r="5519" spans="1:5" hidden="1" x14ac:dyDescent="0.15">
      <c r="A5519" s="1" t="s">
        <v>54</v>
      </c>
      <c r="B5519" s="2">
        <v>697954</v>
      </c>
      <c r="C5519" s="3">
        <v>0.33600000000000002</v>
      </c>
      <c r="D5519" s="4" t="s">
        <v>564</v>
      </c>
      <c r="E5519" s="4" t="s">
        <v>402</v>
      </c>
    </row>
    <row r="5520" spans="1:5" ht="26" hidden="1" x14ac:dyDescent="0.15">
      <c r="A5520" s="1" t="s">
        <v>55</v>
      </c>
      <c r="B5520" s="2">
        <v>475436</v>
      </c>
      <c r="C5520" s="3">
        <v>0.22899999999999998</v>
      </c>
      <c r="D5520" s="4" t="s">
        <v>564</v>
      </c>
      <c r="E5520" s="4" t="s">
        <v>402</v>
      </c>
    </row>
    <row r="5521" spans="1:5" hidden="1" x14ac:dyDescent="0.15">
      <c r="A5521" s="1" t="s">
        <v>56</v>
      </c>
      <c r="B5521" s="2">
        <v>471561</v>
      </c>
      <c r="C5521" s="3">
        <v>0.22699999999999998</v>
      </c>
      <c r="D5521" s="4" t="s">
        <v>564</v>
      </c>
      <c r="E5521" s="4" t="s">
        <v>402</v>
      </c>
    </row>
    <row r="5522" spans="1:5" hidden="1" x14ac:dyDescent="0.15">
      <c r="A5522" s="1" t="s">
        <v>57</v>
      </c>
      <c r="B5522" s="2">
        <v>229414</v>
      </c>
      <c r="C5522" s="3">
        <v>0.11</v>
      </c>
      <c r="D5522" s="4" t="s">
        <v>564</v>
      </c>
      <c r="E5522" s="4" t="s">
        <v>402</v>
      </c>
    </row>
    <row r="5523" spans="1:5" hidden="1" x14ac:dyDescent="0.15">
      <c r="A5523" s="1" t="s">
        <v>58</v>
      </c>
      <c r="B5523" s="2">
        <v>247632</v>
      </c>
      <c r="C5523" s="3">
        <v>0.11900000000000001</v>
      </c>
      <c r="D5523" s="4" t="s">
        <v>564</v>
      </c>
      <c r="E5523" s="4" t="s">
        <v>402</v>
      </c>
    </row>
    <row r="5524" spans="1:5" hidden="1" x14ac:dyDescent="0.15">
      <c r="A5524" s="1" t="s">
        <v>59</v>
      </c>
      <c r="B5524" s="2">
        <v>1119220</v>
      </c>
      <c r="C5524" s="3">
        <v>0.53900000000000003</v>
      </c>
      <c r="D5524" s="4" t="s">
        <v>564</v>
      </c>
      <c r="E5524" s="4" t="s">
        <v>402</v>
      </c>
    </row>
    <row r="5525" spans="1:5" hidden="1" x14ac:dyDescent="0.15">
      <c r="A5525" s="1" t="s">
        <v>60</v>
      </c>
      <c r="B5525" s="2">
        <v>353921</v>
      </c>
      <c r="C5525" s="3">
        <v>0.17</v>
      </c>
      <c r="D5525" s="4" t="s">
        <v>564</v>
      </c>
      <c r="E5525" s="4" t="s">
        <v>402</v>
      </c>
    </row>
    <row r="5526" spans="1:5" ht="26" hidden="1" x14ac:dyDescent="0.15">
      <c r="A5526" s="1" t="s">
        <v>61</v>
      </c>
      <c r="B5526" s="2">
        <v>421844</v>
      </c>
      <c r="C5526" s="3">
        <v>0.20300000000000001</v>
      </c>
      <c r="D5526" s="4" t="s">
        <v>564</v>
      </c>
      <c r="E5526" s="4" t="s">
        <v>402</v>
      </c>
    </row>
    <row r="5527" spans="1:5" hidden="1" x14ac:dyDescent="0.15">
      <c r="A5527" s="1" t="s">
        <v>62</v>
      </c>
      <c r="B5527" s="2">
        <v>142304</v>
      </c>
      <c r="C5527" s="3">
        <v>6.9000000000000006E-2</v>
      </c>
      <c r="D5527" s="4" t="s">
        <v>564</v>
      </c>
      <c r="E5527" s="4" t="s">
        <v>402</v>
      </c>
    </row>
    <row r="5528" spans="1:5" ht="26" hidden="1" x14ac:dyDescent="0.15">
      <c r="A5528" s="1" t="s">
        <v>63</v>
      </c>
      <c r="B5528" s="2">
        <v>357343</v>
      </c>
      <c r="C5528" s="3">
        <v>0.17199999999999999</v>
      </c>
      <c r="D5528" s="4" t="s">
        <v>564</v>
      </c>
      <c r="E5528" s="4" t="s">
        <v>402</v>
      </c>
    </row>
    <row r="5529" spans="1:5" ht="26" hidden="1" x14ac:dyDescent="0.15">
      <c r="A5529" s="1" t="s">
        <v>64</v>
      </c>
      <c r="B5529" s="2">
        <v>190748</v>
      </c>
      <c r="C5529" s="3">
        <v>9.1999999999999998E-2</v>
      </c>
      <c r="D5529" s="4" t="s">
        <v>564</v>
      </c>
      <c r="E5529" s="4" t="s">
        <v>402</v>
      </c>
    </row>
    <row r="5530" spans="1:5" hidden="1" x14ac:dyDescent="0.15">
      <c r="A5530" s="1" t="s">
        <v>65</v>
      </c>
      <c r="B5530" s="2">
        <v>246438</v>
      </c>
      <c r="C5530" s="3">
        <v>0.11900000000000001</v>
      </c>
      <c r="D5530" s="4" t="s">
        <v>564</v>
      </c>
      <c r="E5530" s="4" t="s">
        <v>402</v>
      </c>
    </row>
    <row r="5531" spans="1:5" hidden="1" x14ac:dyDescent="0.15">
      <c r="A5531" s="1" t="s">
        <v>66</v>
      </c>
      <c r="B5531" s="2">
        <v>148069</v>
      </c>
      <c r="C5531" s="3">
        <v>7.0999999999999994E-2</v>
      </c>
      <c r="D5531" s="4" t="s">
        <v>564</v>
      </c>
      <c r="E5531" s="4" t="s">
        <v>402</v>
      </c>
    </row>
    <row r="5532" spans="1:5" hidden="1" x14ac:dyDescent="0.15">
      <c r="A5532" s="1" t="s">
        <v>67</v>
      </c>
      <c r="B5532" s="2">
        <v>480379</v>
      </c>
      <c r="C5532" s="3">
        <v>0.23100000000000001</v>
      </c>
      <c r="D5532" s="4" t="s">
        <v>564</v>
      </c>
      <c r="E5532" s="4" t="s">
        <v>402</v>
      </c>
    </row>
    <row r="5533" spans="1:5" hidden="1" x14ac:dyDescent="0.15">
      <c r="A5533" s="1" t="s">
        <v>68</v>
      </c>
      <c r="B5533" s="2">
        <v>687590</v>
      </c>
      <c r="C5533" s="3">
        <v>0.33100000000000002</v>
      </c>
      <c r="D5533" s="4" t="s">
        <v>564</v>
      </c>
      <c r="E5533" s="4" t="s">
        <v>402</v>
      </c>
    </row>
    <row r="5534" spans="1:5" hidden="1" x14ac:dyDescent="0.15">
      <c r="A5534" s="1" t="s">
        <v>69</v>
      </c>
      <c r="B5534" s="2">
        <v>1207682</v>
      </c>
      <c r="C5534" s="3">
        <v>0.58099999999999996</v>
      </c>
      <c r="D5534" s="4" t="s">
        <v>564</v>
      </c>
      <c r="E5534" s="4" t="s">
        <v>402</v>
      </c>
    </row>
    <row r="5535" spans="1:5" hidden="1" x14ac:dyDescent="0.15">
      <c r="A5535" s="1" t="s">
        <v>70</v>
      </c>
      <c r="B5535" s="2">
        <v>538987</v>
      </c>
      <c r="C5535" s="3">
        <v>0.26</v>
      </c>
      <c r="D5535" s="4" t="s">
        <v>564</v>
      </c>
      <c r="E5535" s="4" t="s">
        <v>402</v>
      </c>
    </row>
    <row r="5536" spans="1:5" ht="26" hidden="1" x14ac:dyDescent="0.15">
      <c r="A5536" s="1" t="s">
        <v>71</v>
      </c>
      <c r="B5536" s="2">
        <v>133626</v>
      </c>
      <c r="C5536" s="3">
        <v>6.4000000000000001E-2</v>
      </c>
      <c r="D5536" s="4" t="s">
        <v>564</v>
      </c>
      <c r="E5536" s="4" t="s">
        <v>402</v>
      </c>
    </row>
    <row r="5537" spans="1:5" hidden="1" x14ac:dyDescent="0.15">
      <c r="A5537" s="1" t="s">
        <v>72</v>
      </c>
      <c r="B5537" s="2">
        <v>240186</v>
      </c>
      <c r="C5537" s="3">
        <v>0.11599999999999999</v>
      </c>
      <c r="D5537" s="4" t="s">
        <v>564</v>
      </c>
      <c r="E5537" s="4" t="s">
        <v>402</v>
      </c>
    </row>
    <row r="5538" spans="1:5" hidden="1" x14ac:dyDescent="0.15">
      <c r="A5538" s="1" t="s">
        <v>73</v>
      </c>
      <c r="B5538" s="2">
        <v>1282805</v>
      </c>
      <c r="C5538" s="3">
        <v>0.61799999999999999</v>
      </c>
      <c r="D5538" s="4" t="s">
        <v>564</v>
      </c>
      <c r="E5538" s="4" t="s">
        <v>402</v>
      </c>
    </row>
    <row r="5539" spans="1:5" hidden="1" x14ac:dyDescent="0.15">
      <c r="A5539" s="1" t="s">
        <v>74</v>
      </c>
      <c r="B5539" s="2">
        <v>552265</v>
      </c>
      <c r="C5539" s="3">
        <v>0.26600000000000001</v>
      </c>
      <c r="D5539" s="4" t="s">
        <v>564</v>
      </c>
      <c r="E5539" s="4" t="s">
        <v>402</v>
      </c>
    </row>
    <row r="5540" spans="1:5" hidden="1" x14ac:dyDescent="0.15">
      <c r="A5540" s="1" t="s">
        <v>75</v>
      </c>
      <c r="B5540" s="2">
        <v>384549</v>
      </c>
      <c r="C5540" s="3">
        <v>0.185</v>
      </c>
      <c r="D5540" s="4" t="s">
        <v>564</v>
      </c>
      <c r="E5540" s="4" t="s">
        <v>402</v>
      </c>
    </row>
    <row r="5541" spans="1:5" hidden="1" x14ac:dyDescent="0.15">
      <c r="A5541" s="1" t="s">
        <v>76</v>
      </c>
      <c r="B5541" s="2">
        <v>210436</v>
      </c>
      <c r="C5541" s="3">
        <v>0.10099999999999999</v>
      </c>
      <c r="D5541" s="4" t="s">
        <v>564</v>
      </c>
      <c r="E5541" s="4" t="s">
        <v>402</v>
      </c>
    </row>
    <row r="5542" spans="1:5" hidden="1" x14ac:dyDescent="0.15">
      <c r="A5542" s="1" t="s">
        <v>77</v>
      </c>
      <c r="B5542" s="2">
        <v>134592</v>
      </c>
      <c r="C5542" s="3">
        <v>6.5000000000000002E-2</v>
      </c>
      <c r="D5542" s="4" t="s">
        <v>564</v>
      </c>
      <c r="E5542" s="4" t="s">
        <v>402</v>
      </c>
    </row>
    <row r="5543" spans="1:5" ht="26" hidden="1" x14ac:dyDescent="0.15">
      <c r="A5543" s="1" t="s">
        <v>78</v>
      </c>
      <c r="B5543" s="2">
        <v>176783</v>
      </c>
      <c r="C5543" s="3">
        <v>8.5000000000000006E-2</v>
      </c>
      <c r="D5543" s="4" t="s">
        <v>564</v>
      </c>
      <c r="E5543" s="4" t="s">
        <v>402</v>
      </c>
    </row>
    <row r="5544" spans="1:5" hidden="1" x14ac:dyDescent="0.15">
      <c r="A5544" s="1" t="s">
        <v>79</v>
      </c>
      <c r="B5544" s="2">
        <v>308299</v>
      </c>
      <c r="C5544" s="3">
        <v>0.14800000000000002</v>
      </c>
      <c r="D5544" s="4" t="s">
        <v>564</v>
      </c>
      <c r="E5544" s="4" t="s">
        <v>402</v>
      </c>
    </row>
    <row r="5545" spans="1:5" hidden="1" x14ac:dyDescent="0.15">
      <c r="A5545" s="1" t="s">
        <v>80</v>
      </c>
      <c r="B5545" s="2">
        <v>540412</v>
      </c>
      <c r="C5545" s="3">
        <v>0.26</v>
      </c>
      <c r="D5545" s="4" t="s">
        <v>564</v>
      </c>
      <c r="E5545" s="4" t="s">
        <v>402</v>
      </c>
    </row>
    <row r="5546" spans="1:5" ht="26" hidden="1" x14ac:dyDescent="0.15">
      <c r="A5546" s="1" t="s">
        <v>81</v>
      </c>
      <c r="B5546" s="2">
        <v>409338</v>
      </c>
      <c r="C5546" s="3">
        <v>0.19699999999999998</v>
      </c>
      <c r="D5546" s="4" t="s">
        <v>564</v>
      </c>
      <c r="E5546" s="4" t="s">
        <v>402</v>
      </c>
    </row>
    <row r="5547" spans="1:5" hidden="1" x14ac:dyDescent="0.15">
      <c r="A5547" s="1" t="s">
        <v>82</v>
      </c>
      <c r="B5547" s="2">
        <v>260637</v>
      </c>
      <c r="C5547" s="3">
        <v>0.125</v>
      </c>
      <c r="D5547" s="4" t="s">
        <v>564</v>
      </c>
      <c r="E5547" s="4" t="s">
        <v>402</v>
      </c>
    </row>
    <row r="5548" spans="1:5" hidden="1" x14ac:dyDescent="0.15">
      <c r="A5548" s="4"/>
      <c r="B5548" s="4"/>
      <c r="C5548" s="4"/>
      <c r="D5548" s="4" t="s">
        <v>564</v>
      </c>
      <c r="E5548" s="4" t="s">
        <v>402</v>
      </c>
    </row>
    <row r="5549" spans="1:5" hidden="1" x14ac:dyDescent="0.15">
      <c r="A5549" s="5"/>
      <c r="B5549" s="5"/>
      <c r="C5549" s="5"/>
      <c r="D5549" s="4" t="s">
        <v>564</v>
      </c>
      <c r="E5549" s="4" t="s">
        <v>402</v>
      </c>
    </row>
    <row r="5550" spans="1:5" ht="26" hidden="1" x14ac:dyDescent="0.15">
      <c r="A5550" s="1" t="s">
        <v>565</v>
      </c>
      <c r="B5550" s="2">
        <v>679068</v>
      </c>
      <c r="C5550" s="3">
        <v>0.32700000000000001</v>
      </c>
      <c r="D5550" s="4" t="s">
        <v>564</v>
      </c>
      <c r="E5550" s="4" t="s">
        <v>402</v>
      </c>
    </row>
    <row r="5551" spans="1:5" ht="26" hidden="1" x14ac:dyDescent="0.15">
      <c r="A5551" s="1" t="s">
        <v>566</v>
      </c>
      <c r="B5551" s="2">
        <v>410959</v>
      </c>
      <c r="C5551" s="3">
        <v>0.19800000000000001</v>
      </c>
      <c r="D5551" s="4" t="s">
        <v>564</v>
      </c>
      <c r="E5551" s="4" t="s">
        <v>402</v>
      </c>
    </row>
    <row r="5552" spans="1:5" ht="39" hidden="1" x14ac:dyDescent="0.15">
      <c r="A5552" s="1" t="s">
        <v>567</v>
      </c>
      <c r="B5552" s="2">
        <v>702678</v>
      </c>
      <c r="C5552" s="3">
        <v>0.33799999999999997</v>
      </c>
      <c r="D5552" s="4" t="s">
        <v>564</v>
      </c>
      <c r="E5552" s="4" t="s">
        <v>402</v>
      </c>
    </row>
    <row r="5553" spans="1:5" hidden="1" x14ac:dyDescent="0.15">
      <c r="A5553" s="4"/>
      <c r="B5553" s="4"/>
      <c r="C5553" s="4"/>
      <c r="D5553" s="4" t="s">
        <v>564</v>
      </c>
      <c r="E5553" s="4" t="s">
        <v>402</v>
      </c>
    </row>
    <row r="5554" spans="1:5" hidden="1" x14ac:dyDescent="0.15">
      <c r="A5554" s="5" t="s">
        <v>397</v>
      </c>
      <c r="B5554" s="5"/>
      <c r="C5554" s="5"/>
      <c r="D5554" s="4" t="s">
        <v>564</v>
      </c>
      <c r="E5554" s="4" t="s">
        <v>402</v>
      </c>
    </row>
    <row r="5555" spans="1:5" ht="39" hidden="1" x14ac:dyDescent="0.15">
      <c r="A5555" s="1" t="s">
        <v>568</v>
      </c>
      <c r="B5555" s="2">
        <v>17690</v>
      </c>
      <c r="C5555" s="3">
        <v>9.0000000000000011E-3</v>
      </c>
      <c r="D5555" s="4" t="s">
        <v>564</v>
      </c>
      <c r="E5555" s="4" t="s">
        <v>402</v>
      </c>
    </row>
    <row r="5556" spans="1:5" hidden="1" x14ac:dyDescent="0.15">
      <c r="A5556" s="4"/>
      <c r="B5556" s="4"/>
      <c r="C5556" s="4"/>
      <c r="D5556" s="4" t="s">
        <v>564</v>
      </c>
      <c r="E5556" s="4" t="s">
        <v>402</v>
      </c>
    </row>
    <row r="5557" spans="1:5" hidden="1" x14ac:dyDescent="0.15">
      <c r="A5557" s="5"/>
      <c r="B5557" s="5"/>
      <c r="C5557" s="5"/>
      <c r="D5557" s="4" t="s">
        <v>564</v>
      </c>
      <c r="E5557" s="4" t="s">
        <v>402</v>
      </c>
    </row>
    <row r="5558" spans="1:5" hidden="1" x14ac:dyDescent="0.15">
      <c r="A5558" s="1" t="s">
        <v>371</v>
      </c>
      <c r="B5558" s="2">
        <v>795085</v>
      </c>
      <c r="C5558" s="3">
        <v>0.38299999999999995</v>
      </c>
      <c r="D5558" s="4" t="s">
        <v>564</v>
      </c>
      <c r="E5558" s="4" t="s">
        <v>402</v>
      </c>
    </row>
    <row r="5559" spans="1:5" ht="26" hidden="1" x14ac:dyDescent="0.15">
      <c r="A5559" s="1" t="s">
        <v>192</v>
      </c>
      <c r="B5559" s="2">
        <v>750269</v>
      </c>
      <c r="C5559" s="3">
        <v>0.36099999999999999</v>
      </c>
      <c r="D5559" s="4" t="s">
        <v>564</v>
      </c>
      <c r="E5559" s="4" t="s">
        <v>402</v>
      </c>
    </row>
    <row r="5560" spans="1:5" hidden="1" x14ac:dyDescent="0.15">
      <c r="A5560" s="1" t="s">
        <v>193</v>
      </c>
      <c r="B5560" s="2">
        <v>236810</v>
      </c>
      <c r="C5560" s="3">
        <v>0.114</v>
      </c>
      <c r="D5560" s="4" t="s">
        <v>564</v>
      </c>
      <c r="E5560" s="4" t="s">
        <v>402</v>
      </c>
    </row>
    <row r="5561" spans="1:5" hidden="1" x14ac:dyDescent="0.15">
      <c r="A5561" s="4"/>
      <c r="B5561" s="4"/>
      <c r="C5561" s="4"/>
      <c r="D5561" s="4" t="s">
        <v>564</v>
      </c>
      <c r="E5561" s="4" t="s">
        <v>402</v>
      </c>
    </row>
    <row r="5562" spans="1:5" hidden="1" x14ac:dyDescent="0.15">
      <c r="A5562" s="4"/>
      <c r="B5562" s="4"/>
      <c r="C5562" s="4"/>
      <c r="D5562" s="4" t="s">
        <v>564</v>
      </c>
      <c r="E5562" s="4" t="s">
        <v>402</v>
      </c>
    </row>
    <row r="5563" spans="1:5" hidden="1" x14ac:dyDescent="0.15">
      <c r="A5563" s="5"/>
      <c r="B5563" s="5"/>
      <c r="C5563" s="5"/>
      <c r="D5563" s="4" t="s">
        <v>564</v>
      </c>
      <c r="E5563" s="4" t="s">
        <v>402</v>
      </c>
    </row>
    <row r="5564" spans="1:5" hidden="1" x14ac:dyDescent="0.15">
      <c r="A5564" s="1" t="s">
        <v>373</v>
      </c>
      <c r="B5564" s="2">
        <v>379561</v>
      </c>
      <c r="C5564" s="3">
        <v>0.183</v>
      </c>
      <c r="D5564" s="4" t="s">
        <v>564</v>
      </c>
      <c r="E5564" s="4" t="s">
        <v>402</v>
      </c>
    </row>
    <row r="5565" spans="1:5" hidden="1" x14ac:dyDescent="0.15">
      <c r="A5565" s="4"/>
      <c r="B5565" s="4"/>
      <c r="C5565" s="4"/>
      <c r="D5565" s="4" t="s">
        <v>564</v>
      </c>
      <c r="E5565" s="4" t="s">
        <v>402</v>
      </c>
    </row>
    <row r="5566" spans="1:5" hidden="1" x14ac:dyDescent="0.15">
      <c r="A5566" s="5"/>
      <c r="B5566" s="5"/>
      <c r="C5566" s="5"/>
      <c r="D5566" s="4" t="s">
        <v>564</v>
      </c>
      <c r="E5566" s="4" t="s">
        <v>402</v>
      </c>
    </row>
    <row r="5567" spans="1:5" ht="26" hidden="1" x14ac:dyDescent="0.15">
      <c r="A5567" s="1" t="s">
        <v>374</v>
      </c>
      <c r="B5567" s="2">
        <v>806452</v>
      </c>
      <c r="C5567" s="3">
        <v>0.38799999999999996</v>
      </c>
      <c r="D5567" s="4" t="s">
        <v>564</v>
      </c>
      <c r="E5567" s="4" t="s">
        <v>402</v>
      </c>
    </row>
    <row r="5568" spans="1:5" ht="26" hidden="1" x14ac:dyDescent="0.15">
      <c r="A5568" s="1" t="s">
        <v>197</v>
      </c>
      <c r="B5568" s="2">
        <v>705190</v>
      </c>
      <c r="C5568" s="3">
        <v>0.34</v>
      </c>
      <c r="D5568" s="4" t="s">
        <v>564</v>
      </c>
      <c r="E5568" s="4" t="s">
        <v>402</v>
      </c>
    </row>
    <row r="5569" spans="1:5" hidden="1" x14ac:dyDescent="0.15">
      <c r="A5569" s="1" t="s">
        <v>198</v>
      </c>
      <c r="B5569" s="2">
        <v>431229</v>
      </c>
      <c r="C5569" s="3">
        <v>0.20800000000000002</v>
      </c>
      <c r="D5569" s="4" t="s">
        <v>564</v>
      </c>
      <c r="E5569" s="4" t="s">
        <v>402</v>
      </c>
    </row>
    <row r="5570" spans="1:5" hidden="1" x14ac:dyDescent="0.15">
      <c r="A5570" s="4"/>
      <c r="B5570" s="4"/>
      <c r="C5570" s="4"/>
      <c r="D5570" s="4" t="s">
        <v>564</v>
      </c>
      <c r="E5570" s="4" t="s">
        <v>402</v>
      </c>
    </row>
    <row r="5571" spans="1:5" ht="26" hidden="1" x14ac:dyDescent="0.15">
      <c r="A5571" s="1" t="s">
        <v>569</v>
      </c>
      <c r="B5571" s="2">
        <v>192086</v>
      </c>
      <c r="C5571" s="3">
        <v>9.1999999999999998E-2</v>
      </c>
      <c r="D5571" s="4" t="s">
        <v>564</v>
      </c>
      <c r="E5571" s="4" t="s">
        <v>402</v>
      </c>
    </row>
    <row r="5572" spans="1:5" ht="26" hidden="1" x14ac:dyDescent="0.15">
      <c r="A5572" s="1" t="s">
        <v>570</v>
      </c>
      <c r="B5572" s="2">
        <v>126384</v>
      </c>
      <c r="C5572" s="3">
        <v>6.0999999999999999E-2</v>
      </c>
      <c r="D5572" s="4" t="s">
        <v>564</v>
      </c>
      <c r="E5572" s="4" t="s">
        <v>402</v>
      </c>
    </row>
    <row r="5573" spans="1:5" ht="26" hidden="1" x14ac:dyDescent="0.15">
      <c r="A5573" s="1" t="s">
        <v>571</v>
      </c>
      <c r="B5573" s="2">
        <v>58855</v>
      </c>
      <c r="C5573" s="3">
        <v>2.7999999999999997E-2</v>
      </c>
      <c r="D5573" s="4" t="s">
        <v>564</v>
      </c>
      <c r="E5573" s="4" t="s">
        <v>402</v>
      </c>
    </row>
    <row r="5574" spans="1:5" ht="26" hidden="1" x14ac:dyDescent="0.15">
      <c r="A5574" s="1" t="s">
        <v>572</v>
      </c>
      <c r="B5574" s="2">
        <v>54256</v>
      </c>
      <c r="C5574" s="3">
        <v>2.6000000000000002E-2</v>
      </c>
      <c r="D5574" s="4" t="s">
        <v>564</v>
      </c>
      <c r="E5574" s="4" t="s">
        <v>402</v>
      </c>
    </row>
    <row r="5575" spans="1:5" ht="26" hidden="1" x14ac:dyDescent="0.15">
      <c r="A5575" s="1" t="s">
        <v>573</v>
      </c>
      <c r="B5575" s="2">
        <v>205916</v>
      </c>
      <c r="C5575" s="3">
        <v>9.9000000000000005E-2</v>
      </c>
      <c r="D5575" s="4" t="s">
        <v>564</v>
      </c>
      <c r="E5575" s="4" t="s">
        <v>402</v>
      </c>
    </row>
    <row r="5576" spans="1:5" hidden="1" x14ac:dyDescent="0.15">
      <c r="A5576" s="1" t="s">
        <v>0</v>
      </c>
      <c r="B5576" s="2">
        <v>1526717</v>
      </c>
      <c r="C5576" s="3">
        <v>1</v>
      </c>
      <c r="D5576" s="4" t="s">
        <v>574</v>
      </c>
      <c r="E5576" s="4" t="s">
        <v>2</v>
      </c>
    </row>
    <row r="5577" spans="1:5" ht="26" hidden="1" x14ac:dyDescent="0.15">
      <c r="A5577" s="1" t="s">
        <v>3</v>
      </c>
      <c r="B5577" s="2">
        <v>17187</v>
      </c>
      <c r="C5577" s="3">
        <v>1.1000000000000001E-2</v>
      </c>
      <c r="D5577" s="4" t="s">
        <v>574</v>
      </c>
      <c r="E5577" s="4" t="s">
        <v>2</v>
      </c>
    </row>
    <row r="5578" spans="1:5" hidden="1" x14ac:dyDescent="0.15">
      <c r="A5578" s="1" t="s">
        <v>4</v>
      </c>
      <c r="B5578" s="2">
        <v>4883</v>
      </c>
      <c r="C5578" s="3">
        <v>3.0000000000000001E-3</v>
      </c>
      <c r="D5578" s="4" t="s">
        <v>574</v>
      </c>
      <c r="E5578" s="4" t="s">
        <v>2</v>
      </c>
    </row>
    <row r="5579" spans="1:5" ht="26" hidden="1" x14ac:dyDescent="0.15">
      <c r="A5579" s="1" t="s">
        <v>5</v>
      </c>
      <c r="B5579" s="2">
        <v>29454</v>
      </c>
      <c r="C5579" s="3">
        <v>1.9E-2</v>
      </c>
      <c r="D5579" s="4" t="s">
        <v>574</v>
      </c>
      <c r="E5579" s="4" t="s">
        <v>2</v>
      </c>
    </row>
    <row r="5580" spans="1:5" ht="26" hidden="1" x14ac:dyDescent="0.15">
      <c r="A5580" s="1" t="s">
        <v>6</v>
      </c>
      <c r="B5580" s="2">
        <v>111946</v>
      </c>
      <c r="C5580" s="3">
        <v>7.2999999999999995E-2</v>
      </c>
      <c r="D5580" s="4" t="s">
        <v>574</v>
      </c>
      <c r="E5580" s="4" t="s">
        <v>2</v>
      </c>
    </row>
    <row r="5581" spans="1:5" ht="26" hidden="1" x14ac:dyDescent="0.15">
      <c r="A5581" s="1" t="s">
        <v>7</v>
      </c>
      <c r="B5581" s="2">
        <v>292507</v>
      </c>
      <c r="C5581" s="3">
        <v>0.192</v>
      </c>
      <c r="D5581" s="4" t="s">
        <v>574</v>
      </c>
      <c r="E5581" s="4" t="s">
        <v>2</v>
      </c>
    </row>
    <row r="5582" spans="1:5" ht="26" hidden="1" x14ac:dyDescent="0.15">
      <c r="A5582" s="1" t="s">
        <v>8</v>
      </c>
      <c r="B5582" s="2">
        <v>6512</v>
      </c>
      <c r="C5582" s="3">
        <v>4.0000000000000001E-3</v>
      </c>
      <c r="D5582" s="4" t="s">
        <v>574</v>
      </c>
      <c r="E5582" s="4" t="s">
        <v>2</v>
      </c>
    </row>
    <row r="5583" spans="1:5" ht="26" hidden="1" x14ac:dyDescent="0.15">
      <c r="A5583" s="1" t="s">
        <v>9</v>
      </c>
      <c r="B5583" s="2">
        <v>22612</v>
      </c>
      <c r="C5583" s="3">
        <v>1.4999999999999999E-2</v>
      </c>
      <c r="D5583" s="4" t="s">
        <v>574</v>
      </c>
      <c r="E5583" s="4" t="s">
        <v>2</v>
      </c>
    </row>
    <row r="5584" spans="1:5" ht="26" hidden="1" x14ac:dyDescent="0.15">
      <c r="A5584" s="1" t="s">
        <v>10</v>
      </c>
      <c r="B5584" s="2">
        <v>24454</v>
      </c>
      <c r="C5584" s="3">
        <v>1.6E-2</v>
      </c>
      <c r="D5584" s="4" t="s">
        <v>574</v>
      </c>
      <c r="E5584" s="4" t="s">
        <v>2</v>
      </c>
    </row>
    <row r="5585" spans="1:5" ht="26" hidden="1" x14ac:dyDescent="0.15">
      <c r="A5585" s="1" t="s">
        <v>11</v>
      </c>
      <c r="B5585" s="2">
        <v>83212</v>
      </c>
      <c r="C5585" s="3">
        <v>5.5E-2</v>
      </c>
      <c r="D5585" s="4" t="s">
        <v>574</v>
      </c>
      <c r="E5585" s="4" t="s">
        <v>2</v>
      </c>
    </row>
    <row r="5586" spans="1:5" ht="26" hidden="1" x14ac:dyDescent="0.15">
      <c r="A5586" s="1" t="s">
        <v>12</v>
      </c>
      <c r="B5586" s="2">
        <v>31856</v>
      </c>
      <c r="C5586" s="3">
        <v>2.1000000000000001E-2</v>
      </c>
      <c r="D5586" s="4" t="s">
        <v>574</v>
      </c>
      <c r="E5586" s="4" t="s">
        <v>2</v>
      </c>
    </row>
    <row r="5587" spans="1:5" ht="26" hidden="1" x14ac:dyDescent="0.15">
      <c r="A5587" s="1" t="s">
        <v>13</v>
      </c>
      <c r="B5587" s="2">
        <v>9644</v>
      </c>
      <c r="C5587" s="3">
        <v>6.0000000000000001E-3</v>
      </c>
      <c r="D5587" s="4" t="s">
        <v>574</v>
      </c>
      <c r="E5587" s="4" t="s">
        <v>2</v>
      </c>
    </row>
    <row r="5588" spans="1:5" hidden="1" x14ac:dyDescent="0.15">
      <c r="A5588" s="1" t="s">
        <v>14</v>
      </c>
      <c r="B5588" s="2">
        <v>85092</v>
      </c>
      <c r="C5588" s="3">
        <v>5.5999999999999994E-2</v>
      </c>
      <c r="D5588" s="4" t="s">
        <v>574</v>
      </c>
      <c r="E5588" s="4" t="s">
        <v>2</v>
      </c>
    </row>
    <row r="5589" spans="1:5" ht="26" hidden="1" x14ac:dyDescent="0.15">
      <c r="A5589" s="1" t="s">
        <v>15</v>
      </c>
      <c r="B5589" s="2">
        <v>75572</v>
      </c>
      <c r="C5589" s="3">
        <v>4.9000000000000002E-2</v>
      </c>
      <c r="D5589" s="4" t="s">
        <v>574</v>
      </c>
      <c r="E5589" s="4" t="s">
        <v>2</v>
      </c>
    </row>
    <row r="5590" spans="1:5" ht="26" hidden="1" x14ac:dyDescent="0.15">
      <c r="A5590" s="1" t="s">
        <v>16</v>
      </c>
      <c r="B5590" s="2">
        <v>64201</v>
      </c>
      <c r="C5590" s="3">
        <v>4.2000000000000003E-2</v>
      </c>
      <c r="D5590" s="4" t="s">
        <v>574</v>
      </c>
      <c r="E5590" s="4" t="s">
        <v>2</v>
      </c>
    </row>
    <row r="5591" spans="1:5" ht="26" hidden="1" x14ac:dyDescent="0.15">
      <c r="A5591" s="1" t="s">
        <v>17</v>
      </c>
      <c r="B5591" s="2">
        <v>23328</v>
      </c>
      <c r="C5591" s="3">
        <v>1.4999999999999999E-2</v>
      </c>
      <c r="D5591" s="4" t="s">
        <v>574</v>
      </c>
      <c r="E5591" s="4" t="s">
        <v>2</v>
      </c>
    </row>
    <row r="5592" spans="1:5" hidden="1" x14ac:dyDescent="0.15">
      <c r="A5592" s="1" t="s">
        <v>18</v>
      </c>
      <c r="B5592" s="2">
        <v>20173</v>
      </c>
      <c r="C5592" s="3">
        <v>1.3000000000000001E-2</v>
      </c>
      <c r="D5592" s="4" t="s">
        <v>574</v>
      </c>
      <c r="E5592" s="4" t="s">
        <v>2</v>
      </c>
    </row>
    <row r="5593" spans="1:5" hidden="1" x14ac:dyDescent="0.15">
      <c r="A5593" s="1" t="s">
        <v>19</v>
      </c>
      <c r="B5593" s="2">
        <v>220509</v>
      </c>
      <c r="C5593" s="3">
        <v>0.14400000000000002</v>
      </c>
      <c r="D5593" s="4" t="s">
        <v>574</v>
      </c>
      <c r="E5593" s="4" t="s">
        <v>2</v>
      </c>
    </row>
    <row r="5594" spans="1:5" hidden="1" x14ac:dyDescent="0.15">
      <c r="A5594" s="1" t="s">
        <v>20</v>
      </c>
      <c r="B5594" s="2">
        <v>23638</v>
      </c>
      <c r="C5594" s="3">
        <v>1.4999999999999999E-2</v>
      </c>
      <c r="D5594" s="4" t="s">
        <v>574</v>
      </c>
      <c r="E5594" s="4" t="s">
        <v>2</v>
      </c>
    </row>
    <row r="5595" spans="1:5" ht="26" hidden="1" x14ac:dyDescent="0.15">
      <c r="A5595" s="1" t="s">
        <v>21</v>
      </c>
      <c r="B5595" s="2">
        <v>28442</v>
      </c>
      <c r="C5595" s="3">
        <v>1.9E-2</v>
      </c>
      <c r="D5595" s="4" t="s">
        <v>574</v>
      </c>
      <c r="E5595" s="4" t="s">
        <v>2</v>
      </c>
    </row>
    <row r="5596" spans="1:5" ht="26" hidden="1" x14ac:dyDescent="0.15">
      <c r="A5596" s="1" t="s">
        <v>22</v>
      </c>
      <c r="B5596" s="2">
        <v>15583</v>
      </c>
      <c r="C5596" s="3">
        <v>0.01</v>
      </c>
      <c r="D5596" s="4" t="s">
        <v>574</v>
      </c>
      <c r="E5596" s="4" t="s">
        <v>2</v>
      </c>
    </row>
    <row r="5597" spans="1:5" ht="26" hidden="1" x14ac:dyDescent="0.15">
      <c r="A5597" s="1" t="s">
        <v>23</v>
      </c>
      <c r="B5597" s="2">
        <v>34906</v>
      </c>
      <c r="C5597" s="3">
        <v>2.3E-2</v>
      </c>
      <c r="D5597" s="4" t="s">
        <v>574</v>
      </c>
      <c r="E5597" s="4" t="s">
        <v>2</v>
      </c>
    </row>
    <row r="5598" spans="1:5" ht="26" hidden="1" x14ac:dyDescent="0.15">
      <c r="A5598" s="1" t="s">
        <v>24</v>
      </c>
      <c r="B5598" s="2">
        <v>25202</v>
      </c>
      <c r="C5598" s="3">
        <v>1.7000000000000001E-2</v>
      </c>
      <c r="D5598" s="4" t="s">
        <v>574</v>
      </c>
      <c r="E5598" s="4" t="s">
        <v>2</v>
      </c>
    </row>
    <row r="5599" spans="1:5" ht="26" hidden="1" x14ac:dyDescent="0.15">
      <c r="A5599" s="1" t="s">
        <v>25</v>
      </c>
      <c r="B5599" s="2">
        <v>23303</v>
      </c>
      <c r="C5599" s="3">
        <v>1.4999999999999999E-2</v>
      </c>
      <c r="D5599" s="4" t="s">
        <v>574</v>
      </c>
      <c r="E5599" s="4" t="s">
        <v>2</v>
      </c>
    </row>
    <row r="5600" spans="1:5" hidden="1" x14ac:dyDescent="0.15">
      <c r="A5600" s="1" t="s">
        <v>26</v>
      </c>
      <c r="B5600" s="2">
        <v>16045</v>
      </c>
      <c r="C5600" s="3">
        <v>1.1000000000000001E-2</v>
      </c>
      <c r="D5600" s="4" t="s">
        <v>574</v>
      </c>
      <c r="E5600" s="4" t="s">
        <v>2</v>
      </c>
    </row>
    <row r="5601" spans="1:5" hidden="1" x14ac:dyDescent="0.15">
      <c r="A5601" s="1" t="s">
        <v>27</v>
      </c>
      <c r="B5601" s="2">
        <v>164437</v>
      </c>
      <c r="C5601" s="3">
        <v>0.10800000000000001</v>
      </c>
      <c r="D5601" s="4" t="s">
        <v>574</v>
      </c>
      <c r="E5601" s="4" t="s">
        <v>2</v>
      </c>
    </row>
    <row r="5602" spans="1:5" hidden="1" x14ac:dyDescent="0.15">
      <c r="A5602" s="1" t="s">
        <v>28</v>
      </c>
      <c r="B5602" s="2">
        <v>56413</v>
      </c>
      <c r="C5602" s="3">
        <v>3.7000000000000005E-2</v>
      </c>
      <c r="D5602" s="4" t="s">
        <v>574</v>
      </c>
      <c r="E5602" s="4" t="s">
        <v>2</v>
      </c>
    </row>
    <row r="5603" spans="1:5" hidden="1" x14ac:dyDescent="0.15">
      <c r="A5603" s="1" t="s">
        <v>29</v>
      </c>
      <c r="B5603" s="2">
        <v>466569</v>
      </c>
      <c r="C5603" s="3">
        <v>0.30599999999999999</v>
      </c>
      <c r="D5603" s="4" t="s">
        <v>574</v>
      </c>
      <c r="E5603" s="4" t="s">
        <v>2</v>
      </c>
    </row>
    <row r="5604" spans="1:5" hidden="1" x14ac:dyDescent="0.15">
      <c r="A5604" s="1" t="s">
        <v>30</v>
      </c>
      <c r="B5604" s="2">
        <v>95040</v>
      </c>
      <c r="C5604" s="3">
        <v>6.2E-2</v>
      </c>
      <c r="D5604" s="4" t="s">
        <v>574</v>
      </c>
      <c r="E5604" s="4" t="s">
        <v>2</v>
      </c>
    </row>
    <row r="5605" spans="1:5" ht="39" hidden="1" x14ac:dyDescent="0.15">
      <c r="A5605" s="1" t="s">
        <v>31</v>
      </c>
      <c r="B5605" s="2">
        <v>2897</v>
      </c>
      <c r="C5605" s="3">
        <v>2E-3</v>
      </c>
      <c r="D5605" s="4" t="s">
        <v>574</v>
      </c>
      <c r="E5605" s="4" t="s">
        <v>2</v>
      </c>
    </row>
    <row r="5606" spans="1:5" hidden="1" x14ac:dyDescent="0.15">
      <c r="A5606" s="1" t="s">
        <v>32</v>
      </c>
      <c r="B5606" s="2">
        <v>53397</v>
      </c>
      <c r="C5606" s="3">
        <v>3.5000000000000003E-2</v>
      </c>
      <c r="D5606" s="4" t="s">
        <v>574</v>
      </c>
      <c r="E5606" s="4" t="s">
        <v>2</v>
      </c>
    </row>
    <row r="5607" spans="1:5" hidden="1" x14ac:dyDescent="0.15">
      <c r="A5607" s="1" t="s">
        <v>33</v>
      </c>
      <c r="B5607" s="2">
        <v>400032</v>
      </c>
      <c r="C5607" s="3">
        <v>0.26200000000000001</v>
      </c>
      <c r="D5607" s="4" t="s">
        <v>574</v>
      </c>
      <c r="E5607" s="4" t="s">
        <v>2</v>
      </c>
    </row>
    <row r="5608" spans="1:5" hidden="1" x14ac:dyDescent="0.15">
      <c r="A5608" s="1" t="s">
        <v>34</v>
      </c>
      <c r="B5608" s="2">
        <v>97447</v>
      </c>
      <c r="C5608" s="3">
        <v>6.4000000000000001E-2</v>
      </c>
      <c r="D5608" s="4" t="s">
        <v>574</v>
      </c>
      <c r="E5608" s="4" t="s">
        <v>2</v>
      </c>
    </row>
    <row r="5609" spans="1:5" hidden="1" x14ac:dyDescent="0.15">
      <c r="A5609" s="1" t="s">
        <v>35</v>
      </c>
      <c r="B5609" s="2">
        <v>28936</v>
      </c>
      <c r="C5609" s="3">
        <v>1.9E-2</v>
      </c>
      <c r="D5609" s="4" t="s">
        <v>574</v>
      </c>
      <c r="E5609" s="4" t="s">
        <v>2</v>
      </c>
    </row>
    <row r="5610" spans="1:5" ht="26" hidden="1" x14ac:dyDescent="0.15">
      <c r="A5610" s="1" t="s">
        <v>36</v>
      </c>
      <c r="B5610" s="2">
        <v>24628</v>
      </c>
      <c r="C5610" s="3">
        <v>1.6E-2</v>
      </c>
      <c r="D5610" s="4" t="s">
        <v>574</v>
      </c>
      <c r="E5610" s="4" t="s">
        <v>2</v>
      </c>
    </row>
    <row r="5611" spans="1:5" hidden="1" x14ac:dyDescent="0.15">
      <c r="A5611" s="1" t="s">
        <v>37</v>
      </c>
      <c r="B5611" s="2">
        <v>15527</v>
      </c>
      <c r="C5611" s="3">
        <v>0.01</v>
      </c>
      <c r="D5611" s="4" t="s">
        <v>574</v>
      </c>
      <c r="E5611" s="4" t="s">
        <v>2</v>
      </c>
    </row>
    <row r="5612" spans="1:5" ht="39" hidden="1" x14ac:dyDescent="0.15">
      <c r="A5612" s="1" t="s">
        <v>38</v>
      </c>
      <c r="B5612" s="2">
        <v>23403</v>
      </c>
      <c r="C5612" s="3">
        <v>1.4999999999999999E-2</v>
      </c>
      <c r="D5612" s="4" t="s">
        <v>574</v>
      </c>
      <c r="E5612" s="4" t="s">
        <v>2</v>
      </c>
    </row>
    <row r="5613" spans="1:5" hidden="1" x14ac:dyDescent="0.15">
      <c r="A5613" s="1" t="s">
        <v>39</v>
      </c>
      <c r="B5613" s="2">
        <v>57838</v>
      </c>
      <c r="C5613" s="3">
        <v>3.7999999999999999E-2</v>
      </c>
      <c r="D5613" s="4" t="s">
        <v>574</v>
      </c>
      <c r="E5613" s="4" t="s">
        <v>2</v>
      </c>
    </row>
    <row r="5614" spans="1:5" hidden="1" x14ac:dyDescent="0.15">
      <c r="A5614" s="1" t="s">
        <v>40</v>
      </c>
      <c r="B5614" s="2">
        <v>18317</v>
      </c>
      <c r="C5614" s="3">
        <v>1.2E-2</v>
      </c>
      <c r="D5614" s="4" t="s">
        <v>574</v>
      </c>
      <c r="E5614" s="4" t="s">
        <v>2</v>
      </c>
    </row>
    <row r="5615" spans="1:5" hidden="1" x14ac:dyDescent="0.15">
      <c r="A5615" s="1" t="s">
        <v>41</v>
      </c>
      <c r="B5615" s="2">
        <v>30278</v>
      </c>
      <c r="C5615" s="3">
        <v>0.02</v>
      </c>
      <c r="D5615" s="4" t="s">
        <v>574</v>
      </c>
      <c r="E5615" s="4" t="s">
        <v>2</v>
      </c>
    </row>
    <row r="5616" spans="1:5" hidden="1" x14ac:dyDescent="0.15">
      <c r="A5616" s="1" t="s">
        <v>42</v>
      </c>
      <c r="B5616" s="2">
        <v>45352</v>
      </c>
      <c r="C5616" s="3">
        <v>0.03</v>
      </c>
      <c r="D5616" s="4" t="s">
        <v>574</v>
      </c>
      <c r="E5616" s="4" t="s">
        <v>2</v>
      </c>
    </row>
    <row r="5617" spans="1:5" hidden="1" x14ac:dyDescent="0.15">
      <c r="A5617" s="1" t="s">
        <v>43</v>
      </c>
      <c r="B5617" s="2">
        <v>137576</v>
      </c>
      <c r="C5617" s="3">
        <v>0.09</v>
      </c>
      <c r="D5617" s="4" t="s">
        <v>574</v>
      </c>
      <c r="E5617" s="4" t="s">
        <v>2</v>
      </c>
    </row>
    <row r="5618" spans="1:5" ht="26" hidden="1" x14ac:dyDescent="0.15">
      <c r="A5618" s="1" t="s">
        <v>44</v>
      </c>
      <c r="B5618" s="2">
        <v>127440</v>
      </c>
      <c r="C5618" s="3">
        <v>8.3000000000000004E-2</v>
      </c>
      <c r="D5618" s="4" t="s">
        <v>574</v>
      </c>
      <c r="E5618" s="4" t="s">
        <v>2</v>
      </c>
    </row>
    <row r="5619" spans="1:5" hidden="1" x14ac:dyDescent="0.15">
      <c r="A5619" s="1" t="s">
        <v>45</v>
      </c>
      <c r="B5619" s="2">
        <v>209448</v>
      </c>
      <c r="C5619" s="3">
        <v>0.13699999999999998</v>
      </c>
      <c r="D5619" s="4" t="s">
        <v>574</v>
      </c>
      <c r="E5619" s="4" t="s">
        <v>2</v>
      </c>
    </row>
    <row r="5620" spans="1:5" ht="26" hidden="1" x14ac:dyDescent="0.15">
      <c r="A5620" s="1" t="s">
        <v>46</v>
      </c>
      <c r="B5620" s="2">
        <v>378330</v>
      </c>
      <c r="C5620" s="3">
        <v>0.248</v>
      </c>
      <c r="D5620" s="4" t="s">
        <v>574</v>
      </c>
      <c r="E5620" s="4" t="s">
        <v>2</v>
      </c>
    </row>
    <row r="5621" spans="1:5" hidden="1" x14ac:dyDescent="0.15">
      <c r="A5621" s="1" t="s">
        <v>47</v>
      </c>
      <c r="B5621" s="2">
        <v>668022</v>
      </c>
      <c r="C5621" s="3">
        <v>0.43799999999999994</v>
      </c>
      <c r="D5621" s="4" t="s">
        <v>574</v>
      </c>
      <c r="E5621" s="4" t="s">
        <v>2</v>
      </c>
    </row>
    <row r="5622" spans="1:5" hidden="1" x14ac:dyDescent="0.15">
      <c r="A5622" s="1" t="s">
        <v>48</v>
      </c>
      <c r="B5622" s="2">
        <v>109406</v>
      </c>
      <c r="C5622" s="3">
        <v>7.2000000000000008E-2</v>
      </c>
      <c r="D5622" s="4" t="s">
        <v>574</v>
      </c>
      <c r="E5622" s="4" t="s">
        <v>2</v>
      </c>
    </row>
    <row r="5623" spans="1:5" hidden="1" x14ac:dyDescent="0.15">
      <c r="A5623" s="1" t="s">
        <v>49</v>
      </c>
      <c r="B5623" s="2">
        <v>152320</v>
      </c>
      <c r="C5623" s="3">
        <v>0.1</v>
      </c>
      <c r="D5623" s="4" t="s">
        <v>574</v>
      </c>
      <c r="E5623" s="4" t="s">
        <v>2</v>
      </c>
    </row>
    <row r="5624" spans="1:5" ht="26" hidden="1" x14ac:dyDescent="0.15">
      <c r="A5624" s="1" t="s">
        <v>50</v>
      </c>
      <c r="B5624" s="2">
        <v>224416</v>
      </c>
      <c r="C5624" s="3">
        <v>0.14699999999999999</v>
      </c>
      <c r="D5624" s="4" t="s">
        <v>574</v>
      </c>
      <c r="E5624" s="4" t="s">
        <v>2</v>
      </c>
    </row>
    <row r="5625" spans="1:5" hidden="1" x14ac:dyDescent="0.15">
      <c r="A5625" s="1" t="s">
        <v>51</v>
      </c>
      <c r="B5625" s="2">
        <v>472295</v>
      </c>
      <c r="C5625" s="3">
        <v>0.309</v>
      </c>
      <c r="D5625" s="4" t="s">
        <v>574</v>
      </c>
      <c r="E5625" s="4" t="s">
        <v>2</v>
      </c>
    </row>
    <row r="5626" spans="1:5" hidden="1" x14ac:dyDescent="0.15">
      <c r="A5626" s="1" t="s">
        <v>52</v>
      </c>
      <c r="B5626" s="2">
        <v>161430</v>
      </c>
      <c r="C5626" s="3">
        <v>0.106</v>
      </c>
      <c r="D5626" s="4" t="s">
        <v>574</v>
      </c>
      <c r="E5626" s="4" t="s">
        <v>2</v>
      </c>
    </row>
    <row r="5627" spans="1:5" ht="26" hidden="1" x14ac:dyDescent="0.15">
      <c r="A5627" s="1" t="s">
        <v>53</v>
      </c>
      <c r="B5627" s="2">
        <v>102202</v>
      </c>
      <c r="C5627" s="3">
        <v>6.7000000000000004E-2</v>
      </c>
      <c r="D5627" s="4" t="s">
        <v>574</v>
      </c>
      <c r="E5627" s="4" t="s">
        <v>2</v>
      </c>
    </row>
    <row r="5628" spans="1:5" hidden="1" x14ac:dyDescent="0.15">
      <c r="A5628" s="1" t="s">
        <v>54</v>
      </c>
      <c r="B5628" s="2">
        <v>514708</v>
      </c>
      <c r="C5628" s="3">
        <v>0.33700000000000002</v>
      </c>
      <c r="D5628" s="4" t="s">
        <v>574</v>
      </c>
      <c r="E5628" s="4" t="s">
        <v>2</v>
      </c>
    </row>
    <row r="5629" spans="1:5" ht="26" hidden="1" x14ac:dyDescent="0.15">
      <c r="A5629" s="1" t="s">
        <v>55</v>
      </c>
      <c r="B5629" s="2">
        <v>457453</v>
      </c>
      <c r="C5629" s="3">
        <v>0.3</v>
      </c>
      <c r="D5629" s="4" t="s">
        <v>574</v>
      </c>
      <c r="E5629" s="4" t="s">
        <v>2</v>
      </c>
    </row>
    <row r="5630" spans="1:5" hidden="1" x14ac:dyDescent="0.15">
      <c r="A5630" s="1" t="s">
        <v>56</v>
      </c>
      <c r="B5630" s="2">
        <v>348923</v>
      </c>
      <c r="C5630" s="3">
        <v>0.22899999999999998</v>
      </c>
      <c r="D5630" s="4" t="s">
        <v>574</v>
      </c>
      <c r="E5630" s="4" t="s">
        <v>2</v>
      </c>
    </row>
    <row r="5631" spans="1:5" hidden="1" x14ac:dyDescent="0.15">
      <c r="A5631" s="1" t="s">
        <v>57</v>
      </c>
      <c r="B5631" s="2">
        <v>186893</v>
      </c>
      <c r="C5631" s="3">
        <v>0.122</v>
      </c>
      <c r="D5631" s="4" t="s">
        <v>574</v>
      </c>
      <c r="E5631" s="4" t="s">
        <v>2</v>
      </c>
    </row>
    <row r="5632" spans="1:5" hidden="1" x14ac:dyDescent="0.15">
      <c r="A5632" s="1" t="s">
        <v>58</v>
      </c>
      <c r="B5632" s="2">
        <v>157034</v>
      </c>
      <c r="C5632" s="3">
        <v>0.10300000000000001</v>
      </c>
      <c r="D5632" s="4" t="s">
        <v>574</v>
      </c>
      <c r="E5632" s="4" t="s">
        <v>2</v>
      </c>
    </row>
    <row r="5633" spans="1:5" hidden="1" x14ac:dyDescent="0.15">
      <c r="A5633" s="1" t="s">
        <v>59</v>
      </c>
      <c r="B5633" s="2">
        <v>719822</v>
      </c>
      <c r="C5633" s="3">
        <v>0.47100000000000003</v>
      </c>
      <c r="D5633" s="4" t="s">
        <v>574</v>
      </c>
      <c r="E5633" s="4" t="s">
        <v>2</v>
      </c>
    </row>
    <row r="5634" spans="1:5" hidden="1" x14ac:dyDescent="0.15">
      <c r="A5634" s="1" t="s">
        <v>60</v>
      </c>
      <c r="B5634" s="2">
        <v>201670</v>
      </c>
      <c r="C5634" s="3">
        <v>0.13200000000000001</v>
      </c>
      <c r="D5634" s="4" t="s">
        <v>574</v>
      </c>
      <c r="E5634" s="4" t="s">
        <v>2</v>
      </c>
    </row>
    <row r="5635" spans="1:5" ht="26" hidden="1" x14ac:dyDescent="0.15">
      <c r="A5635" s="1" t="s">
        <v>61</v>
      </c>
      <c r="B5635" s="2">
        <v>220109</v>
      </c>
      <c r="C5635" s="3">
        <v>0.14400000000000002</v>
      </c>
      <c r="D5635" s="4" t="s">
        <v>574</v>
      </c>
      <c r="E5635" s="4" t="s">
        <v>2</v>
      </c>
    </row>
    <row r="5636" spans="1:5" hidden="1" x14ac:dyDescent="0.15">
      <c r="A5636" s="1" t="s">
        <v>62</v>
      </c>
      <c r="B5636" s="2">
        <v>70503</v>
      </c>
      <c r="C5636" s="3">
        <v>4.5999999999999999E-2</v>
      </c>
      <c r="D5636" s="4" t="s">
        <v>574</v>
      </c>
      <c r="E5636" s="4" t="s">
        <v>2</v>
      </c>
    </row>
    <row r="5637" spans="1:5" ht="26" hidden="1" x14ac:dyDescent="0.15">
      <c r="A5637" s="1" t="s">
        <v>63</v>
      </c>
      <c r="B5637" s="2">
        <v>272752</v>
      </c>
      <c r="C5637" s="3">
        <v>0.17899999999999999</v>
      </c>
      <c r="D5637" s="4" t="s">
        <v>574</v>
      </c>
      <c r="E5637" s="4" t="s">
        <v>2</v>
      </c>
    </row>
    <row r="5638" spans="1:5" ht="26" hidden="1" x14ac:dyDescent="0.15">
      <c r="A5638" s="1" t="s">
        <v>64</v>
      </c>
      <c r="B5638" s="2">
        <v>149815</v>
      </c>
      <c r="C5638" s="3">
        <v>9.8000000000000004E-2</v>
      </c>
      <c r="D5638" s="4" t="s">
        <v>574</v>
      </c>
      <c r="E5638" s="4" t="s">
        <v>2</v>
      </c>
    </row>
    <row r="5639" spans="1:5" hidden="1" x14ac:dyDescent="0.15">
      <c r="A5639" s="1" t="s">
        <v>65</v>
      </c>
      <c r="B5639" s="2">
        <v>200792</v>
      </c>
      <c r="C5639" s="3">
        <v>0.13200000000000001</v>
      </c>
      <c r="D5639" s="4" t="s">
        <v>574</v>
      </c>
      <c r="E5639" s="4" t="s">
        <v>2</v>
      </c>
    </row>
    <row r="5640" spans="1:5" hidden="1" x14ac:dyDescent="0.15">
      <c r="A5640" s="1" t="s">
        <v>66</v>
      </c>
      <c r="B5640" s="2">
        <v>116479</v>
      </c>
      <c r="C5640" s="3">
        <v>7.5999999999999998E-2</v>
      </c>
      <c r="D5640" s="4" t="s">
        <v>574</v>
      </c>
      <c r="E5640" s="4" t="s">
        <v>2</v>
      </c>
    </row>
    <row r="5641" spans="1:5" hidden="1" x14ac:dyDescent="0.15">
      <c r="A5641" s="1" t="s">
        <v>67</v>
      </c>
      <c r="B5641" s="2">
        <v>501812</v>
      </c>
      <c r="C5641" s="3">
        <v>0.32899999999999996</v>
      </c>
      <c r="D5641" s="4" t="s">
        <v>574</v>
      </c>
      <c r="E5641" s="4" t="s">
        <v>2</v>
      </c>
    </row>
    <row r="5642" spans="1:5" hidden="1" x14ac:dyDescent="0.15">
      <c r="A5642" s="1" t="s">
        <v>68</v>
      </c>
      <c r="B5642" s="2">
        <v>313360</v>
      </c>
      <c r="C5642" s="3">
        <v>0.20499999999999999</v>
      </c>
      <c r="D5642" s="4" t="s">
        <v>574</v>
      </c>
      <c r="E5642" s="4" t="s">
        <v>2</v>
      </c>
    </row>
    <row r="5643" spans="1:5" hidden="1" x14ac:dyDescent="0.15">
      <c r="A5643" s="1" t="s">
        <v>69</v>
      </c>
      <c r="B5643" s="2">
        <v>987268</v>
      </c>
      <c r="C5643" s="3">
        <v>0.64700000000000002</v>
      </c>
      <c r="D5643" s="4" t="s">
        <v>574</v>
      </c>
      <c r="E5643" s="4" t="s">
        <v>2</v>
      </c>
    </row>
    <row r="5644" spans="1:5" hidden="1" x14ac:dyDescent="0.15">
      <c r="A5644" s="1" t="s">
        <v>70</v>
      </c>
      <c r="B5644" s="2">
        <v>401385</v>
      </c>
      <c r="C5644" s="3">
        <v>0.26300000000000001</v>
      </c>
      <c r="D5644" s="4" t="s">
        <v>574</v>
      </c>
      <c r="E5644" s="4" t="s">
        <v>2</v>
      </c>
    </row>
    <row r="5645" spans="1:5" ht="26" hidden="1" x14ac:dyDescent="0.15">
      <c r="A5645" s="1" t="s">
        <v>71</v>
      </c>
      <c r="B5645" s="2">
        <v>52403</v>
      </c>
      <c r="C5645" s="3">
        <v>3.4000000000000002E-2</v>
      </c>
      <c r="D5645" s="4" t="s">
        <v>574</v>
      </c>
      <c r="E5645" s="4" t="s">
        <v>2</v>
      </c>
    </row>
    <row r="5646" spans="1:5" hidden="1" x14ac:dyDescent="0.15">
      <c r="A5646" s="1" t="s">
        <v>72</v>
      </c>
      <c r="B5646" s="2">
        <v>210689</v>
      </c>
      <c r="C5646" s="3">
        <v>0.13800000000000001</v>
      </c>
      <c r="D5646" s="4" t="s">
        <v>574</v>
      </c>
      <c r="E5646" s="4" t="s">
        <v>2</v>
      </c>
    </row>
    <row r="5647" spans="1:5" hidden="1" x14ac:dyDescent="0.15">
      <c r="A5647" s="1" t="s">
        <v>73</v>
      </c>
      <c r="B5647" s="2">
        <v>935733</v>
      </c>
      <c r="C5647" s="3">
        <v>0.61299999999999999</v>
      </c>
      <c r="D5647" s="4" t="s">
        <v>574</v>
      </c>
      <c r="E5647" s="4" t="s">
        <v>2</v>
      </c>
    </row>
    <row r="5648" spans="1:5" hidden="1" x14ac:dyDescent="0.15">
      <c r="A5648" s="1" t="s">
        <v>74</v>
      </c>
      <c r="B5648" s="2">
        <v>361471</v>
      </c>
      <c r="C5648" s="3">
        <v>0.23699999999999999</v>
      </c>
      <c r="D5648" s="4" t="s">
        <v>574</v>
      </c>
      <c r="E5648" s="4" t="s">
        <v>2</v>
      </c>
    </row>
    <row r="5649" spans="1:5" hidden="1" x14ac:dyDescent="0.15">
      <c r="A5649" s="1" t="s">
        <v>75</v>
      </c>
      <c r="B5649" s="2">
        <v>226303</v>
      </c>
      <c r="C5649" s="3">
        <v>0.14800000000000002</v>
      </c>
      <c r="D5649" s="4" t="s">
        <v>574</v>
      </c>
      <c r="E5649" s="4" t="s">
        <v>2</v>
      </c>
    </row>
    <row r="5650" spans="1:5" hidden="1" x14ac:dyDescent="0.15">
      <c r="A5650" s="1" t="s">
        <v>76</v>
      </c>
      <c r="B5650" s="2">
        <v>167599</v>
      </c>
      <c r="C5650" s="3">
        <v>0.11</v>
      </c>
      <c r="D5650" s="4" t="s">
        <v>574</v>
      </c>
      <c r="E5650" s="4" t="s">
        <v>2</v>
      </c>
    </row>
    <row r="5651" spans="1:5" hidden="1" x14ac:dyDescent="0.15">
      <c r="A5651" s="1" t="s">
        <v>77</v>
      </c>
      <c r="B5651" s="2">
        <v>139663</v>
      </c>
      <c r="C5651" s="3">
        <v>9.0999999999999998E-2</v>
      </c>
      <c r="D5651" s="4" t="s">
        <v>574</v>
      </c>
      <c r="E5651" s="4" t="s">
        <v>2</v>
      </c>
    </row>
    <row r="5652" spans="1:5" ht="26" hidden="1" x14ac:dyDescent="0.15">
      <c r="A5652" s="1" t="s">
        <v>78</v>
      </c>
      <c r="B5652" s="2">
        <v>149782</v>
      </c>
      <c r="C5652" s="3">
        <v>9.8000000000000004E-2</v>
      </c>
      <c r="D5652" s="4" t="s">
        <v>574</v>
      </c>
      <c r="E5652" s="4" t="s">
        <v>2</v>
      </c>
    </row>
    <row r="5653" spans="1:5" hidden="1" x14ac:dyDescent="0.15">
      <c r="A5653" s="1" t="s">
        <v>79</v>
      </c>
      <c r="B5653" s="2">
        <v>195689</v>
      </c>
      <c r="C5653" s="3">
        <v>0.128</v>
      </c>
      <c r="D5653" s="4" t="s">
        <v>574</v>
      </c>
      <c r="E5653" s="4" t="s">
        <v>2</v>
      </c>
    </row>
    <row r="5654" spans="1:5" hidden="1" x14ac:dyDescent="0.15">
      <c r="A5654" s="1" t="s">
        <v>80</v>
      </c>
      <c r="B5654" s="2">
        <v>121508</v>
      </c>
      <c r="C5654" s="3">
        <v>0.08</v>
      </c>
      <c r="D5654" s="4" t="s">
        <v>574</v>
      </c>
      <c r="E5654" s="4" t="s">
        <v>2</v>
      </c>
    </row>
    <row r="5655" spans="1:5" ht="26" hidden="1" x14ac:dyDescent="0.15">
      <c r="A5655" s="1" t="s">
        <v>81</v>
      </c>
      <c r="B5655" s="2">
        <v>210676</v>
      </c>
      <c r="C5655" s="3">
        <v>0.13800000000000001</v>
      </c>
      <c r="D5655" s="4" t="s">
        <v>574</v>
      </c>
      <c r="E5655" s="4" t="s">
        <v>2</v>
      </c>
    </row>
    <row r="5656" spans="1:5" hidden="1" x14ac:dyDescent="0.15">
      <c r="A5656" s="1" t="s">
        <v>82</v>
      </c>
      <c r="B5656" s="2">
        <v>165709</v>
      </c>
      <c r="C5656" s="3">
        <v>0.109</v>
      </c>
      <c r="D5656" s="4" t="s">
        <v>574</v>
      </c>
      <c r="E5656" s="4" t="s">
        <v>2</v>
      </c>
    </row>
    <row r="5657" spans="1:5" hidden="1" x14ac:dyDescent="0.15">
      <c r="A5657" s="4"/>
      <c r="B5657" s="4"/>
      <c r="C5657" s="4"/>
      <c r="D5657" s="4" t="s">
        <v>574</v>
      </c>
      <c r="E5657" s="4" t="s">
        <v>2</v>
      </c>
    </row>
    <row r="5658" spans="1:5" hidden="1" x14ac:dyDescent="0.15">
      <c r="A5658" s="5"/>
      <c r="B5658" s="5"/>
      <c r="C5658" s="5"/>
      <c r="D5658" s="4" t="s">
        <v>574</v>
      </c>
      <c r="E5658" s="4" t="s">
        <v>2</v>
      </c>
    </row>
    <row r="5659" spans="1:5" ht="26" hidden="1" x14ac:dyDescent="0.15">
      <c r="A5659" s="1" t="s">
        <v>91</v>
      </c>
      <c r="B5659" s="2">
        <v>139214</v>
      </c>
      <c r="C5659" s="3">
        <v>9.0999999999999998E-2</v>
      </c>
      <c r="D5659" s="4" t="s">
        <v>574</v>
      </c>
      <c r="E5659" s="4" t="s">
        <v>2</v>
      </c>
    </row>
    <row r="5660" spans="1:5" ht="26" hidden="1" x14ac:dyDescent="0.15">
      <c r="A5660" s="1" t="s">
        <v>92</v>
      </c>
      <c r="B5660" s="2">
        <v>530729</v>
      </c>
      <c r="C5660" s="3">
        <v>0.34799999999999998</v>
      </c>
      <c r="D5660" s="4" t="s">
        <v>574</v>
      </c>
      <c r="E5660" s="4" t="s">
        <v>2</v>
      </c>
    </row>
    <row r="5661" spans="1:5" hidden="1" x14ac:dyDescent="0.15">
      <c r="A5661" s="4"/>
      <c r="B5661" s="4"/>
      <c r="C5661" s="4"/>
      <c r="D5661" s="4" t="s">
        <v>574</v>
      </c>
      <c r="E5661" s="4" t="s">
        <v>2</v>
      </c>
    </row>
    <row r="5662" spans="1:5" hidden="1" x14ac:dyDescent="0.15">
      <c r="A5662" s="5" t="s">
        <v>397</v>
      </c>
      <c r="B5662" s="5"/>
      <c r="C5662" s="5"/>
      <c r="D5662" s="4" t="s">
        <v>574</v>
      </c>
      <c r="E5662" s="4" t="s">
        <v>2</v>
      </c>
    </row>
    <row r="5663" spans="1:5" ht="26" hidden="1" x14ac:dyDescent="0.15">
      <c r="A5663" s="1" t="s">
        <v>575</v>
      </c>
      <c r="B5663" s="2">
        <v>26104</v>
      </c>
      <c r="C5663" s="3">
        <v>1.7000000000000001E-2</v>
      </c>
      <c r="D5663" s="4" t="s">
        <v>574</v>
      </c>
      <c r="E5663" s="4" t="s">
        <v>2</v>
      </c>
    </row>
    <row r="5664" spans="1:5" hidden="1" x14ac:dyDescent="0.15">
      <c r="A5664" s="1" t="s">
        <v>576</v>
      </c>
      <c r="B5664" s="2">
        <v>18577</v>
      </c>
      <c r="C5664" s="3">
        <v>1.2E-2</v>
      </c>
      <c r="D5664" s="4" t="s">
        <v>574</v>
      </c>
      <c r="E5664" s="4" t="s">
        <v>2</v>
      </c>
    </row>
    <row r="5665" spans="1:5" ht="26" hidden="1" x14ac:dyDescent="0.15">
      <c r="A5665" s="1" t="s">
        <v>577</v>
      </c>
      <c r="B5665" s="2">
        <v>178792</v>
      </c>
      <c r="C5665" s="3">
        <v>0.11699999999999999</v>
      </c>
      <c r="D5665" s="4" t="s">
        <v>574</v>
      </c>
      <c r="E5665" s="4" t="s">
        <v>2</v>
      </c>
    </row>
    <row r="5666" spans="1:5" ht="26" hidden="1" x14ac:dyDescent="0.15">
      <c r="A5666" s="1" t="s">
        <v>578</v>
      </c>
      <c r="B5666" s="2">
        <v>144287</v>
      </c>
      <c r="C5666" s="3">
        <v>9.5000000000000001E-2</v>
      </c>
      <c r="D5666" s="4" t="s">
        <v>574</v>
      </c>
      <c r="E5666" s="4" t="s">
        <v>2</v>
      </c>
    </row>
    <row r="5667" spans="1:5" hidden="1" x14ac:dyDescent="0.15">
      <c r="A5667" s="4"/>
      <c r="B5667" s="4"/>
      <c r="C5667" s="4"/>
      <c r="D5667" s="4" t="s">
        <v>574</v>
      </c>
      <c r="E5667" s="4" t="s">
        <v>2</v>
      </c>
    </row>
    <row r="5668" spans="1:5" hidden="1" x14ac:dyDescent="0.15">
      <c r="A5668" s="5"/>
      <c r="B5668" s="5"/>
      <c r="C5668" s="5"/>
      <c r="D5668" s="4" t="s">
        <v>574</v>
      </c>
      <c r="E5668" s="4" t="s">
        <v>2</v>
      </c>
    </row>
    <row r="5669" spans="1:5" ht="26" hidden="1" x14ac:dyDescent="0.15">
      <c r="A5669" s="1" t="s">
        <v>579</v>
      </c>
      <c r="B5669" s="2">
        <v>11723</v>
      </c>
      <c r="C5669" s="3">
        <v>8.0000000000000002E-3</v>
      </c>
      <c r="D5669" s="4" t="s">
        <v>574</v>
      </c>
      <c r="E5669" s="4" t="s">
        <v>2</v>
      </c>
    </row>
    <row r="5670" spans="1:5" hidden="1" x14ac:dyDescent="0.15">
      <c r="A5670" s="4"/>
      <c r="B5670" s="4"/>
      <c r="C5670" s="4"/>
      <c r="D5670" s="4" t="s">
        <v>574</v>
      </c>
      <c r="E5670" s="4" t="s">
        <v>2</v>
      </c>
    </row>
    <row r="5671" spans="1:5" hidden="1" x14ac:dyDescent="0.15">
      <c r="A5671" s="5"/>
      <c r="B5671" s="5"/>
      <c r="C5671" s="5"/>
      <c r="D5671" s="4" t="s">
        <v>574</v>
      </c>
      <c r="E5671" s="4" t="s">
        <v>2</v>
      </c>
    </row>
    <row r="5672" spans="1:5" ht="26" hidden="1" x14ac:dyDescent="0.15">
      <c r="A5672" s="1" t="s">
        <v>309</v>
      </c>
      <c r="B5672" s="2">
        <v>306767</v>
      </c>
      <c r="C5672" s="3">
        <v>0.20100000000000001</v>
      </c>
      <c r="D5672" s="4" t="s">
        <v>574</v>
      </c>
      <c r="E5672" s="4" t="s">
        <v>2</v>
      </c>
    </row>
    <row r="5673" spans="1:5" ht="26" hidden="1" x14ac:dyDescent="0.15">
      <c r="A5673" s="1" t="s">
        <v>83</v>
      </c>
      <c r="B5673" s="2">
        <v>426080</v>
      </c>
      <c r="C5673" s="3">
        <v>0.27899999999999997</v>
      </c>
      <c r="D5673" s="4" t="s">
        <v>574</v>
      </c>
      <c r="E5673" s="4" t="s">
        <v>2</v>
      </c>
    </row>
    <row r="5674" spans="1:5" ht="26" hidden="1" x14ac:dyDescent="0.15">
      <c r="A5674" s="1" t="s">
        <v>86</v>
      </c>
      <c r="B5674" s="2">
        <v>115776</v>
      </c>
      <c r="C5674" s="3">
        <v>7.5999999999999998E-2</v>
      </c>
      <c r="D5674" s="4" t="s">
        <v>574</v>
      </c>
      <c r="E5674" s="4" t="s">
        <v>2</v>
      </c>
    </row>
    <row r="5675" spans="1:5" hidden="1" x14ac:dyDescent="0.15">
      <c r="A5675" s="4"/>
      <c r="B5675" s="4"/>
      <c r="C5675" s="4"/>
      <c r="D5675" s="4" t="s">
        <v>574</v>
      </c>
      <c r="E5675" s="4" t="s">
        <v>2</v>
      </c>
    </row>
    <row r="5676" spans="1:5" hidden="1" x14ac:dyDescent="0.15">
      <c r="A5676" s="5"/>
      <c r="B5676" s="5"/>
      <c r="C5676" s="5"/>
      <c r="D5676" s="4" t="s">
        <v>574</v>
      </c>
      <c r="E5676" s="4" t="s">
        <v>2</v>
      </c>
    </row>
    <row r="5677" spans="1:5" ht="26" hidden="1" x14ac:dyDescent="0.15">
      <c r="A5677" s="1" t="s">
        <v>580</v>
      </c>
      <c r="B5677" s="2">
        <v>433862</v>
      </c>
      <c r="C5677" s="3">
        <v>0.28399999999999997</v>
      </c>
      <c r="D5677" s="4" t="s">
        <v>574</v>
      </c>
      <c r="E5677" s="4" t="s">
        <v>2</v>
      </c>
    </row>
    <row r="5678" spans="1:5" ht="26" hidden="1" x14ac:dyDescent="0.15">
      <c r="A5678" s="1" t="s">
        <v>87</v>
      </c>
      <c r="B5678" s="2">
        <v>540740</v>
      </c>
      <c r="C5678" s="3">
        <v>0.35399999999999998</v>
      </c>
      <c r="D5678" s="4" t="s">
        <v>574</v>
      </c>
      <c r="E5678" s="4" t="s">
        <v>2</v>
      </c>
    </row>
    <row r="5679" spans="1:5" ht="26" hidden="1" x14ac:dyDescent="0.15">
      <c r="A5679" s="1" t="s">
        <v>88</v>
      </c>
      <c r="B5679" s="2">
        <v>559891</v>
      </c>
      <c r="C5679" s="3">
        <v>0.36700000000000005</v>
      </c>
      <c r="D5679" s="4" t="s">
        <v>574</v>
      </c>
      <c r="E5679" s="4" t="s">
        <v>2</v>
      </c>
    </row>
    <row r="5680" spans="1:5" ht="26" hidden="1" x14ac:dyDescent="0.15">
      <c r="A5680" s="1" t="s">
        <v>139</v>
      </c>
      <c r="B5680" s="2">
        <v>307124</v>
      </c>
      <c r="C5680" s="3">
        <v>0.20100000000000001</v>
      </c>
      <c r="D5680" s="4" t="s">
        <v>574</v>
      </c>
      <c r="E5680" s="4" t="s">
        <v>2</v>
      </c>
    </row>
    <row r="5681" spans="1:5" hidden="1" x14ac:dyDescent="0.15">
      <c r="A5681" s="4"/>
      <c r="B5681" s="4"/>
      <c r="C5681" s="4"/>
      <c r="D5681" s="4" t="s">
        <v>574</v>
      </c>
      <c r="E5681" s="4" t="s">
        <v>2</v>
      </c>
    </row>
    <row r="5682" spans="1:5" hidden="1" x14ac:dyDescent="0.15">
      <c r="A5682" s="5"/>
      <c r="B5682" s="5"/>
      <c r="C5682" s="5"/>
      <c r="D5682" s="4" t="s">
        <v>574</v>
      </c>
      <c r="E5682" s="4" t="s">
        <v>2</v>
      </c>
    </row>
    <row r="5683" spans="1:5" ht="26" hidden="1" x14ac:dyDescent="0.15">
      <c r="A5683" s="1" t="s">
        <v>89</v>
      </c>
      <c r="B5683" s="2">
        <v>195376</v>
      </c>
      <c r="C5683" s="3">
        <v>0.128</v>
      </c>
      <c r="D5683" s="4" t="s">
        <v>574</v>
      </c>
      <c r="E5683" s="4" t="s">
        <v>2</v>
      </c>
    </row>
    <row r="5684" spans="1:5" ht="26" hidden="1" x14ac:dyDescent="0.15">
      <c r="A5684" s="1" t="s">
        <v>140</v>
      </c>
      <c r="B5684" s="2">
        <v>92433</v>
      </c>
      <c r="C5684" s="3">
        <v>6.0999999999999999E-2</v>
      </c>
      <c r="D5684" s="4" t="s">
        <v>574</v>
      </c>
      <c r="E5684" s="4" t="s">
        <v>2</v>
      </c>
    </row>
    <row r="5685" spans="1:5" hidden="1" x14ac:dyDescent="0.15">
      <c r="A5685" s="1" t="s">
        <v>0</v>
      </c>
      <c r="B5685" s="2">
        <v>868446</v>
      </c>
      <c r="C5685" s="3">
        <v>1</v>
      </c>
      <c r="D5685" s="4" t="s">
        <v>581</v>
      </c>
      <c r="E5685" s="4" t="s">
        <v>272</v>
      </c>
    </row>
    <row r="5686" spans="1:5" ht="26" hidden="1" x14ac:dyDescent="0.15">
      <c r="A5686" s="1" t="s">
        <v>3</v>
      </c>
      <c r="B5686" s="2">
        <v>5268</v>
      </c>
      <c r="C5686" s="3">
        <v>6.0000000000000001E-3</v>
      </c>
      <c r="D5686" s="4" t="s">
        <v>581</v>
      </c>
      <c r="E5686" s="4" t="s">
        <v>272</v>
      </c>
    </row>
    <row r="5687" spans="1:5" hidden="1" x14ac:dyDescent="0.15">
      <c r="A5687" s="1" t="s">
        <v>4</v>
      </c>
      <c r="B5687" s="2">
        <v>21389</v>
      </c>
      <c r="C5687" s="3">
        <v>2.5000000000000001E-2</v>
      </c>
      <c r="D5687" s="4" t="s">
        <v>581</v>
      </c>
      <c r="E5687" s="4" t="s">
        <v>272</v>
      </c>
    </row>
    <row r="5688" spans="1:5" ht="26" hidden="1" x14ac:dyDescent="0.15">
      <c r="A5688" s="1" t="s">
        <v>5</v>
      </c>
      <c r="B5688" s="2">
        <v>20596</v>
      </c>
      <c r="C5688" s="3">
        <v>2.4E-2</v>
      </c>
      <c r="D5688" s="4" t="s">
        <v>581</v>
      </c>
      <c r="E5688" s="4" t="s">
        <v>272</v>
      </c>
    </row>
    <row r="5689" spans="1:5" ht="26" hidden="1" x14ac:dyDescent="0.15">
      <c r="A5689" s="1" t="s">
        <v>6</v>
      </c>
      <c r="B5689" s="2">
        <v>27294</v>
      </c>
      <c r="C5689" s="3">
        <v>3.1E-2</v>
      </c>
      <c r="D5689" s="4" t="s">
        <v>581</v>
      </c>
      <c r="E5689" s="4" t="s">
        <v>272</v>
      </c>
    </row>
    <row r="5690" spans="1:5" ht="26" hidden="1" x14ac:dyDescent="0.15">
      <c r="A5690" s="1" t="s">
        <v>7</v>
      </c>
      <c r="B5690" s="2">
        <v>91368</v>
      </c>
      <c r="C5690" s="3">
        <v>0.105</v>
      </c>
      <c r="D5690" s="4" t="s">
        <v>581</v>
      </c>
      <c r="E5690" s="4" t="s">
        <v>272</v>
      </c>
    </row>
    <row r="5691" spans="1:5" ht="26" hidden="1" x14ac:dyDescent="0.15">
      <c r="A5691" s="1" t="s">
        <v>8</v>
      </c>
      <c r="B5691" s="2">
        <v>5189</v>
      </c>
      <c r="C5691" s="3">
        <v>6.0000000000000001E-3</v>
      </c>
      <c r="D5691" s="4" t="s">
        <v>581</v>
      </c>
      <c r="E5691" s="4" t="s">
        <v>272</v>
      </c>
    </row>
    <row r="5692" spans="1:5" ht="26" hidden="1" x14ac:dyDescent="0.15">
      <c r="A5692" s="1" t="s">
        <v>9</v>
      </c>
      <c r="B5692" s="2">
        <v>45959</v>
      </c>
      <c r="C5692" s="3">
        <v>5.2999999999999999E-2</v>
      </c>
      <c r="D5692" s="4" t="s">
        <v>581</v>
      </c>
      <c r="E5692" s="4" t="s">
        <v>272</v>
      </c>
    </row>
    <row r="5693" spans="1:5" ht="26" hidden="1" x14ac:dyDescent="0.15">
      <c r="A5693" s="1" t="s">
        <v>10</v>
      </c>
      <c r="B5693" s="2">
        <v>36146</v>
      </c>
      <c r="C5693" s="3">
        <v>4.2000000000000003E-2</v>
      </c>
      <c r="D5693" s="4" t="s">
        <v>581</v>
      </c>
      <c r="E5693" s="4" t="s">
        <v>272</v>
      </c>
    </row>
    <row r="5694" spans="1:5" ht="26" hidden="1" x14ac:dyDescent="0.15">
      <c r="A5694" s="1" t="s">
        <v>11</v>
      </c>
      <c r="B5694" s="2">
        <v>50665</v>
      </c>
      <c r="C5694" s="3">
        <v>5.7999999999999996E-2</v>
      </c>
      <c r="D5694" s="4" t="s">
        <v>581</v>
      </c>
      <c r="E5694" s="4" t="s">
        <v>272</v>
      </c>
    </row>
    <row r="5695" spans="1:5" ht="26" hidden="1" x14ac:dyDescent="0.15">
      <c r="A5695" s="1" t="s">
        <v>12</v>
      </c>
      <c r="B5695" s="2">
        <v>10162</v>
      </c>
      <c r="C5695" s="3">
        <v>1.2E-2</v>
      </c>
      <c r="D5695" s="4" t="s">
        <v>581</v>
      </c>
      <c r="E5695" s="4" t="s">
        <v>272</v>
      </c>
    </row>
    <row r="5696" spans="1:5" ht="26" hidden="1" x14ac:dyDescent="0.15">
      <c r="A5696" s="1" t="s">
        <v>13</v>
      </c>
      <c r="B5696" s="2">
        <v>8886</v>
      </c>
      <c r="C5696" s="3">
        <v>0.01</v>
      </c>
      <c r="D5696" s="4" t="s">
        <v>581</v>
      </c>
      <c r="E5696" s="4" t="s">
        <v>272</v>
      </c>
    </row>
    <row r="5697" spans="1:5" hidden="1" x14ac:dyDescent="0.15">
      <c r="A5697" s="1" t="s">
        <v>14</v>
      </c>
      <c r="B5697" s="2">
        <v>68492</v>
      </c>
      <c r="C5697" s="3">
        <v>7.9000000000000001E-2</v>
      </c>
      <c r="D5697" s="4" t="s">
        <v>581</v>
      </c>
      <c r="E5697" s="4" t="s">
        <v>272</v>
      </c>
    </row>
    <row r="5698" spans="1:5" ht="26" hidden="1" x14ac:dyDescent="0.15">
      <c r="A5698" s="1" t="s">
        <v>15</v>
      </c>
      <c r="B5698" s="2">
        <v>73065</v>
      </c>
      <c r="C5698" s="3">
        <v>8.4000000000000005E-2</v>
      </c>
      <c r="D5698" s="4" t="s">
        <v>581</v>
      </c>
      <c r="E5698" s="4" t="s">
        <v>272</v>
      </c>
    </row>
    <row r="5699" spans="1:5" ht="26" hidden="1" x14ac:dyDescent="0.15">
      <c r="A5699" s="1" t="s">
        <v>16</v>
      </c>
      <c r="B5699" s="2">
        <v>30397</v>
      </c>
      <c r="C5699" s="3">
        <v>3.5000000000000003E-2</v>
      </c>
      <c r="D5699" s="4" t="s">
        <v>581</v>
      </c>
      <c r="E5699" s="4" t="s">
        <v>272</v>
      </c>
    </row>
    <row r="5700" spans="1:5" ht="26" hidden="1" x14ac:dyDescent="0.15">
      <c r="A5700" s="1" t="s">
        <v>17</v>
      </c>
      <c r="B5700" s="2">
        <v>7500</v>
      </c>
      <c r="C5700" s="3">
        <v>9.0000000000000011E-3</v>
      </c>
      <c r="D5700" s="4" t="s">
        <v>581</v>
      </c>
      <c r="E5700" s="4" t="s">
        <v>272</v>
      </c>
    </row>
    <row r="5701" spans="1:5" hidden="1" x14ac:dyDescent="0.15">
      <c r="A5701" s="1" t="s">
        <v>18</v>
      </c>
      <c r="B5701" s="2">
        <v>7445</v>
      </c>
      <c r="C5701" s="3">
        <v>9.0000000000000011E-3</v>
      </c>
      <c r="D5701" s="4" t="s">
        <v>581</v>
      </c>
      <c r="E5701" s="4" t="s">
        <v>272</v>
      </c>
    </row>
    <row r="5702" spans="1:5" hidden="1" x14ac:dyDescent="0.15">
      <c r="A5702" s="1" t="s">
        <v>19</v>
      </c>
      <c r="B5702" s="2">
        <v>85768</v>
      </c>
      <c r="C5702" s="3">
        <v>9.9000000000000005E-2</v>
      </c>
      <c r="D5702" s="4" t="s">
        <v>581</v>
      </c>
      <c r="E5702" s="4" t="s">
        <v>272</v>
      </c>
    </row>
    <row r="5703" spans="1:5" hidden="1" x14ac:dyDescent="0.15">
      <c r="A5703" s="1" t="s">
        <v>20</v>
      </c>
      <c r="B5703" s="2">
        <v>53612</v>
      </c>
      <c r="C5703" s="3">
        <v>6.2E-2</v>
      </c>
      <c r="D5703" s="4" t="s">
        <v>581</v>
      </c>
      <c r="E5703" s="4" t="s">
        <v>272</v>
      </c>
    </row>
    <row r="5704" spans="1:5" ht="26" hidden="1" x14ac:dyDescent="0.15">
      <c r="A5704" s="1" t="s">
        <v>21</v>
      </c>
      <c r="B5704" s="2">
        <v>18395</v>
      </c>
      <c r="C5704" s="3">
        <v>2.1000000000000001E-2</v>
      </c>
      <c r="D5704" s="4" t="s">
        <v>581</v>
      </c>
      <c r="E5704" s="4" t="s">
        <v>272</v>
      </c>
    </row>
    <row r="5705" spans="1:5" ht="26" hidden="1" x14ac:dyDescent="0.15">
      <c r="A5705" s="1" t="s">
        <v>22</v>
      </c>
      <c r="B5705" s="2">
        <v>131665</v>
      </c>
      <c r="C5705" s="3">
        <v>0.152</v>
      </c>
      <c r="D5705" s="4" t="s">
        <v>581</v>
      </c>
      <c r="E5705" s="4" t="s">
        <v>272</v>
      </c>
    </row>
    <row r="5706" spans="1:5" ht="26" hidden="1" x14ac:dyDescent="0.15">
      <c r="A5706" s="1" t="s">
        <v>23</v>
      </c>
      <c r="B5706" s="2">
        <v>10870</v>
      </c>
      <c r="C5706" s="3">
        <v>1.3000000000000001E-2</v>
      </c>
      <c r="D5706" s="4" t="s">
        <v>581</v>
      </c>
      <c r="E5706" s="4" t="s">
        <v>272</v>
      </c>
    </row>
    <row r="5707" spans="1:5" ht="26" hidden="1" x14ac:dyDescent="0.15">
      <c r="A5707" s="1" t="s">
        <v>24</v>
      </c>
      <c r="B5707" s="2">
        <v>3132</v>
      </c>
      <c r="C5707" s="3">
        <v>4.0000000000000001E-3</v>
      </c>
      <c r="D5707" s="4" t="s">
        <v>581</v>
      </c>
      <c r="E5707" s="4" t="s">
        <v>272</v>
      </c>
    </row>
    <row r="5708" spans="1:5" ht="26" hidden="1" x14ac:dyDescent="0.15">
      <c r="A5708" s="1" t="s">
        <v>25</v>
      </c>
      <c r="B5708" s="2">
        <v>29322</v>
      </c>
      <c r="C5708" s="3">
        <v>3.4000000000000002E-2</v>
      </c>
      <c r="D5708" s="4" t="s">
        <v>581</v>
      </c>
      <c r="E5708" s="4" t="s">
        <v>272</v>
      </c>
    </row>
    <row r="5709" spans="1:5" hidden="1" x14ac:dyDescent="0.15">
      <c r="A5709" s="1" t="s">
        <v>26</v>
      </c>
      <c r="B5709" s="2">
        <v>8450</v>
      </c>
      <c r="C5709" s="3">
        <v>0.01</v>
      </c>
      <c r="D5709" s="4" t="s">
        <v>581</v>
      </c>
      <c r="E5709" s="4" t="s">
        <v>272</v>
      </c>
    </row>
    <row r="5710" spans="1:5" hidden="1" x14ac:dyDescent="0.15">
      <c r="A5710" s="1" t="s">
        <v>27</v>
      </c>
      <c r="B5710" s="2">
        <v>46844</v>
      </c>
      <c r="C5710" s="3">
        <v>5.4000000000000006E-2</v>
      </c>
      <c r="D5710" s="4" t="s">
        <v>581</v>
      </c>
      <c r="E5710" s="4" t="s">
        <v>272</v>
      </c>
    </row>
    <row r="5711" spans="1:5" hidden="1" x14ac:dyDescent="0.15">
      <c r="A5711" s="1" t="s">
        <v>28</v>
      </c>
      <c r="B5711" s="2">
        <v>87753</v>
      </c>
      <c r="C5711" s="3">
        <v>0.10099999999999999</v>
      </c>
      <c r="D5711" s="4" t="s">
        <v>581</v>
      </c>
      <c r="E5711" s="4" t="s">
        <v>272</v>
      </c>
    </row>
    <row r="5712" spans="1:5" hidden="1" x14ac:dyDescent="0.15">
      <c r="A5712" s="1" t="s">
        <v>29</v>
      </c>
      <c r="B5712" s="2">
        <v>225609</v>
      </c>
      <c r="C5712" s="3">
        <v>0.26</v>
      </c>
      <c r="D5712" s="4" t="s">
        <v>581</v>
      </c>
      <c r="E5712" s="4" t="s">
        <v>272</v>
      </c>
    </row>
    <row r="5713" spans="1:5" hidden="1" x14ac:dyDescent="0.15">
      <c r="A5713" s="1" t="s">
        <v>30</v>
      </c>
      <c r="B5713" s="2">
        <v>15878</v>
      </c>
      <c r="C5713" s="3">
        <v>1.8000000000000002E-2</v>
      </c>
      <c r="D5713" s="4" t="s">
        <v>581</v>
      </c>
      <c r="E5713" s="4" t="s">
        <v>272</v>
      </c>
    </row>
    <row r="5714" spans="1:5" ht="39" hidden="1" x14ac:dyDescent="0.15">
      <c r="A5714" s="1" t="s">
        <v>31</v>
      </c>
      <c r="B5714" s="2">
        <v>12571</v>
      </c>
      <c r="C5714" s="3">
        <v>1.3999999999999999E-2</v>
      </c>
      <c r="D5714" s="4" t="s">
        <v>581</v>
      </c>
      <c r="E5714" s="4" t="s">
        <v>272</v>
      </c>
    </row>
    <row r="5715" spans="1:5" hidden="1" x14ac:dyDescent="0.15">
      <c r="A5715" s="1" t="s">
        <v>32</v>
      </c>
      <c r="B5715" s="2">
        <v>14665</v>
      </c>
      <c r="C5715" s="3">
        <v>1.7000000000000001E-2</v>
      </c>
      <c r="D5715" s="4" t="s">
        <v>581</v>
      </c>
      <c r="E5715" s="4" t="s">
        <v>272</v>
      </c>
    </row>
    <row r="5716" spans="1:5" hidden="1" x14ac:dyDescent="0.15">
      <c r="A5716" s="1" t="s">
        <v>33</v>
      </c>
      <c r="B5716" s="2">
        <v>160084</v>
      </c>
      <c r="C5716" s="3">
        <v>0.184</v>
      </c>
      <c r="D5716" s="4" t="s">
        <v>581</v>
      </c>
      <c r="E5716" s="4" t="s">
        <v>272</v>
      </c>
    </row>
    <row r="5717" spans="1:5" hidden="1" x14ac:dyDescent="0.15">
      <c r="A5717" s="1" t="s">
        <v>34</v>
      </c>
      <c r="B5717" s="2">
        <v>26858</v>
      </c>
      <c r="C5717" s="3">
        <v>3.1E-2</v>
      </c>
      <c r="D5717" s="4" t="s">
        <v>581</v>
      </c>
      <c r="E5717" s="4" t="s">
        <v>272</v>
      </c>
    </row>
    <row r="5718" spans="1:5" hidden="1" x14ac:dyDescent="0.15">
      <c r="A5718" s="1" t="s">
        <v>35</v>
      </c>
      <c r="B5718" s="2">
        <v>147584</v>
      </c>
      <c r="C5718" s="3">
        <v>0.17</v>
      </c>
      <c r="D5718" s="4" t="s">
        <v>581</v>
      </c>
      <c r="E5718" s="4" t="s">
        <v>272</v>
      </c>
    </row>
    <row r="5719" spans="1:5" ht="26" hidden="1" x14ac:dyDescent="0.15">
      <c r="A5719" s="1" t="s">
        <v>36</v>
      </c>
      <c r="B5719" s="2">
        <v>29006</v>
      </c>
      <c r="C5719" s="3">
        <v>3.3000000000000002E-2</v>
      </c>
      <c r="D5719" s="4" t="s">
        <v>581</v>
      </c>
      <c r="E5719" s="4" t="s">
        <v>272</v>
      </c>
    </row>
    <row r="5720" spans="1:5" hidden="1" x14ac:dyDescent="0.15">
      <c r="A5720" s="1" t="s">
        <v>37</v>
      </c>
      <c r="B5720" s="2">
        <v>28066</v>
      </c>
      <c r="C5720" s="3">
        <v>3.2000000000000001E-2</v>
      </c>
      <c r="D5720" s="4" t="s">
        <v>581</v>
      </c>
      <c r="E5720" s="4" t="s">
        <v>272</v>
      </c>
    </row>
    <row r="5721" spans="1:5" ht="39" hidden="1" x14ac:dyDescent="0.15">
      <c r="A5721" s="1" t="s">
        <v>38</v>
      </c>
      <c r="B5721" s="2">
        <v>10011</v>
      </c>
      <c r="C5721" s="3">
        <v>1.2E-2</v>
      </c>
      <c r="D5721" s="4" t="s">
        <v>581</v>
      </c>
      <c r="E5721" s="4" t="s">
        <v>272</v>
      </c>
    </row>
    <row r="5722" spans="1:5" hidden="1" x14ac:dyDescent="0.15">
      <c r="A5722" s="1" t="s">
        <v>39</v>
      </c>
      <c r="B5722" s="2">
        <v>71999</v>
      </c>
      <c r="C5722" s="3">
        <v>8.3000000000000004E-2</v>
      </c>
      <c r="D5722" s="4" t="s">
        <v>581</v>
      </c>
      <c r="E5722" s="4" t="s">
        <v>272</v>
      </c>
    </row>
    <row r="5723" spans="1:5" hidden="1" x14ac:dyDescent="0.15">
      <c r="A5723" s="1" t="s">
        <v>40</v>
      </c>
      <c r="B5723" s="2">
        <v>5958</v>
      </c>
      <c r="C5723" s="3">
        <v>6.9999999999999993E-3</v>
      </c>
      <c r="D5723" s="4" t="s">
        <v>581</v>
      </c>
      <c r="E5723" s="4" t="s">
        <v>272</v>
      </c>
    </row>
    <row r="5724" spans="1:5" hidden="1" x14ac:dyDescent="0.15">
      <c r="A5724" s="1" t="s">
        <v>41</v>
      </c>
      <c r="B5724" s="2">
        <v>10907</v>
      </c>
      <c r="C5724" s="3">
        <v>1.3000000000000001E-2</v>
      </c>
      <c r="D5724" s="4" t="s">
        <v>581</v>
      </c>
      <c r="E5724" s="4" t="s">
        <v>272</v>
      </c>
    </row>
    <row r="5725" spans="1:5" hidden="1" x14ac:dyDescent="0.15">
      <c r="A5725" s="1" t="s">
        <v>42</v>
      </c>
      <c r="B5725" s="2">
        <v>72973</v>
      </c>
      <c r="C5725" s="3">
        <v>8.4000000000000005E-2</v>
      </c>
      <c r="D5725" s="4" t="s">
        <v>581</v>
      </c>
      <c r="E5725" s="4" t="s">
        <v>272</v>
      </c>
    </row>
    <row r="5726" spans="1:5" hidden="1" x14ac:dyDescent="0.15">
      <c r="A5726" s="1" t="s">
        <v>43</v>
      </c>
      <c r="B5726" s="2">
        <v>69042</v>
      </c>
      <c r="C5726" s="3">
        <v>0.08</v>
      </c>
      <c r="D5726" s="4" t="s">
        <v>581</v>
      </c>
      <c r="E5726" s="4" t="s">
        <v>272</v>
      </c>
    </row>
    <row r="5727" spans="1:5" ht="26" hidden="1" x14ac:dyDescent="0.15">
      <c r="A5727" s="1" t="s">
        <v>44</v>
      </c>
      <c r="B5727" s="2">
        <v>123626</v>
      </c>
      <c r="C5727" s="3">
        <v>0.14199999999999999</v>
      </c>
      <c r="D5727" s="4" t="s">
        <v>581</v>
      </c>
      <c r="E5727" s="4" t="s">
        <v>272</v>
      </c>
    </row>
    <row r="5728" spans="1:5" hidden="1" x14ac:dyDescent="0.15">
      <c r="A5728" s="1" t="s">
        <v>45</v>
      </c>
      <c r="B5728" s="2">
        <v>137607</v>
      </c>
      <c r="C5728" s="3">
        <v>0.158</v>
      </c>
      <c r="D5728" s="4" t="s">
        <v>581</v>
      </c>
      <c r="E5728" s="4" t="s">
        <v>272</v>
      </c>
    </row>
    <row r="5729" spans="1:5" ht="26" hidden="1" x14ac:dyDescent="0.15">
      <c r="A5729" s="1" t="s">
        <v>46</v>
      </c>
      <c r="B5729" s="2">
        <v>166369</v>
      </c>
      <c r="C5729" s="3">
        <v>0.192</v>
      </c>
      <c r="D5729" s="4" t="s">
        <v>581</v>
      </c>
      <c r="E5729" s="4" t="s">
        <v>272</v>
      </c>
    </row>
    <row r="5730" spans="1:5" hidden="1" x14ac:dyDescent="0.15">
      <c r="A5730" s="1" t="s">
        <v>47</v>
      </c>
      <c r="B5730" s="2">
        <v>255375</v>
      </c>
      <c r="C5730" s="3">
        <v>0.29399999999999998</v>
      </c>
      <c r="D5730" s="4" t="s">
        <v>581</v>
      </c>
      <c r="E5730" s="4" t="s">
        <v>272</v>
      </c>
    </row>
    <row r="5731" spans="1:5" hidden="1" x14ac:dyDescent="0.15">
      <c r="A5731" s="1" t="s">
        <v>48</v>
      </c>
      <c r="B5731" s="2">
        <v>42587</v>
      </c>
      <c r="C5731" s="3">
        <v>4.9000000000000002E-2</v>
      </c>
      <c r="D5731" s="4" t="s">
        <v>581</v>
      </c>
      <c r="E5731" s="4" t="s">
        <v>272</v>
      </c>
    </row>
    <row r="5732" spans="1:5" hidden="1" x14ac:dyDescent="0.15">
      <c r="A5732" s="1" t="s">
        <v>49</v>
      </c>
      <c r="B5732" s="2">
        <v>135009</v>
      </c>
      <c r="C5732" s="3">
        <v>0.155</v>
      </c>
      <c r="D5732" s="4" t="s">
        <v>581</v>
      </c>
      <c r="E5732" s="4" t="s">
        <v>272</v>
      </c>
    </row>
    <row r="5733" spans="1:5" ht="26" hidden="1" x14ac:dyDescent="0.15">
      <c r="A5733" s="1" t="s">
        <v>50</v>
      </c>
      <c r="B5733" s="2">
        <v>148599</v>
      </c>
      <c r="C5733" s="3">
        <v>0.17100000000000001</v>
      </c>
      <c r="D5733" s="4" t="s">
        <v>581</v>
      </c>
      <c r="E5733" s="4" t="s">
        <v>272</v>
      </c>
    </row>
    <row r="5734" spans="1:5" hidden="1" x14ac:dyDescent="0.15">
      <c r="A5734" s="1" t="s">
        <v>51</v>
      </c>
      <c r="B5734" s="2">
        <v>193003</v>
      </c>
      <c r="C5734" s="3">
        <v>0.222</v>
      </c>
      <c r="D5734" s="4" t="s">
        <v>581</v>
      </c>
      <c r="E5734" s="4" t="s">
        <v>272</v>
      </c>
    </row>
    <row r="5735" spans="1:5" hidden="1" x14ac:dyDescent="0.15">
      <c r="A5735" s="1" t="s">
        <v>52</v>
      </c>
      <c r="B5735" s="2">
        <v>83634</v>
      </c>
      <c r="C5735" s="3">
        <v>9.6000000000000002E-2</v>
      </c>
      <c r="D5735" s="4" t="s">
        <v>581</v>
      </c>
      <c r="E5735" s="4" t="s">
        <v>272</v>
      </c>
    </row>
    <row r="5736" spans="1:5" ht="26" hidden="1" x14ac:dyDescent="0.15">
      <c r="A5736" s="1" t="s">
        <v>53</v>
      </c>
      <c r="B5736" s="2">
        <v>54633</v>
      </c>
      <c r="C5736" s="3">
        <v>6.3E-2</v>
      </c>
      <c r="D5736" s="4" t="s">
        <v>581</v>
      </c>
      <c r="E5736" s="4" t="s">
        <v>272</v>
      </c>
    </row>
    <row r="5737" spans="1:5" hidden="1" x14ac:dyDescent="0.15">
      <c r="A5737" s="1" t="s">
        <v>54</v>
      </c>
      <c r="B5737" s="2">
        <v>244953</v>
      </c>
      <c r="C5737" s="3">
        <v>0.28199999999999997</v>
      </c>
      <c r="D5737" s="4" t="s">
        <v>581</v>
      </c>
      <c r="E5737" s="4" t="s">
        <v>272</v>
      </c>
    </row>
    <row r="5738" spans="1:5" ht="26" hidden="1" x14ac:dyDescent="0.15">
      <c r="A5738" s="1" t="s">
        <v>55</v>
      </c>
      <c r="B5738" s="2">
        <v>245226</v>
      </c>
      <c r="C5738" s="3">
        <v>0.28199999999999997</v>
      </c>
      <c r="D5738" s="4" t="s">
        <v>581</v>
      </c>
      <c r="E5738" s="4" t="s">
        <v>272</v>
      </c>
    </row>
    <row r="5739" spans="1:5" hidden="1" x14ac:dyDescent="0.15">
      <c r="A5739" s="1" t="s">
        <v>56</v>
      </c>
      <c r="B5739" s="2">
        <v>155357</v>
      </c>
      <c r="C5739" s="3">
        <v>0.17899999999999999</v>
      </c>
      <c r="D5739" s="4" t="s">
        <v>581</v>
      </c>
      <c r="E5739" s="4" t="s">
        <v>272</v>
      </c>
    </row>
    <row r="5740" spans="1:5" hidden="1" x14ac:dyDescent="0.15">
      <c r="A5740" s="1" t="s">
        <v>57</v>
      </c>
      <c r="B5740" s="2">
        <v>82034</v>
      </c>
      <c r="C5740" s="3">
        <v>9.4E-2</v>
      </c>
      <c r="D5740" s="4" t="s">
        <v>581</v>
      </c>
      <c r="E5740" s="4" t="s">
        <v>272</v>
      </c>
    </row>
    <row r="5741" spans="1:5" hidden="1" x14ac:dyDescent="0.15">
      <c r="A5741" s="1" t="s">
        <v>58</v>
      </c>
      <c r="B5741" s="2">
        <v>63876</v>
      </c>
      <c r="C5741" s="3">
        <v>7.400000000000001E-2</v>
      </c>
      <c r="D5741" s="4" t="s">
        <v>581</v>
      </c>
      <c r="E5741" s="4" t="s">
        <v>272</v>
      </c>
    </row>
    <row r="5742" spans="1:5" hidden="1" x14ac:dyDescent="0.15">
      <c r="A5742" s="1" t="s">
        <v>59</v>
      </c>
      <c r="B5742" s="2">
        <v>305987</v>
      </c>
      <c r="C5742" s="3">
        <v>0.35200000000000004</v>
      </c>
      <c r="D5742" s="4" t="s">
        <v>581</v>
      </c>
      <c r="E5742" s="4" t="s">
        <v>272</v>
      </c>
    </row>
    <row r="5743" spans="1:5" hidden="1" x14ac:dyDescent="0.15">
      <c r="A5743" s="1" t="s">
        <v>60</v>
      </c>
      <c r="B5743" s="2">
        <v>163573</v>
      </c>
      <c r="C5743" s="3">
        <v>0.188</v>
      </c>
      <c r="D5743" s="4" t="s">
        <v>581</v>
      </c>
      <c r="E5743" s="4" t="s">
        <v>272</v>
      </c>
    </row>
    <row r="5744" spans="1:5" ht="26" hidden="1" x14ac:dyDescent="0.15">
      <c r="A5744" s="1" t="s">
        <v>61</v>
      </c>
      <c r="B5744" s="2">
        <v>122718</v>
      </c>
      <c r="C5744" s="3">
        <v>0.14099999999999999</v>
      </c>
      <c r="D5744" s="4" t="s">
        <v>581</v>
      </c>
      <c r="E5744" s="4" t="s">
        <v>272</v>
      </c>
    </row>
    <row r="5745" spans="1:5" hidden="1" x14ac:dyDescent="0.15">
      <c r="A5745" s="1" t="s">
        <v>62</v>
      </c>
      <c r="B5745" s="2">
        <v>292014</v>
      </c>
      <c r="C5745" s="3">
        <v>0.33600000000000002</v>
      </c>
      <c r="D5745" s="4" t="s">
        <v>581</v>
      </c>
      <c r="E5745" s="4" t="s">
        <v>272</v>
      </c>
    </row>
    <row r="5746" spans="1:5" ht="26" hidden="1" x14ac:dyDescent="0.15">
      <c r="A5746" s="1" t="s">
        <v>63</v>
      </c>
      <c r="B5746" s="2">
        <v>90442</v>
      </c>
      <c r="C5746" s="3">
        <v>0.10400000000000001</v>
      </c>
      <c r="D5746" s="4" t="s">
        <v>581</v>
      </c>
      <c r="E5746" s="4" t="s">
        <v>272</v>
      </c>
    </row>
    <row r="5747" spans="1:5" ht="26" hidden="1" x14ac:dyDescent="0.15">
      <c r="A5747" s="1" t="s">
        <v>64</v>
      </c>
      <c r="B5747" s="2">
        <v>33934</v>
      </c>
      <c r="C5747" s="3">
        <v>3.9E-2</v>
      </c>
      <c r="D5747" s="4" t="s">
        <v>581</v>
      </c>
      <c r="E5747" s="4" t="s">
        <v>272</v>
      </c>
    </row>
    <row r="5748" spans="1:5" hidden="1" x14ac:dyDescent="0.15">
      <c r="A5748" s="1" t="s">
        <v>65</v>
      </c>
      <c r="B5748" s="2">
        <v>161086</v>
      </c>
      <c r="C5748" s="3">
        <v>0.185</v>
      </c>
      <c r="D5748" s="4" t="s">
        <v>581</v>
      </c>
      <c r="E5748" s="4" t="s">
        <v>272</v>
      </c>
    </row>
    <row r="5749" spans="1:5" hidden="1" x14ac:dyDescent="0.15">
      <c r="A5749" s="1" t="s">
        <v>66</v>
      </c>
      <c r="B5749" s="2">
        <v>78958</v>
      </c>
      <c r="C5749" s="3">
        <v>9.0999999999999998E-2</v>
      </c>
      <c r="D5749" s="4" t="s">
        <v>581</v>
      </c>
      <c r="E5749" s="4" t="s">
        <v>272</v>
      </c>
    </row>
    <row r="5750" spans="1:5" hidden="1" x14ac:dyDescent="0.15">
      <c r="A5750" s="1" t="s">
        <v>67</v>
      </c>
      <c r="B5750" s="2">
        <v>149203</v>
      </c>
      <c r="C5750" s="3">
        <v>0.17199999999999999</v>
      </c>
      <c r="D5750" s="4" t="s">
        <v>581</v>
      </c>
      <c r="E5750" s="4" t="s">
        <v>272</v>
      </c>
    </row>
    <row r="5751" spans="1:5" hidden="1" x14ac:dyDescent="0.15">
      <c r="A5751" s="1" t="s">
        <v>68</v>
      </c>
      <c r="B5751" s="2">
        <v>306880</v>
      </c>
      <c r="C5751" s="3">
        <v>0.35299999999999998</v>
      </c>
      <c r="D5751" s="4" t="s">
        <v>581</v>
      </c>
      <c r="E5751" s="4" t="s">
        <v>272</v>
      </c>
    </row>
    <row r="5752" spans="1:5" hidden="1" x14ac:dyDescent="0.15">
      <c r="A5752" s="1" t="s">
        <v>69</v>
      </c>
      <c r="B5752" s="2">
        <v>439384</v>
      </c>
      <c r="C5752" s="3">
        <v>0.50600000000000001</v>
      </c>
      <c r="D5752" s="4" t="s">
        <v>581</v>
      </c>
      <c r="E5752" s="4" t="s">
        <v>272</v>
      </c>
    </row>
    <row r="5753" spans="1:5" hidden="1" x14ac:dyDescent="0.15">
      <c r="A5753" s="1" t="s">
        <v>70</v>
      </c>
      <c r="B5753" s="2">
        <v>90777</v>
      </c>
      <c r="C5753" s="3">
        <v>0.105</v>
      </c>
      <c r="D5753" s="4" t="s">
        <v>581</v>
      </c>
      <c r="E5753" s="4" t="s">
        <v>272</v>
      </c>
    </row>
    <row r="5754" spans="1:5" ht="26" hidden="1" x14ac:dyDescent="0.15">
      <c r="A5754" s="1" t="s">
        <v>71</v>
      </c>
      <c r="B5754" s="2">
        <v>76964</v>
      </c>
      <c r="C5754" s="3">
        <v>8.900000000000001E-2</v>
      </c>
      <c r="D5754" s="4" t="s">
        <v>581</v>
      </c>
      <c r="E5754" s="4" t="s">
        <v>272</v>
      </c>
    </row>
    <row r="5755" spans="1:5" hidden="1" x14ac:dyDescent="0.15">
      <c r="A5755" s="1" t="s">
        <v>72</v>
      </c>
      <c r="B5755" s="2">
        <v>78189</v>
      </c>
      <c r="C5755" s="3">
        <v>0.09</v>
      </c>
      <c r="D5755" s="4" t="s">
        <v>581</v>
      </c>
      <c r="E5755" s="4" t="s">
        <v>272</v>
      </c>
    </row>
    <row r="5756" spans="1:5" hidden="1" x14ac:dyDescent="0.15">
      <c r="A5756" s="1" t="s">
        <v>73</v>
      </c>
      <c r="B5756" s="2">
        <v>373145</v>
      </c>
      <c r="C5756" s="3">
        <v>0.43</v>
      </c>
      <c r="D5756" s="4" t="s">
        <v>581</v>
      </c>
      <c r="E5756" s="4" t="s">
        <v>272</v>
      </c>
    </row>
    <row r="5757" spans="1:5" hidden="1" x14ac:dyDescent="0.15">
      <c r="A5757" s="1" t="s">
        <v>74</v>
      </c>
      <c r="B5757" s="2">
        <v>129007</v>
      </c>
      <c r="C5757" s="3">
        <v>0.14899999999999999</v>
      </c>
      <c r="D5757" s="4" t="s">
        <v>581</v>
      </c>
      <c r="E5757" s="4" t="s">
        <v>272</v>
      </c>
    </row>
    <row r="5758" spans="1:5" hidden="1" x14ac:dyDescent="0.15">
      <c r="A5758" s="1" t="s">
        <v>75</v>
      </c>
      <c r="B5758" s="2">
        <v>313788</v>
      </c>
      <c r="C5758" s="3">
        <v>0.36099999999999999</v>
      </c>
      <c r="D5758" s="4" t="s">
        <v>581</v>
      </c>
      <c r="E5758" s="4" t="s">
        <v>272</v>
      </c>
    </row>
    <row r="5759" spans="1:5" hidden="1" x14ac:dyDescent="0.15">
      <c r="A5759" s="1" t="s">
        <v>76</v>
      </c>
      <c r="B5759" s="2">
        <v>155978</v>
      </c>
      <c r="C5759" s="3">
        <v>0.18</v>
      </c>
      <c r="D5759" s="4" t="s">
        <v>581</v>
      </c>
      <c r="E5759" s="4" t="s">
        <v>272</v>
      </c>
    </row>
    <row r="5760" spans="1:5" hidden="1" x14ac:dyDescent="0.15">
      <c r="A5760" s="1" t="s">
        <v>77</v>
      </c>
      <c r="B5760" s="2">
        <v>135761</v>
      </c>
      <c r="C5760" s="3">
        <v>0.156</v>
      </c>
      <c r="D5760" s="4" t="s">
        <v>581</v>
      </c>
      <c r="E5760" s="4" t="s">
        <v>272</v>
      </c>
    </row>
    <row r="5761" spans="1:5" ht="26" hidden="1" x14ac:dyDescent="0.15">
      <c r="A5761" s="1" t="s">
        <v>78</v>
      </c>
      <c r="B5761" s="2">
        <v>102833</v>
      </c>
      <c r="C5761" s="3">
        <v>0.11800000000000001</v>
      </c>
      <c r="D5761" s="4" t="s">
        <v>581</v>
      </c>
      <c r="E5761" s="4" t="s">
        <v>272</v>
      </c>
    </row>
    <row r="5762" spans="1:5" hidden="1" x14ac:dyDescent="0.15">
      <c r="A5762" s="1" t="s">
        <v>79</v>
      </c>
      <c r="B5762" s="2">
        <v>206338</v>
      </c>
      <c r="C5762" s="3">
        <v>0.23800000000000002</v>
      </c>
      <c r="D5762" s="4" t="s">
        <v>581</v>
      </c>
      <c r="E5762" s="4" t="s">
        <v>272</v>
      </c>
    </row>
    <row r="5763" spans="1:5" hidden="1" x14ac:dyDescent="0.15">
      <c r="A5763" s="1" t="s">
        <v>80</v>
      </c>
      <c r="B5763" s="2">
        <v>89745</v>
      </c>
      <c r="C5763" s="3">
        <v>0.10300000000000001</v>
      </c>
      <c r="D5763" s="4" t="s">
        <v>581</v>
      </c>
      <c r="E5763" s="4" t="s">
        <v>272</v>
      </c>
    </row>
    <row r="5764" spans="1:5" ht="26" hidden="1" x14ac:dyDescent="0.15">
      <c r="A5764" s="1" t="s">
        <v>81</v>
      </c>
      <c r="B5764" s="2">
        <v>125539</v>
      </c>
      <c r="C5764" s="3">
        <v>0.14499999999999999</v>
      </c>
      <c r="D5764" s="4" t="s">
        <v>581</v>
      </c>
      <c r="E5764" s="4" t="s">
        <v>272</v>
      </c>
    </row>
    <row r="5765" spans="1:5" hidden="1" x14ac:dyDescent="0.15">
      <c r="A5765" s="1" t="s">
        <v>82</v>
      </c>
      <c r="B5765" s="2">
        <v>182039</v>
      </c>
      <c r="C5765" s="3">
        <v>0.21</v>
      </c>
      <c r="D5765" s="4" t="s">
        <v>581</v>
      </c>
      <c r="E5765" s="4" t="s">
        <v>272</v>
      </c>
    </row>
    <row r="5766" spans="1:5" hidden="1" x14ac:dyDescent="0.15">
      <c r="A5766" s="4"/>
      <c r="B5766" s="4"/>
      <c r="C5766" s="4"/>
      <c r="D5766" s="4" t="s">
        <v>581</v>
      </c>
      <c r="E5766" s="4" t="s">
        <v>272</v>
      </c>
    </row>
    <row r="5767" spans="1:5" hidden="1" x14ac:dyDescent="0.15">
      <c r="A5767" s="4"/>
      <c r="B5767" s="4"/>
      <c r="C5767" s="4"/>
      <c r="D5767" s="4" t="s">
        <v>581</v>
      </c>
      <c r="E5767" s="4" t="s">
        <v>272</v>
      </c>
    </row>
    <row r="5768" spans="1:5" hidden="1" x14ac:dyDescent="0.15">
      <c r="A5768" s="4"/>
      <c r="B5768" s="4"/>
      <c r="C5768" s="4"/>
      <c r="D5768" s="4" t="s">
        <v>581</v>
      </c>
      <c r="E5768" s="4" t="s">
        <v>272</v>
      </c>
    </row>
    <row r="5769" spans="1:5" ht="26" hidden="1" x14ac:dyDescent="0.15">
      <c r="A5769" s="1" t="s">
        <v>547</v>
      </c>
      <c r="B5769" s="2">
        <v>112055</v>
      </c>
      <c r="C5769" s="3">
        <v>0.129</v>
      </c>
      <c r="D5769" s="4" t="s">
        <v>581</v>
      </c>
      <c r="E5769" s="4" t="s">
        <v>272</v>
      </c>
    </row>
    <row r="5770" spans="1:5" ht="26" hidden="1" x14ac:dyDescent="0.15">
      <c r="A5770" s="1" t="s">
        <v>275</v>
      </c>
      <c r="B5770" s="2">
        <v>211053</v>
      </c>
      <c r="C5770" s="3">
        <v>0.24299999999999999</v>
      </c>
      <c r="D5770" s="4" t="s">
        <v>581</v>
      </c>
      <c r="E5770" s="4" t="s">
        <v>272</v>
      </c>
    </row>
    <row r="5771" spans="1:5" hidden="1" x14ac:dyDescent="0.15">
      <c r="A5771" s="1" t="s">
        <v>276</v>
      </c>
      <c r="B5771" s="2">
        <v>386118</v>
      </c>
      <c r="C5771" s="3">
        <v>0.44500000000000001</v>
      </c>
      <c r="D5771" s="4" t="s">
        <v>581</v>
      </c>
      <c r="E5771" s="4" t="s">
        <v>272</v>
      </c>
    </row>
    <row r="5772" spans="1:5" hidden="1" x14ac:dyDescent="0.15">
      <c r="A5772" s="1" t="s">
        <v>277</v>
      </c>
      <c r="B5772" s="2">
        <v>243238</v>
      </c>
      <c r="C5772" s="3">
        <v>0.28000000000000003</v>
      </c>
      <c r="D5772" s="4" t="s">
        <v>581</v>
      </c>
      <c r="E5772" s="4" t="s">
        <v>272</v>
      </c>
    </row>
    <row r="5773" spans="1:5" ht="26" hidden="1" x14ac:dyDescent="0.15">
      <c r="A5773" s="1" t="s">
        <v>554</v>
      </c>
      <c r="B5773" s="2">
        <v>140081</v>
      </c>
      <c r="C5773" s="3">
        <v>0.161</v>
      </c>
      <c r="D5773" s="4" t="s">
        <v>581</v>
      </c>
      <c r="E5773" s="4" t="s">
        <v>272</v>
      </c>
    </row>
    <row r="5774" spans="1:5" ht="26" hidden="1" x14ac:dyDescent="0.15">
      <c r="A5774" s="1" t="s">
        <v>556</v>
      </c>
      <c r="B5774" s="2">
        <v>183708</v>
      </c>
      <c r="C5774" s="3">
        <v>0.21199999999999999</v>
      </c>
      <c r="D5774" s="4" t="s">
        <v>581</v>
      </c>
      <c r="E5774" s="4" t="s">
        <v>272</v>
      </c>
    </row>
    <row r="5775" spans="1:5" hidden="1" x14ac:dyDescent="0.15">
      <c r="A5775" s="1" t="s">
        <v>278</v>
      </c>
      <c r="B5775" s="2">
        <v>49357</v>
      </c>
      <c r="C5775" s="3">
        <v>5.7000000000000002E-2</v>
      </c>
      <c r="D5775" s="4" t="s">
        <v>581</v>
      </c>
      <c r="E5775" s="4" t="s">
        <v>272</v>
      </c>
    </row>
    <row r="5776" spans="1:5" hidden="1" x14ac:dyDescent="0.15">
      <c r="A5776" s="1" t="s">
        <v>274</v>
      </c>
      <c r="B5776" s="2">
        <v>192135</v>
      </c>
      <c r="C5776" s="3">
        <v>0.221</v>
      </c>
      <c r="D5776" s="4" t="s">
        <v>581</v>
      </c>
      <c r="E5776" s="4" t="s">
        <v>272</v>
      </c>
    </row>
    <row r="5777" spans="1:5" hidden="1" x14ac:dyDescent="0.15">
      <c r="A5777" s="1" t="s">
        <v>0</v>
      </c>
      <c r="B5777" s="2">
        <v>1715831</v>
      </c>
      <c r="C5777" s="3">
        <v>1</v>
      </c>
      <c r="D5777" s="4" t="s">
        <v>582</v>
      </c>
      <c r="E5777" s="4" t="s">
        <v>583</v>
      </c>
    </row>
    <row r="5778" spans="1:5" ht="26" hidden="1" x14ac:dyDescent="0.15">
      <c r="A5778" s="1" t="s">
        <v>3</v>
      </c>
      <c r="B5778" s="2">
        <v>13086</v>
      </c>
      <c r="C5778" s="3">
        <v>8.0000000000000002E-3</v>
      </c>
      <c r="D5778" s="4" t="s">
        <v>582</v>
      </c>
      <c r="E5778" s="4" t="s">
        <v>583</v>
      </c>
    </row>
    <row r="5779" spans="1:5" hidden="1" x14ac:dyDescent="0.15">
      <c r="A5779" s="1" t="s">
        <v>4</v>
      </c>
      <c r="B5779" s="2">
        <v>8639</v>
      </c>
      <c r="C5779" s="3">
        <v>5.0000000000000001E-3</v>
      </c>
      <c r="D5779" s="4" t="s">
        <v>582</v>
      </c>
      <c r="E5779" s="4" t="s">
        <v>583</v>
      </c>
    </row>
    <row r="5780" spans="1:5" ht="26" hidden="1" x14ac:dyDescent="0.15">
      <c r="A5780" s="1" t="s">
        <v>5</v>
      </c>
      <c r="B5780" s="2">
        <v>146067</v>
      </c>
      <c r="C5780" s="3">
        <v>8.5000000000000006E-2</v>
      </c>
      <c r="D5780" s="4" t="s">
        <v>582</v>
      </c>
      <c r="E5780" s="4" t="s">
        <v>583</v>
      </c>
    </row>
    <row r="5781" spans="1:5" ht="26" hidden="1" x14ac:dyDescent="0.15">
      <c r="A5781" s="1" t="s">
        <v>6</v>
      </c>
      <c r="B5781" s="2">
        <v>228845</v>
      </c>
      <c r="C5781" s="3">
        <v>0.13300000000000001</v>
      </c>
      <c r="D5781" s="4" t="s">
        <v>582</v>
      </c>
      <c r="E5781" s="4" t="s">
        <v>583</v>
      </c>
    </row>
    <row r="5782" spans="1:5" ht="26" hidden="1" x14ac:dyDescent="0.15">
      <c r="A5782" s="1" t="s">
        <v>7</v>
      </c>
      <c r="B5782" s="2">
        <v>497268</v>
      </c>
      <c r="C5782" s="3">
        <v>0.28999999999999998</v>
      </c>
      <c r="D5782" s="4" t="s">
        <v>582</v>
      </c>
      <c r="E5782" s="4" t="s">
        <v>583</v>
      </c>
    </row>
    <row r="5783" spans="1:5" ht="26" hidden="1" x14ac:dyDescent="0.15">
      <c r="A5783" s="1" t="s">
        <v>8</v>
      </c>
      <c r="B5783" s="2">
        <v>7169</v>
      </c>
      <c r="C5783" s="3">
        <v>4.0000000000000001E-3</v>
      </c>
      <c r="D5783" s="4" t="s">
        <v>582</v>
      </c>
      <c r="E5783" s="4" t="s">
        <v>583</v>
      </c>
    </row>
    <row r="5784" spans="1:5" ht="26" hidden="1" x14ac:dyDescent="0.15">
      <c r="A5784" s="1" t="s">
        <v>9</v>
      </c>
      <c r="B5784" s="2">
        <v>22335</v>
      </c>
      <c r="C5784" s="3">
        <v>1.3000000000000001E-2</v>
      </c>
      <c r="D5784" s="4" t="s">
        <v>582</v>
      </c>
      <c r="E5784" s="4" t="s">
        <v>583</v>
      </c>
    </row>
    <row r="5785" spans="1:5" ht="26" hidden="1" x14ac:dyDescent="0.15">
      <c r="A5785" s="1" t="s">
        <v>10</v>
      </c>
      <c r="B5785" s="2">
        <v>56985</v>
      </c>
      <c r="C5785" s="3">
        <v>3.3000000000000002E-2</v>
      </c>
      <c r="D5785" s="4" t="s">
        <v>582</v>
      </c>
      <c r="E5785" s="4" t="s">
        <v>583</v>
      </c>
    </row>
    <row r="5786" spans="1:5" ht="26" hidden="1" x14ac:dyDescent="0.15">
      <c r="A5786" s="1" t="s">
        <v>11</v>
      </c>
      <c r="B5786" s="2">
        <v>97458</v>
      </c>
      <c r="C5786" s="3">
        <v>5.7000000000000002E-2</v>
      </c>
      <c r="D5786" s="4" t="s">
        <v>582</v>
      </c>
      <c r="E5786" s="4" t="s">
        <v>583</v>
      </c>
    </row>
    <row r="5787" spans="1:5" ht="26" hidden="1" x14ac:dyDescent="0.15">
      <c r="A5787" s="1" t="s">
        <v>12</v>
      </c>
      <c r="B5787" s="2">
        <v>19780</v>
      </c>
      <c r="C5787" s="3">
        <v>1.2E-2</v>
      </c>
      <c r="D5787" s="4" t="s">
        <v>582</v>
      </c>
      <c r="E5787" s="4" t="s">
        <v>583</v>
      </c>
    </row>
    <row r="5788" spans="1:5" ht="26" hidden="1" x14ac:dyDescent="0.15">
      <c r="A5788" s="1" t="s">
        <v>13</v>
      </c>
      <c r="B5788" s="2">
        <v>11057</v>
      </c>
      <c r="C5788" s="3">
        <v>6.0000000000000001E-3</v>
      </c>
      <c r="D5788" s="4" t="s">
        <v>582</v>
      </c>
      <c r="E5788" s="4" t="s">
        <v>583</v>
      </c>
    </row>
    <row r="5789" spans="1:5" hidden="1" x14ac:dyDescent="0.15">
      <c r="A5789" s="1" t="s">
        <v>14</v>
      </c>
      <c r="B5789" s="2">
        <v>107968</v>
      </c>
      <c r="C5789" s="3">
        <v>6.3E-2</v>
      </c>
      <c r="D5789" s="4" t="s">
        <v>582</v>
      </c>
      <c r="E5789" s="4" t="s">
        <v>583</v>
      </c>
    </row>
    <row r="5790" spans="1:5" ht="26" hidden="1" x14ac:dyDescent="0.15">
      <c r="A5790" s="1" t="s">
        <v>15</v>
      </c>
      <c r="B5790" s="2">
        <v>187966</v>
      </c>
      <c r="C5790" s="3">
        <v>0.11</v>
      </c>
      <c r="D5790" s="4" t="s">
        <v>582</v>
      </c>
      <c r="E5790" s="4" t="s">
        <v>583</v>
      </c>
    </row>
    <row r="5791" spans="1:5" ht="26" hidden="1" x14ac:dyDescent="0.15">
      <c r="A5791" s="1" t="s">
        <v>16</v>
      </c>
      <c r="B5791" s="2">
        <v>64075</v>
      </c>
      <c r="C5791" s="3">
        <v>3.7000000000000005E-2</v>
      </c>
      <c r="D5791" s="4" t="s">
        <v>582</v>
      </c>
      <c r="E5791" s="4" t="s">
        <v>583</v>
      </c>
    </row>
    <row r="5792" spans="1:5" ht="26" hidden="1" x14ac:dyDescent="0.15">
      <c r="A5792" s="1" t="s">
        <v>17</v>
      </c>
      <c r="B5792" s="2">
        <v>22731</v>
      </c>
      <c r="C5792" s="3">
        <v>1.3000000000000001E-2</v>
      </c>
      <c r="D5792" s="4" t="s">
        <v>582</v>
      </c>
      <c r="E5792" s="4" t="s">
        <v>583</v>
      </c>
    </row>
    <row r="5793" spans="1:5" hidden="1" x14ac:dyDescent="0.15">
      <c r="A5793" s="1" t="s">
        <v>18</v>
      </c>
      <c r="B5793" s="2">
        <v>30268</v>
      </c>
      <c r="C5793" s="3">
        <v>1.8000000000000002E-2</v>
      </c>
      <c r="D5793" s="4" t="s">
        <v>582</v>
      </c>
      <c r="E5793" s="4" t="s">
        <v>583</v>
      </c>
    </row>
    <row r="5794" spans="1:5" hidden="1" x14ac:dyDescent="0.15">
      <c r="A5794" s="1" t="s">
        <v>19</v>
      </c>
      <c r="B5794" s="2">
        <v>180111</v>
      </c>
      <c r="C5794" s="3">
        <v>0.105</v>
      </c>
      <c r="D5794" s="4" t="s">
        <v>582</v>
      </c>
      <c r="E5794" s="4" t="s">
        <v>583</v>
      </c>
    </row>
    <row r="5795" spans="1:5" hidden="1" x14ac:dyDescent="0.15">
      <c r="A5795" s="1" t="s">
        <v>20</v>
      </c>
      <c r="B5795" s="2">
        <v>15362</v>
      </c>
      <c r="C5795" s="3">
        <v>9.0000000000000011E-3</v>
      </c>
      <c r="D5795" s="4" t="s">
        <v>582</v>
      </c>
      <c r="E5795" s="4" t="s">
        <v>583</v>
      </c>
    </row>
    <row r="5796" spans="1:5" ht="26" hidden="1" x14ac:dyDescent="0.15">
      <c r="A5796" s="1" t="s">
        <v>21</v>
      </c>
      <c r="B5796" s="2">
        <v>38474</v>
      </c>
      <c r="C5796" s="3">
        <v>2.2000000000000002E-2</v>
      </c>
      <c r="D5796" s="4" t="s">
        <v>582</v>
      </c>
      <c r="E5796" s="4" t="s">
        <v>583</v>
      </c>
    </row>
    <row r="5797" spans="1:5" ht="26" hidden="1" x14ac:dyDescent="0.15">
      <c r="A5797" s="1" t="s">
        <v>22</v>
      </c>
      <c r="B5797" s="2">
        <v>6647</v>
      </c>
      <c r="C5797" s="3">
        <v>4.0000000000000001E-3</v>
      </c>
      <c r="D5797" s="4" t="s">
        <v>582</v>
      </c>
      <c r="E5797" s="4" t="s">
        <v>583</v>
      </c>
    </row>
    <row r="5798" spans="1:5" ht="26" hidden="1" x14ac:dyDescent="0.15">
      <c r="A5798" s="1" t="s">
        <v>23</v>
      </c>
      <c r="B5798" s="2">
        <v>38466</v>
      </c>
      <c r="C5798" s="3">
        <v>2.2000000000000002E-2</v>
      </c>
      <c r="D5798" s="4" t="s">
        <v>582</v>
      </c>
      <c r="E5798" s="4" t="s">
        <v>583</v>
      </c>
    </row>
    <row r="5799" spans="1:5" ht="26" hidden="1" x14ac:dyDescent="0.15">
      <c r="A5799" s="1" t="s">
        <v>24</v>
      </c>
      <c r="B5799" s="2">
        <v>4223</v>
      </c>
      <c r="C5799" s="3">
        <v>2E-3</v>
      </c>
      <c r="D5799" s="4" t="s">
        <v>582</v>
      </c>
      <c r="E5799" s="4" t="s">
        <v>583</v>
      </c>
    </row>
    <row r="5800" spans="1:5" ht="26" hidden="1" x14ac:dyDescent="0.15">
      <c r="A5800" s="1" t="s">
        <v>25</v>
      </c>
      <c r="B5800" s="2">
        <v>47397</v>
      </c>
      <c r="C5800" s="3">
        <v>2.7999999999999997E-2</v>
      </c>
      <c r="D5800" s="4" t="s">
        <v>582</v>
      </c>
      <c r="E5800" s="4" t="s">
        <v>583</v>
      </c>
    </row>
    <row r="5801" spans="1:5" hidden="1" x14ac:dyDescent="0.15">
      <c r="A5801" s="1" t="s">
        <v>26</v>
      </c>
      <c r="B5801" s="2">
        <v>10260</v>
      </c>
      <c r="C5801" s="3">
        <v>6.0000000000000001E-3</v>
      </c>
      <c r="D5801" s="4" t="s">
        <v>582</v>
      </c>
      <c r="E5801" s="4" t="s">
        <v>583</v>
      </c>
    </row>
    <row r="5802" spans="1:5" hidden="1" x14ac:dyDescent="0.15">
      <c r="A5802" s="1" t="s">
        <v>27</v>
      </c>
      <c r="B5802" s="2">
        <v>235043</v>
      </c>
      <c r="C5802" s="3">
        <v>0.13699999999999998</v>
      </c>
      <c r="D5802" s="4" t="s">
        <v>582</v>
      </c>
      <c r="E5802" s="4" t="s">
        <v>583</v>
      </c>
    </row>
    <row r="5803" spans="1:5" hidden="1" x14ac:dyDescent="0.15">
      <c r="A5803" s="1" t="s">
        <v>28</v>
      </c>
      <c r="B5803" s="2">
        <v>107101</v>
      </c>
      <c r="C5803" s="3">
        <v>6.2E-2</v>
      </c>
      <c r="D5803" s="4" t="s">
        <v>582</v>
      </c>
      <c r="E5803" s="4" t="s">
        <v>583</v>
      </c>
    </row>
    <row r="5804" spans="1:5" hidden="1" x14ac:dyDescent="0.15">
      <c r="A5804" s="1" t="s">
        <v>29</v>
      </c>
      <c r="B5804" s="2">
        <v>372145</v>
      </c>
      <c r="C5804" s="3">
        <v>0.217</v>
      </c>
      <c r="D5804" s="4" t="s">
        <v>582</v>
      </c>
      <c r="E5804" s="4" t="s">
        <v>583</v>
      </c>
    </row>
    <row r="5805" spans="1:5" hidden="1" x14ac:dyDescent="0.15">
      <c r="A5805" s="1" t="s">
        <v>30</v>
      </c>
      <c r="B5805" s="2">
        <v>18451</v>
      </c>
      <c r="C5805" s="3">
        <v>1.1000000000000001E-2</v>
      </c>
      <c r="D5805" s="4" t="s">
        <v>582</v>
      </c>
      <c r="E5805" s="4" t="s">
        <v>583</v>
      </c>
    </row>
    <row r="5806" spans="1:5" ht="39" hidden="1" x14ac:dyDescent="0.15">
      <c r="A5806" s="1" t="s">
        <v>31</v>
      </c>
      <c r="B5806" s="2">
        <v>8960</v>
      </c>
      <c r="C5806" s="3">
        <v>5.0000000000000001E-3</v>
      </c>
      <c r="D5806" s="4" t="s">
        <v>582</v>
      </c>
      <c r="E5806" s="4" t="s">
        <v>583</v>
      </c>
    </row>
    <row r="5807" spans="1:5" hidden="1" x14ac:dyDescent="0.15">
      <c r="A5807" s="1" t="s">
        <v>32</v>
      </c>
      <c r="B5807" s="2">
        <v>55856</v>
      </c>
      <c r="C5807" s="3">
        <v>3.3000000000000002E-2</v>
      </c>
      <c r="D5807" s="4" t="s">
        <v>582</v>
      </c>
      <c r="E5807" s="4" t="s">
        <v>583</v>
      </c>
    </row>
    <row r="5808" spans="1:5" hidden="1" x14ac:dyDescent="0.15">
      <c r="A5808" s="1" t="s">
        <v>33</v>
      </c>
      <c r="B5808" s="2">
        <v>388221</v>
      </c>
      <c r="C5808" s="3">
        <v>0.22600000000000001</v>
      </c>
      <c r="D5808" s="4" t="s">
        <v>582</v>
      </c>
      <c r="E5808" s="4" t="s">
        <v>583</v>
      </c>
    </row>
    <row r="5809" spans="1:5" hidden="1" x14ac:dyDescent="0.15">
      <c r="A5809" s="1" t="s">
        <v>34</v>
      </c>
      <c r="B5809" s="2">
        <v>130303</v>
      </c>
      <c r="C5809" s="3">
        <v>7.5999999999999998E-2</v>
      </c>
      <c r="D5809" s="4" t="s">
        <v>582</v>
      </c>
      <c r="E5809" s="4" t="s">
        <v>583</v>
      </c>
    </row>
    <row r="5810" spans="1:5" hidden="1" x14ac:dyDescent="0.15">
      <c r="A5810" s="1" t="s">
        <v>35</v>
      </c>
      <c r="B5810" s="2">
        <v>46447</v>
      </c>
      <c r="C5810" s="3">
        <v>2.7000000000000003E-2</v>
      </c>
      <c r="D5810" s="4" t="s">
        <v>582</v>
      </c>
      <c r="E5810" s="4" t="s">
        <v>583</v>
      </c>
    </row>
    <row r="5811" spans="1:5" ht="26" hidden="1" x14ac:dyDescent="0.15">
      <c r="A5811" s="1" t="s">
        <v>36</v>
      </c>
      <c r="B5811" s="2">
        <v>46216</v>
      </c>
      <c r="C5811" s="3">
        <v>2.7000000000000003E-2</v>
      </c>
      <c r="D5811" s="4" t="s">
        <v>582</v>
      </c>
      <c r="E5811" s="4" t="s">
        <v>583</v>
      </c>
    </row>
    <row r="5812" spans="1:5" hidden="1" x14ac:dyDescent="0.15">
      <c r="A5812" s="1" t="s">
        <v>37</v>
      </c>
      <c r="B5812" s="2">
        <v>29452</v>
      </c>
      <c r="C5812" s="3">
        <v>1.7000000000000001E-2</v>
      </c>
      <c r="D5812" s="4" t="s">
        <v>582</v>
      </c>
      <c r="E5812" s="4" t="s">
        <v>583</v>
      </c>
    </row>
    <row r="5813" spans="1:5" ht="39" hidden="1" x14ac:dyDescent="0.15">
      <c r="A5813" s="1" t="s">
        <v>38</v>
      </c>
      <c r="B5813" s="2">
        <v>29777</v>
      </c>
      <c r="C5813" s="3">
        <v>1.7000000000000001E-2</v>
      </c>
      <c r="D5813" s="4" t="s">
        <v>582</v>
      </c>
      <c r="E5813" s="4" t="s">
        <v>583</v>
      </c>
    </row>
    <row r="5814" spans="1:5" hidden="1" x14ac:dyDescent="0.15">
      <c r="A5814" s="1" t="s">
        <v>39</v>
      </c>
      <c r="B5814" s="2">
        <v>79188</v>
      </c>
      <c r="C5814" s="3">
        <v>4.5999999999999999E-2</v>
      </c>
      <c r="D5814" s="4" t="s">
        <v>582</v>
      </c>
      <c r="E5814" s="4" t="s">
        <v>583</v>
      </c>
    </row>
    <row r="5815" spans="1:5" hidden="1" x14ac:dyDescent="0.15">
      <c r="A5815" s="1" t="s">
        <v>40</v>
      </c>
      <c r="B5815" s="2">
        <v>23816</v>
      </c>
      <c r="C5815" s="3">
        <v>1.3999999999999999E-2</v>
      </c>
      <c r="D5815" s="4" t="s">
        <v>582</v>
      </c>
      <c r="E5815" s="4" t="s">
        <v>583</v>
      </c>
    </row>
    <row r="5816" spans="1:5" hidden="1" x14ac:dyDescent="0.15">
      <c r="A5816" s="1" t="s">
        <v>41</v>
      </c>
      <c r="B5816" s="2">
        <v>45693</v>
      </c>
      <c r="C5816" s="3">
        <v>2.7000000000000003E-2</v>
      </c>
      <c r="D5816" s="4" t="s">
        <v>582</v>
      </c>
      <c r="E5816" s="4" t="s">
        <v>583</v>
      </c>
    </row>
    <row r="5817" spans="1:5" hidden="1" x14ac:dyDescent="0.15">
      <c r="A5817" s="1" t="s">
        <v>42</v>
      </c>
      <c r="B5817" s="2">
        <v>67484</v>
      </c>
      <c r="C5817" s="3">
        <v>3.9E-2</v>
      </c>
      <c r="D5817" s="4" t="s">
        <v>582</v>
      </c>
      <c r="E5817" s="4" t="s">
        <v>583</v>
      </c>
    </row>
    <row r="5818" spans="1:5" hidden="1" x14ac:dyDescent="0.15">
      <c r="A5818" s="1" t="s">
        <v>43</v>
      </c>
      <c r="B5818" s="2">
        <v>163210</v>
      </c>
      <c r="C5818" s="3">
        <v>9.5000000000000001E-2</v>
      </c>
      <c r="D5818" s="4" t="s">
        <v>582</v>
      </c>
      <c r="E5818" s="4" t="s">
        <v>583</v>
      </c>
    </row>
    <row r="5819" spans="1:5" ht="26" hidden="1" x14ac:dyDescent="0.15">
      <c r="A5819" s="1" t="s">
        <v>44</v>
      </c>
      <c r="B5819" s="2">
        <v>156466</v>
      </c>
      <c r="C5819" s="3">
        <v>9.0999999999999998E-2</v>
      </c>
      <c r="D5819" s="4" t="s">
        <v>582</v>
      </c>
      <c r="E5819" s="4" t="s">
        <v>583</v>
      </c>
    </row>
    <row r="5820" spans="1:5" hidden="1" x14ac:dyDescent="0.15">
      <c r="A5820" s="1" t="s">
        <v>45</v>
      </c>
      <c r="B5820" s="2">
        <v>502160</v>
      </c>
      <c r="C5820" s="3">
        <v>0.29299999999999998</v>
      </c>
      <c r="D5820" s="4" t="s">
        <v>582</v>
      </c>
      <c r="E5820" s="4" t="s">
        <v>583</v>
      </c>
    </row>
    <row r="5821" spans="1:5" ht="26" hidden="1" x14ac:dyDescent="0.15">
      <c r="A5821" s="1" t="s">
        <v>46</v>
      </c>
      <c r="B5821" s="2">
        <v>661276</v>
      </c>
      <c r="C5821" s="3">
        <v>0.38500000000000001</v>
      </c>
      <c r="D5821" s="4" t="s">
        <v>582</v>
      </c>
      <c r="E5821" s="4" t="s">
        <v>583</v>
      </c>
    </row>
    <row r="5822" spans="1:5" hidden="1" x14ac:dyDescent="0.15">
      <c r="A5822" s="1" t="s">
        <v>47</v>
      </c>
      <c r="B5822" s="2">
        <v>944562</v>
      </c>
      <c r="C5822" s="3">
        <v>0.55000000000000004</v>
      </c>
      <c r="D5822" s="4" t="s">
        <v>582</v>
      </c>
      <c r="E5822" s="4" t="s">
        <v>583</v>
      </c>
    </row>
    <row r="5823" spans="1:5" hidden="1" x14ac:dyDescent="0.15">
      <c r="A5823" s="1" t="s">
        <v>48</v>
      </c>
      <c r="B5823" s="2">
        <v>109454</v>
      </c>
      <c r="C5823" s="3">
        <v>6.4000000000000001E-2</v>
      </c>
      <c r="D5823" s="4" t="s">
        <v>582</v>
      </c>
      <c r="E5823" s="4" t="s">
        <v>583</v>
      </c>
    </row>
    <row r="5824" spans="1:5" hidden="1" x14ac:dyDescent="0.15">
      <c r="A5824" s="1" t="s">
        <v>49</v>
      </c>
      <c r="B5824" s="2">
        <v>132396</v>
      </c>
      <c r="C5824" s="3">
        <v>7.6999999999999999E-2</v>
      </c>
      <c r="D5824" s="4" t="s">
        <v>582</v>
      </c>
      <c r="E5824" s="4" t="s">
        <v>583</v>
      </c>
    </row>
    <row r="5825" spans="1:5" ht="26" hidden="1" x14ac:dyDescent="0.15">
      <c r="A5825" s="1" t="s">
        <v>50</v>
      </c>
      <c r="B5825" s="2">
        <v>244840</v>
      </c>
      <c r="C5825" s="3">
        <v>0.14300000000000002</v>
      </c>
      <c r="D5825" s="4" t="s">
        <v>582</v>
      </c>
      <c r="E5825" s="4" t="s">
        <v>583</v>
      </c>
    </row>
    <row r="5826" spans="1:5" hidden="1" x14ac:dyDescent="0.15">
      <c r="A5826" s="1" t="s">
        <v>51</v>
      </c>
      <c r="B5826" s="2">
        <v>525880</v>
      </c>
      <c r="C5826" s="3">
        <v>0.30599999999999999</v>
      </c>
      <c r="D5826" s="4" t="s">
        <v>582</v>
      </c>
      <c r="E5826" s="4" t="s">
        <v>583</v>
      </c>
    </row>
    <row r="5827" spans="1:5" hidden="1" x14ac:dyDescent="0.15">
      <c r="A5827" s="1" t="s">
        <v>52</v>
      </c>
      <c r="B5827" s="2">
        <v>249784</v>
      </c>
      <c r="C5827" s="3">
        <v>0.14599999999999999</v>
      </c>
      <c r="D5827" s="4" t="s">
        <v>582</v>
      </c>
      <c r="E5827" s="4" t="s">
        <v>583</v>
      </c>
    </row>
    <row r="5828" spans="1:5" ht="26" hidden="1" x14ac:dyDescent="0.15">
      <c r="A5828" s="1" t="s">
        <v>53</v>
      </c>
      <c r="B5828" s="2">
        <v>185239</v>
      </c>
      <c r="C5828" s="3">
        <v>0.10800000000000001</v>
      </c>
      <c r="D5828" s="4" t="s">
        <v>582</v>
      </c>
      <c r="E5828" s="4" t="s">
        <v>583</v>
      </c>
    </row>
    <row r="5829" spans="1:5" hidden="1" x14ac:dyDescent="0.15">
      <c r="A5829" s="1" t="s">
        <v>54</v>
      </c>
      <c r="B5829" s="2">
        <v>646992</v>
      </c>
      <c r="C5829" s="3">
        <v>0.377</v>
      </c>
      <c r="D5829" s="4" t="s">
        <v>582</v>
      </c>
      <c r="E5829" s="4" t="s">
        <v>583</v>
      </c>
    </row>
    <row r="5830" spans="1:5" ht="26" hidden="1" x14ac:dyDescent="0.15">
      <c r="A5830" s="1" t="s">
        <v>55</v>
      </c>
      <c r="B5830" s="2">
        <v>570509</v>
      </c>
      <c r="C5830" s="3">
        <v>0.33200000000000002</v>
      </c>
      <c r="D5830" s="4" t="s">
        <v>582</v>
      </c>
      <c r="E5830" s="4" t="s">
        <v>583</v>
      </c>
    </row>
    <row r="5831" spans="1:5" hidden="1" x14ac:dyDescent="0.15">
      <c r="A5831" s="1" t="s">
        <v>56</v>
      </c>
      <c r="B5831" s="2">
        <v>391034</v>
      </c>
      <c r="C5831" s="3">
        <v>0.22800000000000001</v>
      </c>
      <c r="D5831" s="4" t="s">
        <v>582</v>
      </c>
      <c r="E5831" s="4" t="s">
        <v>583</v>
      </c>
    </row>
    <row r="5832" spans="1:5" hidden="1" x14ac:dyDescent="0.15">
      <c r="A5832" s="1" t="s">
        <v>57</v>
      </c>
      <c r="B5832" s="2">
        <v>282355</v>
      </c>
      <c r="C5832" s="3">
        <v>0.16500000000000001</v>
      </c>
      <c r="D5832" s="4" t="s">
        <v>582</v>
      </c>
      <c r="E5832" s="4" t="s">
        <v>583</v>
      </c>
    </row>
    <row r="5833" spans="1:5" hidden="1" x14ac:dyDescent="0.15">
      <c r="A5833" s="1" t="s">
        <v>58</v>
      </c>
      <c r="B5833" s="2">
        <v>203535</v>
      </c>
      <c r="C5833" s="3">
        <v>0.11900000000000001</v>
      </c>
      <c r="D5833" s="4" t="s">
        <v>582</v>
      </c>
      <c r="E5833" s="4" t="s">
        <v>583</v>
      </c>
    </row>
    <row r="5834" spans="1:5" hidden="1" x14ac:dyDescent="0.15">
      <c r="A5834" s="1" t="s">
        <v>59</v>
      </c>
      <c r="B5834" s="2">
        <v>716058</v>
      </c>
      <c r="C5834" s="3">
        <v>0.41700000000000004</v>
      </c>
      <c r="D5834" s="4" t="s">
        <v>582</v>
      </c>
      <c r="E5834" s="4" t="s">
        <v>583</v>
      </c>
    </row>
    <row r="5835" spans="1:5" hidden="1" x14ac:dyDescent="0.15">
      <c r="A5835" s="1" t="s">
        <v>60</v>
      </c>
      <c r="B5835" s="2">
        <v>186586</v>
      </c>
      <c r="C5835" s="3">
        <v>0.109</v>
      </c>
      <c r="D5835" s="4" t="s">
        <v>582</v>
      </c>
      <c r="E5835" s="4" t="s">
        <v>583</v>
      </c>
    </row>
    <row r="5836" spans="1:5" ht="26" hidden="1" x14ac:dyDescent="0.15">
      <c r="A5836" s="1" t="s">
        <v>61</v>
      </c>
      <c r="B5836" s="2">
        <v>278995</v>
      </c>
      <c r="C5836" s="3">
        <v>0.16300000000000001</v>
      </c>
      <c r="D5836" s="4" t="s">
        <v>582</v>
      </c>
      <c r="E5836" s="4" t="s">
        <v>583</v>
      </c>
    </row>
    <row r="5837" spans="1:5" hidden="1" x14ac:dyDescent="0.15">
      <c r="A5837" s="1" t="s">
        <v>62</v>
      </c>
      <c r="B5837" s="2">
        <v>73068</v>
      </c>
      <c r="C5837" s="3">
        <v>4.2999999999999997E-2</v>
      </c>
      <c r="D5837" s="4" t="s">
        <v>582</v>
      </c>
      <c r="E5837" s="4" t="s">
        <v>583</v>
      </c>
    </row>
    <row r="5838" spans="1:5" ht="26" hidden="1" x14ac:dyDescent="0.15">
      <c r="A5838" s="1" t="s">
        <v>63</v>
      </c>
      <c r="B5838" s="2">
        <v>323350</v>
      </c>
      <c r="C5838" s="3">
        <v>0.188</v>
      </c>
      <c r="D5838" s="4" t="s">
        <v>582</v>
      </c>
      <c r="E5838" s="4" t="s">
        <v>583</v>
      </c>
    </row>
    <row r="5839" spans="1:5" ht="26" hidden="1" x14ac:dyDescent="0.15">
      <c r="A5839" s="1" t="s">
        <v>64</v>
      </c>
      <c r="B5839" s="2">
        <v>64407</v>
      </c>
      <c r="C5839" s="3">
        <v>3.7999999999999999E-2</v>
      </c>
      <c r="D5839" s="4" t="s">
        <v>582</v>
      </c>
      <c r="E5839" s="4" t="s">
        <v>583</v>
      </c>
    </row>
    <row r="5840" spans="1:5" hidden="1" x14ac:dyDescent="0.15">
      <c r="A5840" s="1" t="s">
        <v>65</v>
      </c>
      <c r="B5840" s="2">
        <v>313912</v>
      </c>
      <c r="C5840" s="3">
        <v>0.183</v>
      </c>
      <c r="D5840" s="4" t="s">
        <v>582</v>
      </c>
      <c r="E5840" s="4" t="s">
        <v>583</v>
      </c>
    </row>
    <row r="5841" spans="1:5" hidden="1" x14ac:dyDescent="0.15">
      <c r="A5841" s="1" t="s">
        <v>66</v>
      </c>
      <c r="B5841" s="2">
        <v>124704</v>
      </c>
      <c r="C5841" s="3">
        <v>7.2999999999999995E-2</v>
      </c>
      <c r="D5841" s="4" t="s">
        <v>582</v>
      </c>
      <c r="E5841" s="4" t="s">
        <v>583</v>
      </c>
    </row>
    <row r="5842" spans="1:5" hidden="1" x14ac:dyDescent="0.15">
      <c r="A5842" s="1" t="s">
        <v>67</v>
      </c>
      <c r="B5842" s="2">
        <v>677348</v>
      </c>
      <c r="C5842" s="3">
        <v>0.39500000000000002</v>
      </c>
      <c r="D5842" s="4" t="s">
        <v>582</v>
      </c>
      <c r="E5842" s="4" t="s">
        <v>583</v>
      </c>
    </row>
    <row r="5843" spans="1:5" hidden="1" x14ac:dyDescent="0.15">
      <c r="A5843" s="1" t="s">
        <v>68</v>
      </c>
      <c r="B5843" s="2">
        <v>487919</v>
      </c>
      <c r="C5843" s="3">
        <v>0.28399999999999997</v>
      </c>
      <c r="D5843" s="4" t="s">
        <v>582</v>
      </c>
      <c r="E5843" s="4" t="s">
        <v>583</v>
      </c>
    </row>
    <row r="5844" spans="1:5" hidden="1" x14ac:dyDescent="0.15">
      <c r="A5844" s="1" t="s">
        <v>69</v>
      </c>
      <c r="B5844" s="2">
        <v>978797</v>
      </c>
      <c r="C5844" s="3">
        <v>0.56999999999999995</v>
      </c>
      <c r="D5844" s="4" t="s">
        <v>582</v>
      </c>
      <c r="E5844" s="4" t="s">
        <v>583</v>
      </c>
    </row>
    <row r="5845" spans="1:5" hidden="1" x14ac:dyDescent="0.15">
      <c r="A5845" s="1" t="s">
        <v>70</v>
      </c>
      <c r="B5845" s="2">
        <v>211178</v>
      </c>
      <c r="C5845" s="3">
        <v>0.12300000000000001</v>
      </c>
      <c r="D5845" s="4" t="s">
        <v>582</v>
      </c>
      <c r="E5845" s="4" t="s">
        <v>583</v>
      </c>
    </row>
    <row r="5846" spans="1:5" ht="26" hidden="1" x14ac:dyDescent="0.15">
      <c r="A5846" s="1" t="s">
        <v>71</v>
      </c>
      <c r="B5846" s="2">
        <v>77971</v>
      </c>
      <c r="C5846" s="3">
        <v>4.4999999999999998E-2</v>
      </c>
      <c r="D5846" s="4" t="s">
        <v>582</v>
      </c>
      <c r="E5846" s="4" t="s">
        <v>583</v>
      </c>
    </row>
    <row r="5847" spans="1:5" hidden="1" x14ac:dyDescent="0.15">
      <c r="A5847" s="1" t="s">
        <v>72</v>
      </c>
      <c r="B5847" s="2">
        <v>311554</v>
      </c>
      <c r="C5847" s="3">
        <v>0.182</v>
      </c>
      <c r="D5847" s="4" t="s">
        <v>582</v>
      </c>
      <c r="E5847" s="4" t="s">
        <v>583</v>
      </c>
    </row>
    <row r="5848" spans="1:5" hidden="1" x14ac:dyDescent="0.15">
      <c r="A5848" s="1" t="s">
        <v>73</v>
      </c>
      <c r="B5848" s="2">
        <v>964567</v>
      </c>
      <c r="C5848" s="3">
        <v>0.56200000000000006</v>
      </c>
      <c r="D5848" s="4" t="s">
        <v>582</v>
      </c>
      <c r="E5848" s="4" t="s">
        <v>583</v>
      </c>
    </row>
    <row r="5849" spans="1:5" hidden="1" x14ac:dyDescent="0.15">
      <c r="A5849" s="1" t="s">
        <v>74</v>
      </c>
      <c r="B5849" s="2">
        <v>478053</v>
      </c>
      <c r="C5849" s="3">
        <v>0.27899999999999997</v>
      </c>
      <c r="D5849" s="4" t="s">
        <v>582</v>
      </c>
      <c r="E5849" s="4" t="s">
        <v>583</v>
      </c>
    </row>
    <row r="5850" spans="1:5" hidden="1" x14ac:dyDescent="0.15">
      <c r="A5850" s="1" t="s">
        <v>75</v>
      </c>
      <c r="B5850" s="2">
        <v>276446</v>
      </c>
      <c r="C5850" s="3">
        <v>0.161</v>
      </c>
      <c r="D5850" s="4" t="s">
        <v>582</v>
      </c>
      <c r="E5850" s="4" t="s">
        <v>583</v>
      </c>
    </row>
    <row r="5851" spans="1:5" hidden="1" x14ac:dyDescent="0.15">
      <c r="A5851" s="1" t="s">
        <v>76</v>
      </c>
      <c r="B5851" s="2">
        <v>264087</v>
      </c>
      <c r="C5851" s="3">
        <v>0.154</v>
      </c>
      <c r="D5851" s="4" t="s">
        <v>582</v>
      </c>
      <c r="E5851" s="4" t="s">
        <v>583</v>
      </c>
    </row>
    <row r="5852" spans="1:5" hidden="1" x14ac:dyDescent="0.15">
      <c r="A5852" s="1" t="s">
        <v>77</v>
      </c>
      <c r="B5852" s="2">
        <v>213651</v>
      </c>
      <c r="C5852" s="3">
        <v>0.125</v>
      </c>
      <c r="D5852" s="4" t="s">
        <v>582</v>
      </c>
      <c r="E5852" s="4" t="s">
        <v>583</v>
      </c>
    </row>
    <row r="5853" spans="1:5" ht="26" hidden="1" x14ac:dyDescent="0.15">
      <c r="A5853" s="1" t="s">
        <v>78</v>
      </c>
      <c r="B5853" s="2">
        <v>214783</v>
      </c>
      <c r="C5853" s="3">
        <v>0.125</v>
      </c>
      <c r="D5853" s="4" t="s">
        <v>582</v>
      </c>
      <c r="E5853" s="4" t="s">
        <v>583</v>
      </c>
    </row>
    <row r="5854" spans="1:5" hidden="1" x14ac:dyDescent="0.15">
      <c r="A5854" s="1" t="s">
        <v>79</v>
      </c>
      <c r="B5854" s="2">
        <v>306923</v>
      </c>
      <c r="C5854" s="3">
        <v>0.17899999999999999</v>
      </c>
      <c r="D5854" s="4" t="s">
        <v>582</v>
      </c>
      <c r="E5854" s="4" t="s">
        <v>583</v>
      </c>
    </row>
    <row r="5855" spans="1:5" hidden="1" x14ac:dyDescent="0.15">
      <c r="A5855" s="1" t="s">
        <v>80</v>
      </c>
      <c r="B5855" s="2">
        <v>174419</v>
      </c>
      <c r="C5855" s="3">
        <v>0.10199999999999999</v>
      </c>
      <c r="D5855" s="4" t="s">
        <v>582</v>
      </c>
      <c r="E5855" s="4" t="s">
        <v>583</v>
      </c>
    </row>
    <row r="5856" spans="1:5" ht="26" hidden="1" x14ac:dyDescent="0.15">
      <c r="A5856" s="1" t="s">
        <v>81</v>
      </c>
      <c r="B5856" s="2">
        <v>286726</v>
      </c>
      <c r="C5856" s="3">
        <v>0.16699999999999998</v>
      </c>
      <c r="D5856" s="4" t="s">
        <v>582</v>
      </c>
      <c r="E5856" s="4" t="s">
        <v>583</v>
      </c>
    </row>
    <row r="5857" spans="1:5" hidden="1" x14ac:dyDescent="0.15">
      <c r="A5857" s="1" t="s">
        <v>82</v>
      </c>
      <c r="B5857" s="2">
        <v>227514</v>
      </c>
      <c r="C5857" s="3">
        <v>0.13300000000000001</v>
      </c>
      <c r="D5857" s="4" t="s">
        <v>582</v>
      </c>
      <c r="E5857" s="4" t="s">
        <v>583</v>
      </c>
    </row>
    <row r="5858" spans="1:5" hidden="1" x14ac:dyDescent="0.15">
      <c r="A5858" s="4"/>
      <c r="B5858" s="4"/>
      <c r="C5858" s="4"/>
      <c r="D5858" s="4" t="s">
        <v>582</v>
      </c>
      <c r="E5858" s="4" t="s">
        <v>583</v>
      </c>
    </row>
    <row r="5859" spans="1:5" hidden="1" x14ac:dyDescent="0.15">
      <c r="A5859" s="5"/>
      <c r="B5859" s="5"/>
      <c r="C5859" s="5"/>
      <c r="D5859" s="4" t="s">
        <v>582</v>
      </c>
      <c r="E5859" s="4" t="s">
        <v>583</v>
      </c>
    </row>
    <row r="5860" spans="1:5" ht="26" hidden="1" x14ac:dyDescent="0.15">
      <c r="A5860" s="1" t="s">
        <v>584</v>
      </c>
      <c r="B5860" s="2">
        <v>389338</v>
      </c>
      <c r="C5860" s="3">
        <v>0.22699999999999998</v>
      </c>
      <c r="D5860" s="4" t="s">
        <v>582</v>
      </c>
      <c r="E5860" s="4" t="s">
        <v>583</v>
      </c>
    </row>
    <row r="5861" spans="1:5" ht="26" hidden="1" x14ac:dyDescent="0.15">
      <c r="A5861" s="1" t="s">
        <v>585</v>
      </c>
      <c r="B5861" s="2">
        <v>618779</v>
      </c>
      <c r="C5861" s="3">
        <v>0.36099999999999999</v>
      </c>
      <c r="D5861" s="4" t="s">
        <v>582</v>
      </c>
      <c r="E5861" s="4" t="s">
        <v>583</v>
      </c>
    </row>
    <row r="5862" spans="1:5" ht="26" hidden="1" x14ac:dyDescent="0.15">
      <c r="A5862" s="1" t="s">
        <v>586</v>
      </c>
      <c r="B5862" s="2">
        <v>48225</v>
      </c>
      <c r="C5862" s="3">
        <v>2.7999999999999997E-2</v>
      </c>
      <c r="D5862" s="4" t="s">
        <v>582</v>
      </c>
      <c r="E5862" s="4" t="s">
        <v>583</v>
      </c>
    </row>
    <row r="5863" spans="1:5" ht="26" hidden="1" x14ac:dyDescent="0.15">
      <c r="A5863" s="1" t="s">
        <v>587</v>
      </c>
      <c r="B5863" s="2">
        <v>64337</v>
      </c>
      <c r="C5863" s="3">
        <v>3.7000000000000005E-2</v>
      </c>
      <c r="D5863" s="4" t="s">
        <v>582</v>
      </c>
      <c r="E5863" s="4" t="s">
        <v>583</v>
      </c>
    </row>
    <row r="5864" spans="1:5" ht="26" hidden="1" x14ac:dyDescent="0.15">
      <c r="A5864" s="1" t="s">
        <v>588</v>
      </c>
      <c r="B5864" s="2">
        <v>258787</v>
      </c>
      <c r="C5864" s="3">
        <v>0.151</v>
      </c>
      <c r="D5864" s="4" t="s">
        <v>582</v>
      </c>
      <c r="E5864" s="4" t="s">
        <v>583</v>
      </c>
    </row>
    <row r="5865" spans="1:5" ht="39" hidden="1" x14ac:dyDescent="0.15">
      <c r="A5865" s="1" t="s">
        <v>589</v>
      </c>
      <c r="B5865" s="2">
        <v>160486</v>
      </c>
      <c r="C5865" s="3">
        <v>9.4E-2</v>
      </c>
      <c r="D5865" s="4" t="s">
        <v>582</v>
      </c>
      <c r="E5865" s="4" t="s">
        <v>583</v>
      </c>
    </row>
    <row r="5866" spans="1:5" ht="39" hidden="1" x14ac:dyDescent="0.15">
      <c r="A5866" s="1" t="s">
        <v>590</v>
      </c>
      <c r="B5866" s="2">
        <v>287124</v>
      </c>
      <c r="C5866" s="3">
        <v>0.16699999999999998</v>
      </c>
      <c r="D5866" s="4" t="s">
        <v>582</v>
      </c>
      <c r="E5866" s="4" t="s">
        <v>583</v>
      </c>
    </row>
    <row r="5867" spans="1:5" ht="39" hidden="1" x14ac:dyDescent="0.15">
      <c r="A5867" s="1" t="s">
        <v>591</v>
      </c>
      <c r="B5867" s="2">
        <v>507151</v>
      </c>
      <c r="C5867" s="3">
        <v>0.29600000000000004</v>
      </c>
      <c r="D5867" s="4" t="s">
        <v>582</v>
      </c>
      <c r="E5867" s="4" t="s">
        <v>583</v>
      </c>
    </row>
    <row r="5868" spans="1:5" hidden="1" x14ac:dyDescent="0.15">
      <c r="A5868" s="4"/>
      <c r="B5868" s="4"/>
      <c r="C5868" s="4"/>
      <c r="D5868" s="4" t="s">
        <v>582</v>
      </c>
      <c r="E5868" s="4" t="s">
        <v>583</v>
      </c>
    </row>
    <row r="5869" spans="1:5" hidden="1" x14ac:dyDescent="0.15">
      <c r="A5869" s="5" t="s">
        <v>397</v>
      </c>
      <c r="B5869" s="5"/>
      <c r="C5869" s="5"/>
      <c r="D5869" s="4" t="s">
        <v>582</v>
      </c>
      <c r="E5869" s="4" t="s">
        <v>583</v>
      </c>
    </row>
    <row r="5870" spans="1:5" ht="26" hidden="1" x14ac:dyDescent="0.15">
      <c r="A5870" s="1" t="s">
        <v>592</v>
      </c>
      <c r="B5870" s="2">
        <v>38696</v>
      </c>
      <c r="C5870" s="3">
        <v>2.3E-2</v>
      </c>
      <c r="D5870" s="4" t="s">
        <v>582</v>
      </c>
      <c r="E5870" s="4" t="s">
        <v>583</v>
      </c>
    </row>
    <row r="5871" spans="1:5" ht="26" hidden="1" x14ac:dyDescent="0.15">
      <c r="A5871" s="1" t="s">
        <v>593</v>
      </c>
      <c r="B5871" s="2">
        <v>49569</v>
      </c>
      <c r="C5871" s="3">
        <v>2.8999999999999998E-2</v>
      </c>
      <c r="D5871" s="4" t="s">
        <v>582</v>
      </c>
      <c r="E5871" s="4" t="s">
        <v>583</v>
      </c>
    </row>
    <row r="5872" spans="1:5" hidden="1" x14ac:dyDescent="0.15">
      <c r="A5872" s="4"/>
      <c r="B5872" s="4"/>
      <c r="C5872" s="4"/>
      <c r="D5872" s="4" t="s">
        <v>582</v>
      </c>
      <c r="E5872" s="4" t="s">
        <v>583</v>
      </c>
    </row>
    <row r="5873" spans="1:5" hidden="1" x14ac:dyDescent="0.15">
      <c r="A5873" s="5"/>
      <c r="B5873" s="5"/>
      <c r="C5873" s="5"/>
      <c r="D5873" s="4" t="s">
        <v>582</v>
      </c>
      <c r="E5873" s="4" t="s">
        <v>583</v>
      </c>
    </row>
    <row r="5874" spans="1:5" hidden="1" x14ac:dyDescent="0.15">
      <c r="A5874" s="1" t="s">
        <v>308</v>
      </c>
      <c r="B5874" s="2">
        <v>514506</v>
      </c>
      <c r="C5874" s="3">
        <v>0.3</v>
      </c>
      <c r="D5874" s="4" t="s">
        <v>582</v>
      </c>
      <c r="E5874" s="4" t="s">
        <v>583</v>
      </c>
    </row>
    <row r="5875" spans="1:5" hidden="1" x14ac:dyDescent="0.15">
      <c r="A5875" s="4"/>
      <c r="B5875" s="4"/>
      <c r="C5875" s="4"/>
      <c r="D5875" s="4" t="s">
        <v>582</v>
      </c>
      <c r="E5875" s="4" t="s">
        <v>583</v>
      </c>
    </row>
    <row r="5876" spans="1:5" ht="26" hidden="1" x14ac:dyDescent="0.15">
      <c r="A5876" s="1" t="s">
        <v>318</v>
      </c>
      <c r="B5876" s="2">
        <v>62141</v>
      </c>
      <c r="C5876" s="3">
        <v>3.6000000000000004E-2</v>
      </c>
      <c r="D5876" s="4" t="s">
        <v>582</v>
      </c>
      <c r="E5876" s="4" t="s">
        <v>583</v>
      </c>
    </row>
    <row r="5877" spans="1:5" hidden="1" x14ac:dyDescent="0.15">
      <c r="A5877" s="4"/>
      <c r="B5877" s="4"/>
      <c r="C5877" s="4"/>
      <c r="D5877" s="4" t="s">
        <v>582</v>
      </c>
      <c r="E5877" s="4" t="s">
        <v>583</v>
      </c>
    </row>
    <row r="5878" spans="1:5" hidden="1" x14ac:dyDescent="0.15">
      <c r="A5878" s="5"/>
      <c r="B5878" s="5"/>
      <c r="C5878" s="5"/>
      <c r="D5878" s="4" t="s">
        <v>582</v>
      </c>
      <c r="E5878" s="4" t="s">
        <v>583</v>
      </c>
    </row>
    <row r="5879" spans="1:5" hidden="1" x14ac:dyDescent="0.15">
      <c r="A5879" s="1" t="s">
        <v>523</v>
      </c>
      <c r="B5879" s="2">
        <v>386296</v>
      </c>
      <c r="C5879" s="3">
        <v>0.22500000000000001</v>
      </c>
      <c r="D5879" s="4" t="s">
        <v>582</v>
      </c>
      <c r="E5879" s="4" t="s">
        <v>583</v>
      </c>
    </row>
    <row r="5880" spans="1:5" ht="26" hidden="1" x14ac:dyDescent="0.15">
      <c r="A5880" s="1" t="s">
        <v>310</v>
      </c>
      <c r="B5880" s="2">
        <v>541827</v>
      </c>
      <c r="C5880" s="3">
        <v>0.316</v>
      </c>
      <c r="D5880" s="4" t="s">
        <v>582</v>
      </c>
      <c r="E5880" s="4" t="s">
        <v>583</v>
      </c>
    </row>
    <row r="5881" spans="1:5" hidden="1" x14ac:dyDescent="0.15">
      <c r="A5881" s="1" t="s">
        <v>0</v>
      </c>
      <c r="B5881" s="2">
        <v>1352946</v>
      </c>
      <c r="C5881" s="3">
        <v>1</v>
      </c>
      <c r="D5881" s="4" t="s">
        <v>594</v>
      </c>
      <c r="E5881" s="4" t="s">
        <v>317</v>
      </c>
    </row>
    <row r="5882" spans="1:5" ht="26" hidden="1" x14ac:dyDescent="0.15">
      <c r="A5882" s="1" t="s">
        <v>3</v>
      </c>
      <c r="B5882" s="2">
        <v>26747</v>
      </c>
      <c r="C5882" s="3">
        <v>0.02</v>
      </c>
      <c r="D5882" s="4" t="s">
        <v>594</v>
      </c>
      <c r="E5882" s="4" t="s">
        <v>317</v>
      </c>
    </row>
    <row r="5883" spans="1:5" hidden="1" x14ac:dyDescent="0.15">
      <c r="A5883" s="1" t="s">
        <v>4</v>
      </c>
      <c r="B5883" s="2">
        <v>15140</v>
      </c>
      <c r="C5883" s="3">
        <v>1.1000000000000001E-2</v>
      </c>
      <c r="D5883" s="4" t="s">
        <v>594</v>
      </c>
      <c r="E5883" s="4" t="s">
        <v>317</v>
      </c>
    </row>
    <row r="5884" spans="1:5" ht="26" hidden="1" x14ac:dyDescent="0.15">
      <c r="A5884" s="1" t="s">
        <v>5</v>
      </c>
      <c r="B5884" s="2">
        <v>61991</v>
      </c>
      <c r="C5884" s="3">
        <v>4.5999999999999999E-2</v>
      </c>
      <c r="D5884" s="4" t="s">
        <v>594</v>
      </c>
      <c r="E5884" s="4" t="s">
        <v>317</v>
      </c>
    </row>
    <row r="5885" spans="1:5" ht="26" hidden="1" x14ac:dyDescent="0.15">
      <c r="A5885" s="1" t="s">
        <v>6</v>
      </c>
      <c r="B5885" s="2">
        <v>343772</v>
      </c>
      <c r="C5885" s="3">
        <v>0.254</v>
      </c>
      <c r="D5885" s="4" t="s">
        <v>594</v>
      </c>
      <c r="E5885" s="4" t="s">
        <v>317</v>
      </c>
    </row>
    <row r="5886" spans="1:5" ht="26" hidden="1" x14ac:dyDescent="0.15">
      <c r="A5886" s="1" t="s">
        <v>7</v>
      </c>
      <c r="B5886" s="2">
        <v>295751</v>
      </c>
      <c r="C5886" s="3">
        <v>0.21899999999999997</v>
      </c>
      <c r="D5886" s="4" t="s">
        <v>594</v>
      </c>
      <c r="E5886" s="4" t="s">
        <v>317</v>
      </c>
    </row>
    <row r="5887" spans="1:5" ht="26" hidden="1" x14ac:dyDescent="0.15">
      <c r="A5887" s="1" t="s">
        <v>8</v>
      </c>
      <c r="B5887" s="2">
        <v>5118</v>
      </c>
      <c r="C5887" s="3">
        <v>4.0000000000000001E-3</v>
      </c>
      <c r="D5887" s="4" t="s">
        <v>594</v>
      </c>
      <c r="E5887" s="4" t="s">
        <v>317</v>
      </c>
    </row>
    <row r="5888" spans="1:5" ht="26" hidden="1" x14ac:dyDescent="0.15">
      <c r="A5888" s="1" t="s">
        <v>9</v>
      </c>
      <c r="B5888" s="2">
        <v>10865</v>
      </c>
      <c r="C5888" s="3">
        <v>8.0000000000000002E-3</v>
      </c>
      <c r="D5888" s="4" t="s">
        <v>594</v>
      </c>
      <c r="E5888" s="4" t="s">
        <v>317</v>
      </c>
    </row>
    <row r="5889" spans="1:5" ht="26" hidden="1" x14ac:dyDescent="0.15">
      <c r="A5889" s="1" t="s">
        <v>10</v>
      </c>
      <c r="B5889" s="2">
        <v>29839</v>
      </c>
      <c r="C5889" s="3">
        <v>2.2000000000000002E-2</v>
      </c>
      <c r="D5889" s="4" t="s">
        <v>594</v>
      </c>
      <c r="E5889" s="4" t="s">
        <v>317</v>
      </c>
    </row>
    <row r="5890" spans="1:5" ht="26" hidden="1" x14ac:dyDescent="0.15">
      <c r="A5890" s="1" t="s">
        <v>11</v>
      </c>
      <c r="B5890" s="2">
        <v>49290</v>
      </c>
      <c r="C5890" s="3">
        <v>3.6000000000000004E-2</v>
      </c>
      <c r="D5890" s="4" t="s">
        <v>594</v>
      </c>
      <c r="E5890" s="4" t="s">
        <v>317</v>
      </c>
    </row>
    <row r="5891" spans="1:5" ht="26" hidden="1" x14ac:dyDescent="0.15">
      <c r="A5891" s="1" t="s">
        <v>12</v>
      </c>
      <c r="B5891" s="2">
        <v>28974</v>
      </c>
      <c r="C5891" s="3">
        <v>2.1000000000000001E-2</v>
      </c>
      <c r="D5891" s="4" t="s">
        <v>594</v>
      </c>
      <c r="E5891" s="4" t="s">
        <v>317</v>
      </c>
    </row>
    <row r="5892" spans="1:5" ht="26" hidden="1" x14ac:dyDescent="0.15">
      <c r="A5892" s="1" t="s">
        <v>13</v>
      </c>
      <c r="B5892" s="2">
        <v>21131</v>
      </c>
      <c r="C5892" s="3">
        <v>1.6E-2</v>
      </c>
      <c r="D5892" s="4" t="s">
        <v>594</v>
      </c>
      <c r="E5892" s="4" t="s">
        <v>317</v>
      </c>
    </row>
    <row r="5893" spans="1:5" hidden="1" x14ac:dyDescent="0.15">
      <c r="A5893" s="1" t="s">
        <v>14</v>
      </c>
      <c r="B5893" s="2">
        <v>73248</v>
      </c>
      <c r="C5893" s="3">
        <v>5.4000000000000006E-2</v>
      </c>
      <c r="D5893" s="4" t="s">
        <v>594</v>
      </c>
      <c r="E5893" s="4" t="s">
        <v>317</v>
      </c>
    </row>
    <row r="5894" spans="1:5" ht="26" hidden="1" x14ac:dyDescent="0.15">
      <c r="A5894" s="1" t="s">
        <v>15</v>
      </c>
      <c r="B5894" s="2">
        <v>90617</v>
      </c>
      <c r="C5894" s="3">
        <v>6.7000000000000004E-2</v>
      </c>
      <c r="D5894" s="4" t="s">
        <v>594</v>
      </c>
      <c r="E5894" s="4" t="s">
        <v>317</v>
      </c>
    </row>
    <row r="5895" spans="1:5" ht="26" hidden="1" x14ac:dyDescent="0.15">
      <c r="A5895" s="1" t="s">
        <v>16</v>
      </c>
      <c r="B5895" s="2">
        <v>41432</v>
      </c>
      <c r="C5895" s="3">
        <v>3.1E-2</v>
      </c>
      <c r="D5895" s="4" t="s">
        <v>594</v>
      </c>
      <c r="E5895" s="4" t="s">
        <v>317</v>
      </c>
    </row>
    <row r="5896" spans="1:5" ht="26" hidden="1" x14ac:dyDescent="0.15">
      <c r="A5896" s="1" t="s">
        <v>17</v>
      </c>
      <c r="B5896" s="2">
        <v>34370</v>
      </c>
      <c r="C5896" s="3">
        <v>2.5000000000000001E-2</v>
      </c>
      <c r="D5896" s="4" t="s">
        <v>594</v>
      </c>
      <c r="E5896" s="4" t="s">
        <v>317</v>
      </c>
    </row>
    <row r="5897" spans="1:5" hidden="1" x14ac:dyDescent="0.15">
      <c r="A5897" s="1" t="s">
        <v>18</v>
      </c>
      <c r="B5897" s="2">
        <v>18460</v>
      </c>
      <c r="C5897" s="3">
        <v>1.3999999999999999E-2</v>
      </c>
      <c r="D5897" s="4" t="s">
        <v>594</v>
      </c>
      <c r="E5897" s="4" t="s">
        <v>317</v>
      </c>
    </row>
    <row r="5898" spans="1:5" hidden="1" x14ac:dyDescent="0.15">
      <c r="A5898" s="1" t="s">
        <v>19</v>
      </c>
      <c r="B5898" s="2">
        <v>114513</v>
      </c>
      <c r="C5898" s="3">
        <v>8.5000000000000006E-2</v>
      </c>
      <c r="D5898" s="4" t="s">
        <v>594</v>
      </c>
      <c r="E5898" s="4" t="s">
        <v>317</v>
      </c>
    </row>
    <row r="5899" spans="1:5" hidden="1" x14ac:dyDescent="0.15">
      <c r="A5899" s="1" t="s">
        <v>20</v>
      </c>
      <c r="B5899" s="2">
        <v>16236</v>
      </c>
      <c r="C5899" s="3">
        <v>1.2E-2</v>
      </c>
      <c r="D5899" s="4" t="s">
        <v>594</v>
      </c>
      <c r="E5899" s="4" t="s">
        <v>317</v>
      </c>
    </row>
    <row r="5900" spans="1:5" ht="26" hidden="1" x14ac:dyDescent="0.15">
      <c r="A5900" s="1" t="s">
        <v>21</v>
      </c>
      <c r="B5900" s="2">
        <v>40045</v>
      </c>
      <c r="C5900" s="3">
        <v>0.03</v>
      </c>
      <c r="D5900" s="4" t="s">
        <v>594</v>
      </c>
      <c r="E5900" s="4" t="s">
        <v>317</v>
      </c>
    </row>
    <row r="5901" spans="1:5" ht="26" hidden="1" x14ac:dyDescent="0.15">
      <c r="A5901" s="1" t="s">
        <v>22</v>
      </c>
      <c r="B5901" s="2">
        <v>22136</v>
      </c>
      <c r="C5901" s="3">
        <v>1.6E-2</v>
      </c>
      <c r="D5901" s="4" t="s">
        <v>594</v>
      </c>
      <c r="E5901" s="4" t="s">
        <v>317</v>
      </c>
    </row>
    <row r="5902" spans="1:5" ht="26" hidden="1" x14ac:dyDescent="0.15">
      <c r="A5902" s="1" t="s">
        <v>23</v>
      </c>
      <c r="B5902" s="2">
        <v>16611</v>
      </c>
      <c r="C5902" s="3">
        <v>1.2E-2</v>
      </c>
      <c r="D5902" s="4" t="s">
        <v>594</v>
      </c>
      <c r="E5902" s="4" t="s">
        <v>317</v>
      </c>
    </row>
    <row r="5903" spans="1:5" ht="26" hidden="1" x14ac:dyDescent="0.15">
      <c r="A5903" s="1" t="s">
        <v>24</v>
      </c>
      <c r="B5903" s="2">
        <v>486</v>
      </c>
      <c r="C5903" s="3">
        <v>0</v>
      </c>
      <c r="D5903" s="4" t="s">
        <v>594</v>
      </c>
      <c r="E5903" s="4" t="s">
        <v>317</v>
      </c>
    </row>
    <row r="5904" spans="1:5" ht="26" hidden="1" x14ac:dyDescent="0.15">
      <c r="A5904" s="1" t="s">
        <v>25</v>
      </c>
      <c r="B5904" s="2">
        <v>50580</v>
      </c>
      <c r="C5904" s="3">
        <v>3.7000000000000005E-2</v>
      </c>
      <c r="D5904" s="4" t="s">
        <v>594</v>
      </c>
      <c r="E5904" s="4" t="s">
        <v>317</v>
      </c>
    </row>
    <row r="5905" spans="1:5" hidden="1" x14ac:dyDescent="0.15">
      <c r="A5905" s="1" t="s">
        <v>26</v>
      </c>
      <c r="B5905" s="2">
        <v>25475</v>
      </c>
      <c r="C5905" s="3">
        <v>1.9E-2</v>
      </c>
      <c r="D5905" s="4" t="s">
        <v>594</v>
      </c>
      <c r="E5905" s="4" t="s">
        <v>317</v>
      </c>
    </row>
    <row r="5906" spans="1:5" hidden="1" x14ac:dyDescent="0.15">
      <c r="A5906" s="1" t="s">
        <v>27</v>
      </c>
      <c r="B5906" s="2">
        <v>183408</v>
      </c>
      <c r="C5906" s="3">
        <v>0.13600000000000001</v>
      </c>
      <c r="D5906" s="4" t="s">
        <v>594</v>
      </c>
      <c r="E5906" s="4" t="s">
        <v>317</v>
      </c>
    </row>
    <row r="5907" spans="1:5" hidden="1" x14ac:dyDescent="0.15">
      <c r="A5907" s="1" t="s">
        <v>28</v>
      </c>
      <c r="B5907" s="2">
        <v>123824</v>
      </c>
      <c r="C5907" s="3">
        <v>9.1999999999999998E-2</v>
      </c>
      <c r="D5907" s="4" t="s">
        <v>594</v>
      </c>
      <c r="E5907" s="4" t="s">
        <v>317</v>
      </c>
    </row>
    <row r="5908" spans="1:5" hidden="1" x14ac:dyDescent="0.15">
      <c r="A5908" s="1" t="s">
        <v>29</v>
      </c>
      <c r="B5908" s="2">
        <v>339307</v>
      </c>
      <c r="C5908" s="3">
        <v>0.251</v>
      </c>
      <c r="D5908" s="4" t="s">
        <v>594</v>
      </c>
      <c r="E5908" s="4" t="s">
        <v>317</v>
      </c>
    </row>
    <row r="5909" spans="1:5" hidden="1" x14ac:dyDescent="0.15">
      <c r="A5909" s="1" t="s">
        <v>30</v>
      </c>
      <c r="B5909" s="2">
        <v>23240</v>
      </c>
      <c r="C5909" s="3">
        <v>1.7000000000000001E-2</v>
      </c>
      <c r="D5909" s="4" t="s">
        <v>594</v>
      </c>
      <c r="E5909" s="4" t="s">
        <v>317</v>
      </c>
    </row>
    <row r="5910" spans="1:5" ht="39" hidden="1" x14ac:dyDescent="0.15">
      <c r="A5910" s="1" t="s">
        <v>31</v>
      </c>
      <c r="B5910" s="2">
        <v>14487</v>
      </c>
      <c r="C5910" s="3">
        <v>1.1000000000000001E-2</v>
      </c>
      <c r="D5910" s="4" t="s">
        <v>594</v>
      </c>
      <c r="E5910" s="4" t="s">
        <v>317</v>
      </c>
    </row>
    <row r="5911" spans="1:5" hidden="1" x14ac:dyDescent="0.15">
      <c r="A5911" s="1" t="s">
        <v>32</v>
      </c>
      <c r="B5911" s="2">
        <v>51503</v>
      </c>
      <c r="C5911" s="3">
        <v>3.7999999999999999E-2</v>
      </c>
      <c r="D5911" s="4" t="s">
        <v>594</v>
      </c>
      <c r="E5911" s="4" t="s">
        <v>317</v>
      </c>
    </row>
    <row r="5912" spans="1:5" hidden="1" x14ac:dyDescent="0.15">
      <c r="A5912" s="1" t="s">
        <v>33</v>
      </c>
      <c r="B5912" s="2">
        <v>304355</v>
      </c>
      <c r="C5912" s="3">
        <v>0.22500000000000001</v>
      </c>
      <c r="D5912" s="4" t="s">
        <v>594</v>
      </c>
      <c r="E5912" s="4" t="s">
        <v>317</v>
      </c>
    </row>
    <row r="5913" spans="1:5" hidden="1" x14ac:dyDescent="0.15">
      <c r="A5913" s="1" t="s">
        <v>34</v>
      </c>
      <c r="B5913" s="2">
        <v>109619</v>
      </c>
      <c r="C5913" s="3">
        <v>8.1000000000000003E-2</v>
      </c>
      <c r="D5913" s="4" t="s">
        <v>594</v>
      </c>
      <c r="E5913" s="4" t="s">
        <v>317</v>
      </c>
    </row>
    <row r="5914" spans="1:5" hidden="1" x14ac:dyDescent="0.15">
      <c r="A5914" s="1" t="s">
        <v>35</v>
      </c>
      <c r="B5914" s="2">
        <v>67223</v>
      </c>
      <c r="C5914" s="3">
        <v>0.05</v>
      </c>
      <c r="D5914" s="4" t="s">
        <v>594</v>
      </c>
      <c r="E5914" s="4" t="s">
        <v>317</v>
      </c>
    </row>
    <row r="5915" spans="1:5" ht="26" hidden="1" x14ac:dyDescent="0.15">
      <c r="A5915" s="1" t="s">
        <v>36</v>
      </c>
      <c r="B5915" s="2">
        <v>43215</v>
      </c>
      <c r="C5915" s="3">
        <v>3.2000000000000001E-2</v>
      </c>
      <c r="D5915" s="4" t="s">
        <v>594</v>
      </c>
      <c r="E5915" s="4" t="s">
        <v>317</v>
      </c>
    </row>
    <row r="5916" spans="1:5" hidden="1" x14ac:dyDescent="0.15">
      <c r="A5916" s="1" t="s">
        <v>37</v>
      </c>
      <c r="B5916" s="2">
        <v>31639</v>
      </c>
      <c r="C5916" s="3">
        <v>2.3E-2</v>
      </c>
      <c r="D5916" s="4" t="s">
        <v>594</v>
      </c>
      <c r="E5916" s="4" t="s">
        <v>317</v>
      </c>
    </row>
    <row r="5917" spans="1:5" ht="39" hidden="1" x14ac:dyDescent="0.15">
      <c r="A5917" s="1" t="s">
        <v>38</v>
      </c>
      <c r="B5917" s="2">
        <v>34338</v>
      </c>
      <c r="C5917" s="3">
        <v>2.5000000000000001E-2</v>
      </c>
      <c r="D5917" s="4" t="s">
        <v>594</v>
      </c>
      <c r="E5917" s="4" t="s">
        <v>317</v>
      </c>
    </row>
    <row r="5918" spans="1:5" hidden="1" x14ac:dyDescent="0.15">
      <c r="A5918" s="1" t="s">
        <v>39</v>
      </c>
      <c r="B5918" s="2">
        <v>66313</v>
      </c>
      <c r="C5918" s="3">
        <v>4.9000000000000002E-2</v>
      </c>
      <c r="D5918" s="4" t="s">
        <v>594</v>
      </c>
      <c r="E5918" s="4" t="s">
        <v>317</v>
      </c>
    </row>
    <row r="5919" spans="1:5" hidden="1" x14ac:dyDescent="0.15">
      <c r="A5919" s="1" t="s">
        <v>40</v>
      </c>
      <c r="B5919" s="2">
        <v>15099</v>
      </c>
      <c r="C5919" s="3">
        <v>1.1000000000000001E-2</v>
      </c>
      <c r="D5919" s="4" t="s">
        <v>594</v>
      </c>
      <c r="E5919" s="4" t="s">
        <v>317</v>
      </c>
    </row>
    <row r="5920" spans="1:5" hidden="1" x14ac:dyDescent="0.15">
      <c r="A5920" s="1" t="s">
        <v>41</v>
      </c>
      <c r="B5920" s="2">
        <v>43826</v>
      </c>
      <c r="C5920" s="3">
        <v>3.2000000000000001E-2</v>
      </c>
      <c r="D5920" s="4" t="s">
        <v>594</v>
      </c>
      <c r="E5920" s="4" t="s">
        <v>317</v>
      </c>
    </row>
    <row r="5921" spans="1:5" hidden="1" x14ac:dyDescent="0.15">
      <c r="A5921" s="1" t="s">
        <v>42</v>
      </c>
      <c r="B5921" s="2">
        <v>53423</v>
      </c>
      <c r="C5921" s="3">
        <v>3.9E-2</v>
      </c>
      <c r="D5921" s="4" t="s">
        <v>594</v>
      </c>
      <c r="E5921" s="4" t="s">
        <v>317</v>
      </c>
    </row>
    <row r="5922" spans="1:5" hidden="1" x14ac:dyDescent="0.15">
      <c r="A5922" s="1" t="s">
        <v>43</v>
      </c>
      <c r="B5922" s="2">
        <v>142956</v>
      </c>
      <c r="C5922" s="3">
        <v>0.106</v>
      </c>
      <c r="D5922" s="4" t="s">
        <v>594</v>
      </c>
      <c r="E5922" s="4" t="s">
        <v>317</v>
      </c>
    </row>
    <row r="5923" spans="1:5" ht="26" hidden="1" x14ac:dyDescent="0.15">
      <c r="A5923" s="1" t="s">
        <v>44</v>
      </c>
      <c r="B5923" s="2">
        <v>156087</v>
      </c>
      <c r="C5923" s="3">
        <v>0.115</v>
      </c>
      <c r="D5923" s="4" t="s">
        <v>594</v>
      </c>
      <c r="E5923" s="4" t="s">
        <v>317</v>
      </c>
    </row>
    <row r="5924" spans="1:5" hidden="1" x14ac:dyDescent="0.15">
      <c r="A5924" s="1" t="s">
        <v>45</v>
      </c>
      <c r="B5924" s="2">
        <v>330615</v>
      </c>
      <c r="C5924" s="3">
        <v>0.24399999999999999</v>
      </c>
      <c r="D5924" s="4" t="s">
        <v>594</v>
      </c>
      <c r="E5924" s="4" t="s">
        <v>317</v>
      </c>
    </row>
    <row r="5925" spans="1:5" ht="26" hidden="1" x14ac:dyDescent="0.15">
      <c r="A5925" s="1" t="s">
        <v>46</v>
      </c>
      <c r="B5925" s="2">
        <v>659415</v>
      </c>
      <c r="C5925" s="3">
        <v>0.48700000000000004</v>
      </c>
      <c r="D5925" s="4" t="s">
        <v>594</v>
      </c>
      <c r="E5925" s="4" t="s">
        <v>317</v>
      </c>
    </row>
    <row r="5926" spans="1:5" hidden="1" x14ac:dyDescent="0.15">
      <c r="A5926" s="1" t="s">
        <v>47</v>
      </c>
      <c r="B5926" s="2">
        <v>645257</v>
      </c>
      <c r="C5926" s="3">
        <v>0.47700000000000004</v>
      </c>
      <c r="D5926" s="4" t="s">
        <v>594</v>
      </c>
      <c r="E5926" s="4" t="s">
        <v>317</v>
      </c>
    </row>
    <row r="5927" spans="1:5" hidden="1" x14ac:dyDescent="0.15">
      <c r="A5927" s="1" t="s">
        <v>48</v>
      </c>
      <c r="B5927" s="2">
        <v>91104</v>
      </c>
      <c r="C5927" s="3">
        <v>6.7000000000000004E-2</v>
      </c>
      <c r="D5927" s="4" t="s">
        <v>594</v>
      </c>
      <c r="E5927" s="4" t="s">
        <v>317</v>
      </c>
    </row>
    <row r="5928" spans="1:5" hidden="1" x14ac:dyDescent="0.15">
      <c r="A5928" s="1" t="s">
        <v>49</v>
      </c>
      <c r="B5928" s="2">
        <v>123480</v>
      </c>
      <c r="C5928" s="3">
        <v>9.0999999999999998E-2</v>
      </c>
      <c r="D5928" s="4" t="s">
        <v>594</v>
      </c>
      <c r="E5928" s="4" t="s">
        <v>317</v>
      </c>
    </row>
    <row r="5929" spans="1:5" ht="26" hidden="1" x14ac:dyDescent="0.15">
      <c r="A5929" s="1" t="s">
        <v>50</v>
      </c>
      <c r="B5929" s="2">
        <v>221833</v>
      </c>
      <c r="C5929" s="3">
        <v>0.16399999999999998</v>
      </c>
      <c r="D5929" s="4" t="s">
        <v>594</v>
      </c>
      <c r="E5929" s="4" t="s">
        <v>317</v>
      </c>
    </row>
    <row r="5930" spans="1:5" hidden="1" x14ac:dyDescent="0.15">
      <c r="A5930" s="1" t="s">
        <v>51</v>
      </c>
      <c r="B5930" s="2">
        <v>381900</v>
      </c>
      <c r="C5930" s="3">
        <v>0.28199999999999997</v>
      </c>
      <c r="D5930" s="4" t="s">
        <v>594</v>
      </c>
      <c r="E5930" s="4" t="s">
        <v>317</v>
      </c>
    </row>
    <row r="5931" spans="1:5" hidden="1" x14ac:dyDescent="0.15">
      <c r="A5931" s="1" t="s">
        <v>52</v>
      </c>
      <c r="B5931" s="2">
        <v>176343</v>
      </c>
      <c r="C5931" s="3">
        <v>0.13</v>
      </c>
      <c r="D5931" s="4" t="s">
        <v>594</v>
      </c>
      <c r="E5931" s="4" t="s">
        <v>317</v>
      </c>
    </row>
    <row r="5932" spans="1:5" ht="26" hidden="1" x14ac:dyDescent="0.15">
      <c r="A5932" s="1" t="s">
        <v>53</v>
      </c>
      <c r="B5932" s="2">
        <v>129349</v>
      </c>
      <c r="C5932" s="3">
        <v>9.6000000000000002E-2</v>
      </c>
      <c r="D5932" s="4" t="s">
        <v>594</v>
      </c>
      <c r="E5932" s="4" t="s">
        <v>317</v>
      </c>
    </row>
    <row r="5933" spans="1:5" hidden="1" x14ac:dyDescent="0.15">
      <c r="A5933" s="1" t="s">
        <v>54</v>
      </c>
      <c r="B5933" s="2">
        <v>440822</v>
      </c>
      <c r="C5933" s="3">
        <v>0.32600000000000001</v>
      </c>
      <c r="D5933" s="4" t="s">
        <v>594</v>
      </c>
      <c r="E5933" s="4" t="s">
        <v>317</v>
      </c>
    </row>
    <row r="5934" spans="1:5" ht="26" hidden="1" x14ac:dyDescent="0.15">
      <c r="A5934" s="1" t="s">
        <v>55</v>
      </c>
      <c r="B5934" s="2">
        <v>419918</v>
      </c>
      <c r="C5934" s="3">
        <v>0.31</v>
      </c>
      <c r="D5934" s="4" t="s">
        <v>594</v>
      </c>
      <c r="E5934" s="4" t="s">
        <v>317</v>
      </c>
    </row>
    <row r="5935" spans="1:5" hidden="1" x14ac:dyDescent="0.15">
      <c r="A5935" s="1" t="s">
        <v>56</v>
      </c>
      <c r="B5935" s="2">
        <v>278681</v>
      </c>
      <c r="C5935" s="3">
        <v>0.20600000000000002</v>
      </c>
      <c r="D5935" s="4" t="s">
        <v>594</v>
      </c>
      <c r="E5935" s="4" t="s">
        <v>317</v>
      </c>
    </row>
    <row r="5936" spans="1:5" hidden="1" x14ac:dyDescent="0.15">
      <c r="A5936" s="1" t="s">
        <v>57</v>
      </c>
      <c r="B5936" s="2">
        <v>227944</v>
      </c>
      <c r="C5936" s="3">
        <v>0.16800000000000001</v>
      </c>
      <c r="D5936" s="4" t="s">
        <v>594</v>
      </c>
      <c r="E5936" s="4" t="s">
        <v>317</v>
      </c>
    </row>
    <row r="5937" spans="1:5" hidden="1" x14ac:dyDescent="0.15">
      <c r="A5937" s="1" t="s">
        <v>58</v>
      </c>
      <c r="B5937" s="2">
        <v>187562</v>
      </c>
      <c r="C5937" s="3">
        <v>0.13900000000000001</v>
      </c>
      <c r="D5937" s="4" t="s">
        <v>594</v>
      </c>
      <c r="E5937" s="4" t="s">
        <v>317</v>
      </c>
    </row>
    <row r="5938" spans="1:5" hidden="1" x14ac:dyDescent="0.15">
      <c r="A5938" s="1" t="s">
        <v>59</v>
      </c>
      <c r="B5938" s="2">
        <v>528307</v>
      </c>
      <c r="C5938" s="3">
        <v>0.39</v>
      </c>
      <c r="D5938" s="4" t="s">
        <v>594</v>
      </c>
      <c r="E5938" s="4" t="s">
        <v>317</v>
      </c>
    </row>
    <row r="5939" spans="1:5" hidden="1" x14ac:dyDescent="0.15">
      <c r="A5939" s="1" t="s">
        <v>60</v>
      </c>
      <c r="B5939" s="2">
        <v>163776</v>
      </c>
      <c r="C5939" s="3">
        <v>0.121</v>
      </c>
      <c r="D5939" s="4" t="s">
        <v>594</v>
      </c>
      <c r="E5939" s="4" t="s">
        <v>317</v>
      </c>
    </row>
    <row r="5940" spans="1:5" ht="26" hidden="1" x14ac:dyDescent="0.15">
      <c r="A5940" s="1" t="s">
        <v>61</v>
      </c>
      <c r="B5940" s="2">
        <v>244286</v>
      </c>
      <c r="C5940" s="3">
        <v>0.18100000000000002</v>
      </c>
      <c r="D5940" s="4" t="s">
        <v>594</v>
      </c>
      <c r="E5940" s="4" t="s">
        <v>317</v>
      </c>
    </row>
    <row r="5941" spans="1:5" hidden="1" x14ac:dyDescent="0.15">
      <c r="A5941" s="1" t="s">
        <v>62</v>
      </c>
      <c r="B5941" s="2">
        <v>75210</v>
      </c>
      <c r="C5941" s="3">
        <v>5.5999999999999994E-2</v>
      </c>
      <c r="D5941" s="4" t="s">
        <v>594</v>
      </c>
      <c r="E5941" s="4" t="s">
        <v>317</v>
      </c>
    </row>
    <row r="5942" spans="1:5" ht="26" hidden="1" x14ac:dyDescent="0.15">
      <c r="A5942" s="1" t="s">
        <v>63</v>
      </c>
      <c r="B5942" s="2">
        <v>247492</v>
      </c>
      <c r="C5942" s="3">
        <v>0.183</v>
      </c>
      <c r="D5942" s="4" t="s">
        <v>594</v>
      </c>
      <c r="E5942" s="4" t="s">
        <v>317</v>
      </c>
    </row>
    <row r="5943" spans="1:5" ht="26" hidden="1" x14ac:dyDescent="0.15">
      <c r="A5943" s="1" t="s">
        <v>64</v>
      </c>
      <c r="B5943" s="2">
        <v>56247</v>
      </c>
      <c r="C5943" s="3">
        <v>4.2000000000000003E-2</v>
      </c>
      <c r="D5943" s="4" t="s">
        <v>594</v>
      </c>
      <c r="E5943" s="4" t="s">
        <v>317</v>
      </c>
    </row>
    <row r="5944" spans="1:5" hidden="1" x14ac:dyDescent="0.15">
      <c r="A5944" s="1" t="s">
        <v>65</v>
      </c>
      <c r="B5944" s="2">
        <v>262889</v>
      </c>
      <c r="C5944" s="3">
        <v>0.19399999999999998</v>
      </c>
      <c r="D5944" s="4" t="s">
        <v>594</v>
      </c>
      <c r="E5944" s="4" t="s">
        <v>317</v>
      </c>
    </row>
    <row r="5945" spans="1:5" hidden="1" x14ac:dyDescent="0.15">
      <c r="A5945" s="1" t="s">
        <v>66</v>
      </c>
      <c r="B5945" s="2">
        <v>126262</v>
      </c>
      <c r="C5945" s="3">
        <v>9.3000000000000013E-2</v>
      </c>
      <c r="D5945" s="4" t="s">
        <v>594</v>
      </c>
      <c r="E5945" s="4" t="s">
        <v>317</v>
      </c>
    </row>
    <row r="5946" spans="1:5" hidden="1" x14ac:dyDescent="0.15">
      <c r="A5946" s="1" t="s">
        <v>67</v>
      </c>
      <c r="B5946" s="2">
        <v>586639</v>
      </c>
      <c r="C5946" s="3">
        <v>0.434</v>
      </c>
      <c r="D5946" s="4" t="s">
        <v>594</v>
      </c>
      <c r="E5946" s="4" t="s">
        <v>317</v>
      </c>
    </row>
    <row r="5947" spans="1:5" hidden="1" x14ac:dyDescent="0.15">
      <c r="A5947" s="1" t="s">
        <v>68</v>
      </c>
      <c r="B5947" s="2">
        <v>454301</v>
      </c>
      <c r="C5947" s="3">
        <v>0.33600000000000002</v>
      </c>
      <c r="D5947" s="4" t="s">
        <v>594</v>
      </c>
      <c r="E5947" s="4" t="s">
        <v>317</v>
      </c>
    </row>
    <row r="5948" spans="1:5" hidden="1" x14ac:dyDescent="0.15">
      <c r="A5948" s="1" t="s">
        <v>69</v>
      </c>
      <c r="B5948" s="2">
        <v>789229</v>
      </c>
      <c r="C5948" s="3">
        <v>0.58299999999999996</v>
      </c>
      <c r="D5948" s="4" t="s">
        <v>594</v>
      </c>
      <c r="E5948" s="4" t="s">
        <v>317</v>
      </c>
    </row>
    <row r="5949" spans="1:5" hidden="1" x14ac:dyDescent="0.15">
      <c r="A5949" s="1" t="s">
        <v>70</v>
      </c>
      <c r="B5949" s="2">
        <v>196967</v>
      </c>
      <c r="C5949" s="3">
        <v>0.14599999999999999</v>
      </c>
      <c r="D5949" s="4" t="s">
        <v>594</v>
      </c>
      <c r="E5949" s="4" t="s">
        <v>317</v>
      </c>
    </row>
    <row r="5950" spans="1:5" ht="26" hidden="1" x14ac:dyDescent="0.15">
      <c r="A5950" s="1" t="s">
        <v>71</v>
      </c>
      <c r="B5950" s="2">
        <v>91991</v>
      </c>
      <c r="C5950" s="3">
        <v>6.8000000000000005E-2</v>
      </c>
      <c r="D5950" s="4" t="s">
        <v>594</v>
      </c>
      <c r="E5950" s="4" t="s">
        <v>317</v>
      </c>
    </row>
    <row r="5951" spans="1:5" hidden="1" x14ac:dyDescent="0.15">
      <c r="A5951" s="1" t="s">
        <v>72</v>
      </c>
      <c r="B5951" s="2">
        <v>237373</v>
      </c>
      <c r="C5951" s="3">
        <v>0.17499999999999999</v>
      </c>
      <c r="D5951" s="4" t="s">
        <v>594</v>
      </c>
      <c r="E5951" s="4" t="s">
        <v>317</v>
      </c>
    </row>
    <row r="5952" spans="1:5" hidden="1" x14ac:dyDescent="0.15">
      <c r="A5952" s="1" t="s">
        <v>73</v>
      </c>
      <c r="B5952" s="2">
        <v>723334</v>
      </c>
      <c r="C5952" s="3">
        <v>0.53500000000000003</v>
      </c>
      <c r="D5952" s="4" t="s">
        <v>594</v>
      </c>
      <c r="E5952" s="4" t="s">
        <v>317</v>
      </c>
    </row>
    <row r="5953" spans="1:5" hidden="1" x14ac:dyDescent="0.15">
      <c r="A5953" s="1" t="s">
        <v>74</v>
      </c>
      <c r="B5953" s="2">
        <v>387187</v>
      </c>
      <c r="C5953" s="3">
        <v>0.28600000000000003</v>
      </c>
      <c r="D5953" s="4" t="s">
        <v>594</v>
      </c>
      <c r="E5953" s="4" t="s">
        <v>317</v>
      </c>
    </row>
    <row r="5954" spans="1:5" hidden="1" x14ac:dyDescent="0.15">
      <c r="A5954" s="1" t="s">
        <v>75</v>
      </c>
      <c r="B5954" s="2">
        <v>259163</v>
      </c>
      <c r="C5954" s="3">
        <v>0.192</v>
      </c>
      <c r="D5954" s="4" t="s">
        <v>594</v>
      </c>
      <c r="E5954" s="4" t="s">
        <v>317</v>
      </c>
    </row>
    <row r="5955" spans="1:5" hidden="1" x14ac:dyDescent="0.15">
      <c r="A5955" s="1" t="s">
        <v>76</v>
      </c>
      <c r="B5955" s="2">
        <v>251963</v>
      </c>
      <c r="C5955" s="3">
        <v>0.18600000000000003</v>
      </c>
      <c r="D5955" s="4" t="s">
        <v>594</v>
      </c>
      <c r="E5955" s="4" t="s">
        <v>317</v>
      </c>
    </row>
    <row r="5956" spans="1:5" hidden="1" x14ac:dyDescent="0.15">
      <c r="A5956" s="1" t="s">
        <v>77</v>
      </c>
      <c r="B5956" s="2">
        <v>213747</v>
      </c>
      <c r="C5956" s="3">
        <v>0.158</v>
      </c>
      <c r="D5956" s="4" t="s">
        <v>594</v>
      </c>
      <c r="E5956" s="4" t="s">
        <v>317</v>
      </c>
    </row>
    <row r="5957" spans="1:5" ht="26" hidden="1" x14ac:dyDescent="0.15">
      <c r="A5957" s="1" t="s">
        <v>78</v>
      </c>
      <c r="B5957" s="2">
        <v>154188</v>
      </c>
      <c r="C5957" s="3">
        <v>0.114</v>
      </c>
      <c r="D5957" s="4" t="s">
        <v>594</v>
      </c>
      <c r="E5957" s="4" t="s">
        <v>317</v>
      </c>
    </row>
    <row r="5958" spans="1:5" hidden="1" x14ac:dyDescent="0.15">
      <c r="A5958" s="1" t="s">
        <v>79</v>
      </c>
      <c r="B5958" s="2">
        <v>254439</v>
      </c>
      <c r="C5958" s="3">
        <v>0.188</v>
      </c>
      <c r="D5958" s="4" t="s">
        <v>594</v>
      </c>
      <c r="E5958" s="4" t="s">
        <v>317</v>
      </c>
    </row>
    <row r="5959" spans="1:5" hidden="1" x14ac:dyDescent="0.15">
      <c r="A5959" s="1" t="s">
        <v>80</v>
      </c>
      <c r="B5959" s="2">
        <v>164242</v>
      </c>
      <c r="C5959" s="3">
        <v>0.121</v>
      </c>
      <c r="D5959" s="4" t="s">
        <v>594</v>
      </c>
      <c r="E5959" s="4" t="s">
        <v>317</v>
      </c>
    </row>
    <row r="5960" spans="1:5" ht="26" hidden="1" x14ac:dyDescent="0.15">
      <c r="A5960" s="1" t="s">
        <v>81</v>
      </c>
      <c r="B5960" s="2">
        <v>256740</v>
      </c>
      <c r="C5960" s="3">
        <v>0.19</v>
      </c>
      <c r="D5960" s="4" t="s">
        <v>594</v>
      </c>
      <c r="E5960" s="4" t="s">
        <v>317</v>
      </c>
    </row>
    <row r="5961" spans="1:5" hidden="1" x14ac:dyDescent="0.15">
      <c r="A5961" s="1" t="s">
        <v>82</v>
      </c>
      <c r="B5961" s="2">
        <v>200441</v>
      </c>
      <c r="C5961" s="3">
        <v>0.14800000000000002</v>
      </c>
      <c r="D5961" s="4" t="s">
        <v>594</v>
      </c>
      <c r="E5961" s="4" t="s">
        <v>317</v>
      </c>
    </row>
    <row r="5962" spans="1:5" hidden="1" x14ac:dyDescent="0.15">
      <c r="A5962" s="4"/>
      <c r="B5962" s="4"/>
      <c r="C5962" s="4"/>
      <c r="D5962" s="4" t="s">
        <v>594</v>
      </c>
      <c r="E5962" s="4" t="s">
        <v>317</v>
      </c>
    </row>
    <row r="5963" spans="1:5" hidden="1" x14ac:dyDescent="0.15">
      <c r="A5963" s="5"/>
      <c r="B5963" s="5"/>
      <c r="C5963" s="5"/>
      <c r="D5963" s="4" t="s">
        <v>594</v>
      </c>
      <c r="E5963" s="4" t="s">
        <v>317</v>
      </c>
    </row>
    <row r="5964" spans="1:5" ht="39" hidden="1" x14ac:dyDescent="0.15">
      <c r="A5964" s="1" t="s">
        <v>595</v>
      </c>
      <c r="B5964" s="2">
        <v>346623</v>
      </c>
      <c r="C5964" s="3">
        <v>0.25600000000000001</v>
      </c>
      <c r="D5964" s="4" t="s">
        <v>594</v>
      </c>
      <c r="E5964" s="4" t="s">
        <v>317</v>
      </c>
    </row>
    <row r="5965" spans="1:5" ht="39" hidden="1" x14ac:dyDescent="0.15">
      <c r="A5965" s="1" t="s">
        <v>596</v>
      </c>
      <c r="B5965" s="2">
        <v>272084</v>
      </c>
      <c r="C5965" s="3">
        <v>0.20100000000000001</v>
      </c>
      <c r="D5965" s="4" t="s">
        <v>594</v>
      </c>
      <c r="E5965" s="4" t="s">
        <v>317</v>
      </c>
    </row>
    <row r="5966" spans="1:5" ht="39" hidden="1" x14ac:dyDescent="0.15">
      <c r="A5966" s="1" t="s">
        <v>597</v>
      </c>
      <c r="B5966" s="2">
        <v>341562</v>
      </c>
      <c r="C5966" s="3">
        <v>0.252</v>
      </c>
      <c r="D5966" s="4" t="s">
        <v>594</v>
      </c>
      <c r="E5966" s="4" t="s">
        <v>317</v>
      </c>
    </row>
    <row r="5967" spans="1:5" ht="26" hidden="1" x14ac:dyDescent="0.15">
      <c r="A5967" s="1" t="s">
        <v>598</v>
      </c>
      <c r="B5967" s="2">
        <v>250807</v>
      </c>
      <c r="C5967" s="3">
        <v>0.185</v>
      </c>
      <c r="D5967" s="4" t="s">
        <v>594</v>
      </c>
      <c r="E5967" s="4" t="s">
        <v>317</v>
      </c>
    </row>
    <row r="5968" spans="1:5" ht="26" hidden="1" x14ac:dyDescent="0.15">
      <c r="A5968" s="1" t="s">
        <v>599</v>
      </c>
      <c r="B5968" s="2">
        <v>372544</v>
      </c>
      <c r="C5968" s="3">
        <v>0.27500000000000002</v>
      </c>
      <c r="D5968" s="4" t="s">
        <v>594</v>
      </c>
      <c r="E5968" s="4" t="s">
        <v>317</v>
      </c>
    </row>
    <row r="5969" spans="1:5" ht="26" hidden="1" x14ac:dyDescent="0.15">
      <c r="A5969" s="1" t="s">
        <v>600</v>
      </c>
      <c r="B5969" s="2">
        <v>526479</v>
      </c>
      <c r="C5969" s="3">
        <v>0.38900000000000001</v>
      </c>
      <c r="D5969" s="4" t="s">
        <v>594</v>
      </c>
      <c r="E5969" s="4" t="s">
        <v>317</v>
      </c>
    </row>
    <row r="5970" spans="1:5" ht="26" hidden="1" x14ac:dyDescent="0.15">
      <c r="A5970" s="1" t="s">
        <v>601</v>
      </c>
      <c r="B5970" s="2">
        <v>334268</v>
      </c>
      <c r="C5970" s="3">
        <v>0.247</v>
      </c>
      <c r="D5970" s="4" t="s">
        <v>594</v>
      </c>
      <c r="E5970" s="4" t="s">
        <v>317</v>
      </c>
    </row>
    <row r="5971" spans="1:5" hidden="1" x14ac:dyDescent="0.15">
      <c r="A5971" s="4"/>
      <c r="B5971" s="4"/>
      <c r="C5971" s="4"/>
      <c r="D5971" s="4" t="s">
        <v>594</v>
      </c>
      <c r="E5971" s="4" t="s">
        <v>317</v>
      </c>
    </row>
    <row r="5972" spans="1:5" hidden="1" x14ac:dyDescent="0.15">
      <c r="A5972" s="5"/>
      <c r="B5972" s="5"/>
      <c r="C5972" s="5"/>
      <c r="D5972" s="4" t="s">
        <v>594</v>
      </c>
      <c r="E5972" s="4" t="s">
        <v>317</v>
      </c>
    </row>
    <row r="5973" spans="1:5" hidden="1" x14ac:dyDescent="0.15">
      <c r="A5973" s="1" t="s">
        <v>308</v>
      </c>
      <c r="B5973" s="2">
        <v>279816</v>
      </c>
      <c r="C5973" s="3">
        <v>0.20699999999999999</v>
      </c>
      <c r="D5973" s="4" t="s">
        <v>594</v>
      </c>
      <c r="E5973" s="4" t="s">
        <v>317</v>
      </c>
    </row>
    <row r="5974" spans="1:5" hidden="1" x14ac:dyDescent="0.15">
      <c r="A5974" s="4"/>
      <c r="B5974" s="4"/>
      <c r="C5974" s="4"/>
      <c r="D5974" s="4" t="s">
        <v>594</v>
      </c>
      <c r="E5974" s="4" t="s">
        <v>317</v>
      </c>
    </row>
    <row r="5975" spans="1:5" hidden="1" x14ac:dyDescent="0.15">
      <c r="A5975" s="5"/>
      <c r="B5975" s="5"/>
      <c r="C5975" s="5"/>
      <c r="D5975" s="4" t="s">
        <v>594</v>
      </c>
      <c r="E5975" s="4" t="s">
        <v>317</v>
      </c>
    </row>
    <row r="5976" spans="1:5" ht="26" hidden="1" x14ac:dyDescent="0.15">
      <c r="A5976" s="1" t="s">
        <v>318</v>
      </c>
      <c r="B5976" s="2">
        <v>125019</v>
      </c>
      <c r="C5976" s="3">
        <v>9.1999999999999998E-2</v>
      </c>
      <c r="D5976" s="4" t="s">
        <v>594</v>
      </c>
      <c r="E5976" s="4" t="s">
        <v>317</v>
      </c>
    </row>
    <row r="5977" spans="1:5" hidden="1" x14ac:dyDescent="0.15">
      <c r="A5977" s="4"/>
      <c r="B5977" s="4"/>
      <c r="C5977" s="4"/>
      <c r="D5977" s="4" t="s">
        <v>594</v>
      </c>
      <c r="E5977" s="4" t="s">
        <v>317</v>
      </c>
    </row>
    <row r="5978" spans="1:5" hidden="1" x14ac:dyDescent="0.15">
      <c r="A5978" s="5"/>
      <c r="B5978" s="5"/>
      <c r="C5978" s="5"/>
      <c r="D5978" s="4" t="s">
        <v>594</v>
      </c>
      <c r="E5978" s="4" t="s">
        <v>317</v>
      </c>
    </row>
    <row r="5979" spans="1:5" ht="26" hidden="1" x14ac:dyDescent="0.15">
      <c r="A5979" s="1" t="s">
        <v>310</v>
      </c>
      <c r="B5979" s="2">
        <v>565598</v>
      </c>
      <c r="C5979" s="3">
        <v>0.41799999999999998</v>
      </c>
      <c r="D5979" s="4" t="s">
        <v>594</v>
      </c>
      <c r="E5979" s="4" t="s">
        <v>317</v>
      </c>
    </row>
    <row r="5980" spans="1:5" hidden="1" x14ac:dyDescent="0.15">
      <c r="A5980" s="4"/>
      <c r="B5980" s="4"/>
      <c r="C5980" s="4"/>
      <c r="D5980" s="4" t="s">
        <v>594</v>
      </c>
      <c r="E5980" s="4" t="s">
        <v>317</v>
      </c>
    </row>
    <row r="5981" spans="1:5" hidden="1" x14ac:dyDescent="0.15">
      <c r="A5981" s="5"/>
      <c r="B5981" s="5"/>
      <c r="C5981" s="5"/>
      <c r="D5981" s="4" t="s">
        <v>594</v>
      </c>
      <c r="E5981" s="4" t="s">
        <v>317</v>
      </c>
    </row>
    <row r="5982" spans="1:5" ht="26" hidden="1" x14ac:dyDescent="0.15">
      <c r="A5982" s="1" t="s">
        <v>319</v>
      </c>
      <c r="B5982" s="2">
        <v>93108</v>
      </c>
      <c r="C5982" s="3">
        <v>6.9000000000000006E-2</v>
      </c>
      <c r="D5982" s="4" t="s">
        <v>594</v>
      </c>
      <c r="E5982" s="4" t="s">
        <v>317</v>
      </c>
    </row>
    <row r="5983" spans="1:5" hidden="1" x14ac:dyDescent="0.15">
      <c r="A5983" s="1" t="s">
        <v>0</v>
      </c>
      <c r="B5983" s="2">
        <v>1499270</v>
      </c>
      <c r="C5983" s="3">
        <v>1</v>
      </c>
      <c r="D5983" s="4" t="s">
        <v>602</v>
      </c>
      <c r="E5983" s="4" t="s">
        <v>603</v>
      </c>
    </row>
    <row r="5984" spans="1:5" ht="26" hidden="1" x14ac:dyDescent="0.15">
      <c r="A5984" s="1" t="s">
        <v>3</v>
      </c>
      <c r="B5984" s="2">
        <v>32706</v>
      </c>
      <c r="C5984" s="3">
        <v>2.2000000000000002E-2</v>
      </c>
      <c r="D5984" s="4" t="s">
        <v>602</v>
      </c>
      <c r="E5984" s="4" t="s">
        <v>603</v>
      </c>
    </row>
    <row r="5985" spans="1:5" hidden="1" x14ac:dyDescent="0.15">
      <c r="A5985" s="1" t="s">
        <v>4</v>
      </c>
      <c r="B5985" s="2">
        <v>11817</v>
      </c>
      <c r="C5985" s="3">
        <v>8.0000000000000002E-3</v>
      </c>
      <c r="D5985" s="4" t="s">
        <v>602</v>
      </c>
      <c r="E5985" s="4" t="s">
        <v>603</v>
      </c>
    </row>
    <row r="5986" spans="1:5" ht="26" hidden="1" x14ac:dyDescent="0.15">
      <c r="A5986" s="1" t="s">
        <v>5</v>
      </c>
      <c r="B5986" s="2">
        <v>30666</v>
      </c>
      <c r="C5986" s="3">
        <v>0.02</v>
      </c>
      <c r="D5986" s="4" t="s">
        <v>602</v>
      </c>
      <c r="E5986" s="4" t="s">
        <v>603</v>
      </c>
    </row>
    <row r="5987" spans="1:5" ht="26" hidden="1" x14ac:dyDescent="0.15">
      <c r="A5987" s="1" t="s">
        <v>6</v>
      </c>
      <c r="B5987" s="2">
        <v>183156</v>
      </c>
      <c r="C5987" s="3">
        <v>0.122</v>
      </c>
      <c r="D5987" s="4" t="s">
        <v>602</v>
      </c>
      <c r="E5987" s="4" t="s">
        <v>603</v>
      </c>
    </row>
    <row r="5988" spans="1:5" ht="26" hidden="1" x14ac:dyDescent="0.15">
      <c r="A5988" s="1" t="s">
        <v>7</v>
      </c>
      <c r="B5988" s="2">
        <v>378539</v>
      </c>
      <c r="C5988" s="3">
        <v>0.252</v>
      </c>
      <c r="D5988" s="4" t="s">
        <v>602</v>
      </c>
      <c r="E5988" s="4" t="s">
        <v>603</v>
      </c>
    </row>
    <row r="5989" spans="1:5" ht="26" hidden="1" x14ac:dyDescent="0.15">
      <c r="A5989" s="1" t="s">
        <v>8</v>
      </c>
      <c r="B5989" s="2">
        <v>45817</v>
      </c>
      <c r="C5989" s="3">
        <v>3.1E-2</v>
      </c>
      <c r="D5989" s="4" t="s">
        <v>602</v>
      </c>
      <c r="E5989" s="4" t="s">
        <v>603</v>
      </c>
    </row>
    <row r="5990" spans="1:5" ht="26" hidden="1" x14ac:dyDescent="0.15">
      <c r="A5990" s="1" t="s">
        <v>9</v>
      </c>
      <c r="B5990" s="2">
        <v>24818</v>
      </c>
      <c r="C5990" s="3">
        <v>1.7000000000000001E-2</v>
      </c>
      <c r="D5990" s="4" t="s">
        <v>602</v>
      </c>
      <c r="E5990" s="4" t="s">
        <v>603</v>
      </c>
    </row>
    <row r="5991" spans="1:5" ht="26" hidden="1" x14ac:dyDescent="0.15">
      <c r="A5991" s="1" t="s">
        <v>10</v>
      </c>
      <c r="B5991" s="2">
        <v>30260</v>
      </c>
      <c r="C5991" s="3">
        <v>0.02</v>
      </c>
      <c r="D5991" s="4" t="s">
        <v>602</v>
      </c>
      <c r="E5991" s="4" t="s">
        <v>603</v>
      </c>
    </row>
    <row r="5992" spans="1:5" ht="26" hidden="1" x14ac:dyDescent="0.15">
      <c r="A5992" s="1" t="s">
        <v>11</v>
      </c>
      <c r="B5992" s="2">
        <v>80767</v>
      </c>
      <c r="C5992" s="3">
        <v>5.4000000000000006E-2</v>
      </c>
      <c r="D5992" s="4" t="s">
        <v>602</v>
      </c>
      <c r="E5992" s="4" t="s">
        <v>603</v>
      </c>
    </row>
    <row r="5993" spans="1:5" ht="26" hidden="1" x14ac:dyDescent="0.15">
      <c r="A5993" s="1" t="s">
        <v>12</v>
      </c>
      <c r="B5993" s="2">
        <v>23610</v>
      </c>
      <c r="C5993" s="3">
        <v>1.6E-2</v>
      </c>
      <c r="D5993" s="4" t="s">
        <v>602</v>
      </c>
      <c r="E5993" s="4" t="s">
        <v>603</v>
      </c>
    </row>
    <row r="5994" spans="1:5" ht="26" hidden="1" x14ac:dyDescent="0.15">
      <c r="A5994" s="1" t="s">
        <v>13</v>
      </c>
      <c r="B5994" s="2">
        <v>10075</v>
      </c>
      <c r="C5994" s="3">
        <v>6.9999999999999993E-3</v>
      </c>
      <c r="D5994" s="4" t="s">
        <v>602</v>
      </c>
      <c r="E5994" s="4" t="s">
        <v>603</v>
      </c>
    </row>
    <row r="5995" spans="1:5" hidden="1" x14ac:dyDescent="0.15">
      <c r="A5995" s="1" t="s">
        <v>14</v>
      </c>
      <c r="B5995" s="2">
        <v>117610</v>
      </c>
      <c r="C5995" s="3">
        <v>7.8E-2</v>
      </c>
      <c r="D5995" s="4" t="s">
        <v>602</v>
      </c>
      <c r="E5995" s="4" t="s">
        <v>603</v>
      </c>
    </row>
    <row r="5996" spans="1:5" ht="26" hidden="1" x14ac:dyDescent="0.15">
      <c r="A5996" s="1" t="s">
        <v>15</v>
      </c>
      <c r="B5996" s="2">
        <v>138095</v>
      </c>
      <c r="C5996" s="3">
        <v>9.1999999999999998E-2</v>
      </c>
      <c r="D5996" s="4" t="s">
        <v>602</v>
      </c>
      <c r="E5996" s="4" t="s">
        <v>603</v>
      </c>
    </row>
    <row r="5997" spans="1:5" ht="26" hidden="1" x14ac:dyDescent="0.15">
      <c r="A5997" s="1" t="s">
        <v>16</v>
      </c>
      <c r="B5997" s="2">
        <v>43389</v>
      </c>
      <c r="C5997" s="3">
        <v>2.8999999999999998E-2</v>
      </c>
      <c r="D5997" s="4" t="s">
        <v>602</v>
      </c>
      <c r="E5997" s="4" t="s">
        <v>603</v>
      </c>
    </row>
    <row r="5998" spans="1:5" ht="26" hidden="1" x14ac:dyDescent="0.15">
      <c r="A5998" s="1" t="s">
        <v>17</v>
      </c>
      <c r="B5998" s="2">
        <v>32535</v>
      </c>
      <c r="C5998" s="3">
        <v>2.2000000000000002E-2</v>
      </c>
      <c r="D5998" s="4" t="s">
        <v>602</v>
      </c>
      <c r="E5998" s="4" t="s">
        <v>603</v>
      </c>
    </row>
    <row r="5999" spans="1:5" hidden="1" x14ac:dyDescent="0.15">
      <c r="A5999" s="1" t="s">
        <v>18</v>
      </c>
      <c r="B5999" s="2">
        <v>12680</v>
      </c>
      <c r="C5999" s="3">
        <v>8.0000000000000002E-3</v>
      </c>
      <c r="D5999" s="4" t="s">
        <v>602</v>
      </c>
      <c r="E5999" s="4" t="s">
        <v>603</v>
      </c>
    </row>
    <row r="6000" spans="1:5" hidden="1" x14ac:dyDescent="0.15">
      <c r="A6000" s="1" t="s">
        <v>19</v>
      </c>
      <c r="B6000" s="2">
        <v>306825</v>
      </c>
      <c r="C6000" s="3">
        <v>0.20499999999999999</v>
      </c>
      <c r="D6000" s="4" t="s">
        <v>602</v>
      </c>
      <c r="E6000" s="4" t="s">
        <v>603</v>
      </c>
    </row>
    <row r="6001" spans="1:5" hidden="1" x14ac:dyDescent="0.15">
      <c r="A6001" s="1" t="s">
        <v>20</v>
      </c>
      <c r="B6001" s="2">
        <v>24823</v>
      </c>
      <c r="C6001" s="3">
        <v>1.7000000000000001E-2</v>
      </c>
      <c r="D6001" s="4" t="s">
        <v>602</v>
      </c>
      <c r="E6001" s="4" t="s">
        <v>603</v>
      </c>
    </row>
    <row r="6002" spans="1:5" ht="26" hidden="1" x14ac:dyDescent="0.15">
      <c r="A6002" s="1" t="s">
        <v>21</v>
      </c>
      <c r="B6002" s="2">
        <v>20633</v>
      </c>
      <c r="C6002" s="3">
        <v>1.3999999999999999E-2</v>
      </c>
      <c r="D6002" s="4" t="s">
        <v>602</v>
      </c>
      <c r="E6002" s="4" t="s">
        <v>603</v>
      </c>
    </row>
    <row r="6003" spans="1:5" ht="26" hidden="1" x14ac:dyDescent="0.15">
      <c r="A6003" s="1" t="s">
        <v>22</v>
      </c>
      <c r="B6003" s="2">
        <v>11455</v>
      </c>
      <c r="C6003" s="3">
        <v>8.0000000000000002E-3</v>
      </c>
      <c r="D6003" s="4" t="s">
        <v>602</v>
      </c>
      <c r="E6003" s="4" t="s">
        <v>603</v>
      </c>
    </row>
    <row r="6004" spans="1:5" ht="26" hidden="1" x14ac:dyDescent="0.15">
      <c r="A6004" s="1" t="s">
        <v>23</v>
      </c>
      <c r="B6004" s="2">
        <v>28391</v>
      </c>
      <c r="C6004" s="3">
        <v>1.9E-2</v>
      </c>
      <c r="D6004" s="4" t="s">
        <v>602</v>
      </c>
      <c r="E6004" s="4" t="s">
        <v>603</v>
      </c>
    </row>
    <row r="6005" spans="1:5" ht="26" hidden="1" x14ac:dyDescent="0.15">
      <c r="A6005" s="1" t="s">
        <v>24</v>
      </c>
      <c r="B6005" s="2">
        <v>35978</v>
      </c>
      <c r="C6005" s="3">
        <v>2.4E-2</v>
      </c>
      <c r="D6005" s="4" t="s">
        <v>602</v>
      </c>
      <c r="E6005" s="4" t="s">
        <v>603</v>
      </c>
    </row>
    <row r="6006" spans="1:5" ht="26" hidden="1" x14ac:dyDescent="0.15">
      <c r="A6006" s="1" t="s">
        <v>25</v>
      </c>
      <c r="B6006" s="2">
        <v>51604</v>
      </c>
      <c r="C6006" s="3">
        <v>3.4000000000000002E-2</v>
      </c>
      <c r="D6006" s="4" t="s">
        <v>602</v>
      </c>
      <c r="E6006" s="4" t="s">
        <v>603</v>
      </c>
    </row>
    <row r="6007" spans="1:5" hidden="1" x14ac:dyDescent="0.15">
      <c r="A6007" s="1" t="s">
        <v>26</v>
      </c>
      <c r="B6007" s="2">
        <v>23990</v>
      </c>
      <c r="C6007" s="3">
        <v>1.6E-2</v>
      </c>
      <c r="D6007" s="4" t="s">
        <v>602</v>
      </c>
      <c r="E6007" s="4" t="s">
        <v>603</v>
      </c>
    </row>
    <row r="6008" spans="1:5" hidden="1" x14ac:dyDescent="0.15">
      <c r="A6008" s="1" t="s">
        <v>27</v>
      </c>
      <c r="B6008" s="2">
        <v>175039</v>
      </c>
      <c r="C6008" s="3">
        <v>0.11699999999999999</v>
      </c>
      <c r="D6008" s="4" t="s">
        <v>602</v>
      </c>
      <c r="E6008" s="4" t="s">
        <v>603</v>
      </c>
    </row>
    <row r="6009" spans="1:5" hidden="1" x14ac:dyDescent="0.15">
      <c r="A6009" s="1" t="s">
        <v>28</v>
      </c>
      <c r="B6009" s="2">
        <v>67345</v>
      </c>
      <c r="C6009" s="3">
        <v>4.4999999999999998E-2</v>
      </c>
      <c r="D6009" s="4" t="s">
        <v>602</v>
      </c>
      <c r="E6009" s="4" t="s">
        <v>603</v>
      </c>
    </row>
    <row r="6010" spans="1:5" hidden="1" x14ac:dyDescent="0.15">
      <c r="A6010" s="1" t="s">
        <v>29</v>
      </c>
      <c r="B6010" s="2">
        <v>421198</v>
      </c>
      <c r="C6010" s="3">
        <v>0.28100000000000003</v>
      </c>
      <c r="D6010" s="4" t="s">
        <v>602</v>
      </c>
      <c r="E6010" s="4" t="s">
        <v>603</v>
      </c>
    </row>
    <row r="6011" spans="1:5" hidden="1" x14ac:dyDescent="0.15">
      <c r="A6011" s="1" t="s">
        <v>30</v>
      </c>
      <c r="B6011" s="2">
        <v>164132</v>
      </c>
      <c r="C6011" s="3">
        <v>0.109</v>
      </c>
      <c r="D6011" s="4" t="s">
        <v>602</v>
      </c>
      <c r="E6011" s="4" t="s">
        <v>603</v>
      </c>
    </row>
    <row r="6012" spans="1:5" ht="39" hidden="1" x14ac:dyDescent="0.15">
      <c r="A6012" s="1" t="s">
        <v>31</v>
      </c>
      <c r="B6012" s="2">
        <v>6145</v>
      </c>
      <c r="C6012" s="3">
        <v>4.0000000000000001E-3</v>
      </c>
      <c r="D6012" s="4" t="s">
        <v>602</v>
      </c>
      <c r="E6012" s="4" t="s">
        <v>603</v>
      </c>
    </row>
    <row r="6013" spans="1:5" hidden="1" x14ac:dyDescent="0.15">
      <c r="A6013" s="1" t="s">
        <v>32</v>
      </c>
      <c r="B6013" s="2">
        <v>56224</v>
      </c>
      <c r="C6013" s="3">
        <v>3.7999999999999999E-2</v>
      </c>
      <c r="D6013" s="4" t="s">
        <v>602</v>
      </c>
      <c r="E6013" s="4" t="s">
        <v>603</v>
      </c>
    </row>
    <row r="6014" spans="1:5" hidden="1" x14ac:dyDescent="0.15">
      <c r="A6014" s="1" t="s">
        <v>33</v>
      </c>
      <c r="B6014" s="2">
        <v>409552</v>
      </c>
      <c r="C6014" s="3">
        <v>0.27300000000000002</v>
      </c>
      <c r="D6014" s="4" t="s">
        <v>602</v>
      </c>
      <c r="E6014" s="4" t="s">
        <v>603</v>
      </c>
    </row>
    <row r="6015" spans="1:5" hidden="1" x14ac:dyDescent="0.15">
      <c r="A6015" s="1" t="s">
        <v>34</v>
      </c>
      <c r="B6015" s="2">
        <v>105848</v>
      </c>
      <c r="C6015" s="3">
        <v>7.0999999999999994E-2</v>
      </c>
      <c r="D6015" s="4" t="s">
        <v>602</v>
      </c>
      <c r="E6015" s="4" t="s">
        <v>603</v>
      </c>
    </row>
    <row r="6016" spans="1:5" hidden="1" x14ac:dyDescent="0.15">
      <c r="A6016" s="1" t="s">
        <v>35</v>
      </c>
      <c r="B6016" s="2">
        <v>53278</v>
      </c>
      <c r="C6016" s="3">
        <v>3.6000000000000004E-2</v>
      </c>
      <c r="D6016" s="4" t="s">
        <v>602</v>
      </c>
      <c r="E6016" s="4" t="s">
        <v>603</v>
      </c>
    </row>
    <row r="6017" spans="1:5" ht="26" hidden="1" x14ac:dyDescent="0.15">
      <c r="A6017" s="1" t="s">
        <v>36</v>
      </c>
      <c r="B6017" s="2">
        <v>26573</v>
      </c>
      <c r="C6017" s="3">
        <v>1.8000000000000002E-2</v>
      </c>
      <c r="D6017" s="4" t="s">
        <v>602</v>
      </c>
      <c r="E6017" s="4" t="s">
        <v>603</v>
      </c>
    </row>
    <row r="6018" spans="1:5" hidden="1" x14ac:dyDescent="0.15">
      <c r="A6018" s="1" t="s">
        <v>37</v>
      </c>
      <c r="B6018" s="2">
        <v>16867</v>
      </c>
      <c r="C6018" s="3">
        <v>1.1000000000000001E-2</v>
      </c>
      <c r="D6018" s="4" t="s">
        <v>602</v>
      </c>
      <c r="E6018" s="4" t="s">
        <v>603</v>
      </c>
    </row>
    <row r="6019" spans="1:5" ht="39" hidden="1" x14ac:dyDescent="0.15">
      <c r="A6019" s="1" t="s">
        <v>38</v>
      </c>
      <c r="B6019" s="2">
        <v>35824</v>
      </c>
      <c r="C6019" s="3">
        <v>2.4E-2</v>
      </c>
      <c r="D6019" s="4" t="s">
        <v>602</v>
      </c>
      <c r="E6019" s="4" t="s">
        <v>603</v>
      </c>
    </row>
    <row r="6020" spans="1:5" hidden="1" x14ac:dyDescent="0.15">
      <c r="A6020" s="1" t="s">
        <v>39</v>
      </c>
      <c r="B6020" s="2">
        <v>75219</v>
      </c>
      <c r="C6020" s="3">
        <v>0.05</v>
      </c>
      <c r="D6020" s="4" t="s">
        <v>602</v>
      </c>
      <c r="E6020" s="4" t="s">
        <v>603</v>
      </c>
    </row>
    <row r="6021" spans="1:5" hidden="1" x14ac:dyDescent="0.15">
      <c r="A6021" s="1" t="s">
        <v>40</v>
      </c>
      <c r="B6021" s="2">
        <v>13240</v>
      </c>
      <c r="C6021" s="3">
        <v>9.0000000000000011E-3</v>
      </c>
      <c r="D6021" s="4" t="s">
        <v>602</v>
      </c>
      <c r="E6021" s="4" t="s">
        <v>603</v>
      </c>
    </row>
    <row r="6022" spans="1:5" hidden="1" x14ac:dyDescent="0.15">
      <c r="A6022" s="1" t="s">
        <v>41</v>
      </c>
      <c r="B6022" s="2">
        <v>21250</v>
      </c>
      <c r="C6022" s="3">
        <v>1.3999999999999999E-2</v>
      </c>
      <c r="D6022" s="4" t="s">
        <v>602</v>
      </c>
      <c r="E6022" s="4" t="s">
        <v>603</v>
      </c>
    </row>
    <row r="6023" spans="1:5" hidden="1" x14ac:dyDescent="0.15">
      <c r="A6023" s="1" t="s">
        <v>42</v>
      </c>
      <c r="B6023" s="2">
        <v>38261</v>
      </c>
      <c r="C6023" s="3">
        <v>2.6000000000000002E-2</v>
      </c>
      <c r="D6023" s="4" t="s">
        <v>602</v>
      </c>
      <c r="E6023" s="4" t="s">
        <v>603</v>
      </c>
    </row>
    <row r="6024" spans="1:5" hidden="1" x14ac:dyDescent="0.15">
      <c r="A6024" s="1" t="s">
        <v>43</v>
      </c>
      <c r="B6024" s="2">
        <v>176500</v>
      </c>
      <c r="C6024" s="3">
        <v>0.11800000000000001</v>
      </c>
      <c r="D6024" s="4" t="s">
        <v>602</v>
      </c>
      <c r="E6024" s="4" t="s">
        <v>603</v>
      </c>
    </row>
    <row r="6025" spans="1:5" ht="26" hidden="1" x14ac:dyDescent="0.15">
      <c r="A6025" s="1" t="s">
        <v>44</v>
      </c>
      <c r="B6025" s="2">
        <v>180935</v>
      </c>
      <c r="C6025" s="3">
        <v>0.121</v>
      </c>
      <c r="D6025" s="4" t="s">
        <v>602</v>
      </c>
      <c r="E6025" s="4" t="s">
        <v>603</v>
      </c>
    </row>
    <row r="6026" spans="1:5" hidden="1" x14ac:dyDescent="0.15">
      <c r="A6026" s="1" t="s">
        <v>45</v>
      </c>
      <c r="B6026" s="2">
        <v>273704</v>
      </c>
      <c r="C6026" s="3">
        <v>0.183</v>
      </c>
      <c r="D6026" s="4" t="s">
        <v>602</v>
      </c>
      <c r="E6026" s="4" t="s">
        <v>603</v>
      </c>
    </row>
    <row r="6027" spans="1:5" ht="26" hidden="1" x14ac:dyDescent="0.15">
      <c r="A6027" s="1" t="s">
        <v>46</v>
      </c>
      <c r="B6027" s="2">
        <v>548891</v>
      </c>
      <c r="C6027" s="3">
        <v>0.36599999999999999</v>
      </c>
      <c r="D6027" s="4" t="s">
        <v>602</v>
      </c>
      <c r="E6027" s="4" t="s">
        <v>603</v>
      </c>
    </row>
    <row r="6028" spans="1:5" hidden="1" x14ac:dyDescent="0.15">
      <c r="A6028" s="1" t="s">
        <v>47</v>
      </c>
      <c r="B6028" s="2">
        <v>799643</v>
      </c>
      <c r="C6028" s="3">
        <v>0.53299999999999992</v>
      </c>
      <c r="D6028" s="4" t="s">
        <v>602</v>
      </c>
      <c r="E6028" s="4" t="s">
        <v>603</v>
      </c>
    </row>
    <row r="6029" spans="1:5" hidden="1" x14ac:dyDescent="0.15">
      <c r="A6029" s="1" t="s">
        <v>48</v>
      </c>
      <c r="B6029" s="2">
        <v>338629</v>
      </c>
      <c r="C6029" s="3">
        <v>0.22600000000000001</v>
      </c>
      <c r="D6029" s="4" t="s">
        <v>602</v>
      </c>
      <c r="E6029" s="4" t="s">
        <v>603</v>
      </c>
    </row>
    <row r="6030" spans="1:5" hidden="1" x14ac:dyDescent="0.15">
      <c r="A6030" s="1" t="s">
        <v>49</v>
      </c>
      <c r="B6030" s="2">
        <v>121479</v>
      </c>
      <c r="C6030" s="3">
        <v>8.1000000000000003E-2</v>
      </c>
      <c r="D6030" s="4" t="s">
        <v>602</v>
      </c>
      <c r="E6030" s="4" t="s">
        <v>603</v>
      </c>
    </row>
    <row r="6031" spans="1:5" ht="26" hidden="1" x14ac:dyDescent="0.15">
      <c r="A6031" s="1" t="s">
        <v>50</v>
      </c>
      <c r="B6031" s="2">
        <v>304013</v>
      </c>
      <c r="C6031" s="3">
        <v>0.20300000000000001</v>
      </c>
      <c r="D6031" s="4" t="s">
        <v>602</v>
      </c>
      <c r="E6031" s="4" t="s">
        <v>603</v>
      </c>
    </row>
    <row r="6032" spans="1:5" hidden="1" x14ac:dyDescent="0.15">
      <c r="A6032" s="1" t="s">
        <v>51</v>
      </c>
      <c r="B6032" s="2">
        <v>475231</v>
      </c>
      <c r="C6032" s="3">
        <v>0.317</v>
      </c>
      <c r="D6032" s="4" t="s">
        <v>602</v>
      </c>
      <c r="E6032" s="4" t="s">
        <v>603</v>
      </c>
    </row>
    <row r="6033" spans="1:5" hidden="1" x14ac:dyDescent="0.15">
      <c r="A6033" s="1" t="s">
        <v>52</v>
      </c>
      <c r="B6033" s="2">
        <v>173152</v>
      </c>
      <c r="C6033" s="3">
        <v>0.115</v>
      </c>
      <c r="D6033" s="4" t="s">
        <v>602</v>
      </c>
      <c r="E6033" s="4" t="s">
        <v>603</v>
      </c>
    </row>
    <row r="6034" spans="1:5" ht="26" hidden="1" x14ac:dyDescent="0.15">
      <c r="A6034" s="1" t="s">
        <v>53</v>
      </c>
      <c r="B6034" s="2">
        <v>135599</v>
      </c>
      <c r="C6034" s="3">
        <v>0.09</v>
      </c>
      <c r="D6034" s="4" t="s">
        <v>602</v>
      </c>
      <c r="E6034" s="4" t="s">
        <v>603</v>
      </c>
    </row>
    <row r="6035" spans="1:5" hidden="1" x14ac:dyDescent="0.15">
      <c r="A6035" s="1" t="s">
        <v>54</v>
      </c>
      <c r="B6035" s="2">
        <v>533948</v>
      </c>
      <c r="C6035" s="3">
        <v>0.35600000000000004</v>
      </c>
      <c r="D6035" s="4" t="s">
        <v>602</v>
      </c>
      <c r="E6035" s="4" t="s">
        <v>603</v>
      </c>
    </row>
    <row r="6036" spans="1:5" ht="26" hidden="1" x14ac:dyDescent="0.15">
      <c r="A6036" s="1" t="s">
        <v>55</v>
      </c>
      <c r="B6036" s="2">
        <v>576957</v>
      </c>
      <c r="C6036" s="3">
        <v>0.38500000000000001</v>
      </c>
      <c r="D6036" s="4" t="s">
        <v>602</v>
      </c>
      <c r="E6036" s="4" t="s">
        <v>603</v>
      </c>
    </row>
    <row r="6037" spans="1:5" hidden="1" x14ac:dyDescent="0.15">
      <c r="A6037" s="1" t="s">
        <v>56</v>
      </c>
      <c r="B6037" s="2">
        <v>342110</v>
      </c>
      <c r="C6037" s="3">
        <v>0.22800000000000001</v>
      </c>
      <c r="D6037" s="4" t="s">
        <v>602</v>
      </c>
      <c r="E6037" s="4" t="s">
        <v>603</v>
      </c>
    </row>
    <row r="6038" spans="1:5" hidden="1" x14ac:dyDescent="0.15">
      <c r="A6038" s="1" t="s">
        <v>57</v>
      </c>
      <c r="B6038" s="2">
        <v>277217</v>
      </c>
      <c r="C6038" s="3">
        <v>0.185</v>
      </c>
      <c r="D6038" s="4" t="s">
        <v>602</v>
      </c>
      <c r="E6038" s="4" t="s">
        <v>603</v>
      </c>
    </row>
    <row r="6039" spans="1:5" hidden="1" x14ac:dyDescent="0.15">
      <c r="A6039" s="1" t="s">
        <v>58</v>
      </c>
      <c r="B6039" s="2">
        <v>207170</v>
      </c>
      <c r="C6039" s="3">
        <v>0.13800000000000001</v>
      </c>
      <c r="D6039" s="4" t="s">
        <v>602</v>
      </c>
      <c r="E6039" s="4" t="s">
        <v>603</v>
      </c>
    </row>
    <row r="6040" spans="1:5" hidden="1" x14ac:dyDescent="0.15">
      <c r="A6040" s="1" t="s">
        <v>59</v>
      </c>
      <c r="B6040" s="2">
        <v>812877</v>
      </c>
      <c r="C6040" s="3">
        <v>0.54200000000000004</v>
      </c>
      <c r="D6040" s="4" t="s">
        <v>602</v>
      </c>
      <c r="E6040" s="4" t="s">
        <v>603</v>
      </c>
    </row>
    <row r="6041" spans="1:5" hidden="1" x14ac:dyDescent="0.15">
      <c r="A6041" s="1" t="s">
        <v>60</v>
      </c>
      <c r="B6041" s="2">
        <v>181431</v>
      </c>
      <c r="C6041" s="3">
        <v>0.121</v>
      </c>
      <c r="D6041" s="4" t="s">
        <v>602</v>
      </c>
      <c r="E6041" s="4" t="s">
        <v>603</v>
      </c>
    </row>
    <row r="6042" spans="1:5" ht="26" hidden="1" x14ac:dyDescent="0.15">
      <c r="A6042" s="1" t="s">
        <v>61</v>
      </c>
      <c r="B6042" s="2">
        <v>230667</v>
      </c>
      <c r="C6042" s="3">
        <v>0.154</v>
      </c>
      <c r="D6042" s="4" t="s">
        <v>602</v>
      </c>
      <c r="E6042" s="4" t="s">
        <v>603</v>
      </c>
    </row>
    <row r="6043" spans="1:5" hidden="1" x14ac:dyDescent="0.15">
      <c r="A6043" s="1" t="s">
        <v>62</v>
      </c>
      <c r="B6043" s="2">
        <v>82702</v>
      </c>
      <c r="C6043" s="3">
        <v>5.5E-2</v>
      </c>
      <c r="D6043" s="4" t="s">
        <v>602</v>
      </c>
      <c r="E6043" s="4" t="s">
        <v>603</v>
      </c>
    </row>
    <row r="6044" spans="1:5" ht="26" hidden="1" x14ac:dyDescent="0.15">
      <c r="A6044" s="1" t="s">
        <v>63</v>
      </c>
      <c r="B6044" s="2">
        <v>349527</v>
      </c>
      <c r="C6044" s="3">
        <v>0.23300000000000001</v>
      </c>
      <c r="D6044" s="4" t="s">
        <v>602</v>
      </c>
      <c r="E6044" s="4" t="s">
        <v>603</v>
      </c>
    </row>
    <row r="6045" spans="1:5" ht="26" hidden="1" x14ac:dyDescent="0.15">
      <c r="A6045" s="1" t="s">
        <v>64</v>
      </c>
      <c r="B6045" s="2">
        <v>271359</v>
      </c>
      <c r="C6045" s="3">
        <v>0.18100000000000002</v>
      </c>
      <c r="D6045" s="4" t="s">
        <v>602</v>
      </c>
      <c r="E6045" s="4" t="s">
        <v>603</v>
      </c>
    </row>
    <row r="6046" spans="1:5" hidden="1" x14ac:dyDescent="0.15">
      <c r="A6046" s="1" t="s">
        <v>65</v>
      </c>
      <c r="B6046" s="2">
        <v>241790</v>
      </c>
      <c r="C6046" s="3">
        <v>0.161</v>
      </c>
      <c r="D6046" s="4" t="s">
        <v>602</v>
      </c>
      <c r="E6046" s="4" t="s">
        <v>603</v>
      </c>
    </row>
    <row r="6047" spans="1:5" hidden="1" x14ac:dyDescent="0.15">
      <c r="A6047" s="1" t="s">
        <v>66</v>
      </c>
      <c r="B6047" s="2">
        <v>152977</v>
      </c>
      <c r="C6047" s="3">
        <v>0.10199999999999999</v>
      </c>
      <c r="D6047" s="4" t="s">
        <v>602</v>
      </c>
      <c r="E6047" s="4" t="s">
        <v>603</v>
      </c>
    </row>
    <row r="6048" spans="1:5" hidden="1" x14ac:dyDescent="0.15">
      <c r="A6048" s="1" t="s">
        <v>67</v>
      </c>
      <c r="B6048" s="2">
        <v>524902</v>
      </c>
      <c r="C6048" s="3">
        <v>0.35</v>
      </c>
      <c r="D6048" s="4" t="s">
        <v>602</v>
      </c>
      <c r="E6048" s="4" t="s">
        <v>603</v>
      </c>
    </row>
    <row r="6049" spans="1:5" hidden="1" x14ac:dyDescent="0.15">
      <c r="A6049" s="1" t="s">
        <v>68</v>
      </c>
      <c r="B6049" s="2">
        <v>480324</v>
      </c>
      <c r="C6049" s="3">
        <v>0.32</v>
      </c>
      <c r="D6049" s="4" t="s">
        <v>602</v>
      </c>
      <c r="E6049" s="4" t="s">
        <v>603</v>
      </c>
    </row>
    <row r="6050" spans="1:5" hidden="1" x14ac:dyDescent="0.15">
      <c r="A6050" s="1" t="s">
        <v>69</v>
      </c>
      <c r="B6050" s="2">
        <v>925831</v>
      </c>
      <c r="C6050" s="3">
        <v>0.61799999999999999</v>
      </c>
      <c r="D6050" s="4" t="s">
        <v>602</v>
      </c>
      <c r="E6050" s="4" t="s">
        <v>603</v>
      </c>
    </row>
    <row r="6051" spans="1:5" hidden="1" x14ac:dyDescent="0.15">
      <c r="A6051" s="1" t="s">
        <v>70</v>
      </c>
      <c r="B6051" s="2">
        <v>572542</v>
      </c>
      <c r="C6051" s="3">
        <v>0.38200000000000001</v>
      </c>
      <c r="D6051" s="4" t="s">
        <v>602</v>
      </c>
      <c r="E6051" s="4" t="s">
        <v>603</v>
      </c>
    </row>
    <row r="6052" spans="1:5" ht="26" hidden="1" x14ac:dyDescent="0.15">
      <c r="A6052" s="1" t="s">
        <v>71</v>
      </c>
      <c r="B6052" s="2">
        <v>74414</v>
      </c>
      <c r="C6052" s="3">
        <v>0.05</v>
      </c>
      <c r="D6052" s="4" t="s">
        <v>602</v>
      </c>
      <c r="E6052" s="4" t="s">
        <v>603</v>
      </c>
    </row>
    <row r="6053" spans="1:5" hidden="1" x14ac:dyDescent="0.15">
      <c r="A6053" s="1" t="s">
        <v>72</v>
      </c>
      <c r="B6053" s="2">
        <v>234046</v>
      </c>
      <c r="C6053" s="3">
        <v>0.156</v>
      </c>
      <c r="D6053" s="4" t="s">
        <v>602</v>
      </c>
      <c r="E6053" s="4" t="s">
        <v>603</v>
      </c>
    </row>
    <row r="6054" spans="1:5" hidden="1" x14ac:dyDescent="0.15">
      <c r="A6054" s="1" t="s">
        <v>73</v>
      </c>
      <c r="B6054" s="2">
        <v>966097</v>
      </c>
      <c r="C6054" s="3">
        <v>0.64400000000000002</v>
      </c>
      <c r="D6054" s="4" t="s">
        <v>602</v>
      </c>
      <c r="E6054" s="4" t="s">
        <v>603</v>
      </c>
    </row>
    <row r="6055" spans="1:5" hidden="1" x14ac:dyDescent="0.15">
      <c r="A6055" s="1" t="s">
        <v>74</v>
      </c>
      <c r="B6055" s="2">
        <v>445905</v>
      </c>
      <c r="C6055" s="3">
        <v>0.29699999999999999</v>
      </c>
      <c r="D6055" s="4" t="s">
        <v>602</v>
      </c>
      <c r="E6055" s="4" t="s">
        <v>603</v>
      </c>
    </row>
    <row r="6056" spans="1:5" hidden="1" x14ac:dyDescent="0.15">
      <c r="A6056" s="1" t="s">
        <v>75</v>
      </c>
      <c r="B6056" s="2">
        <v>239411</v>
      </c>
      <c r="C6056" s="3">
        <v>0.16</v>
      </c>
      <c r="D6056" s="4" t="s">
        <v>602</v>
      </c>
      <c r="E6056" s="4" t="s">
        <v>603</v>
      </c>
    </row>
    <row r="6057" spans="1:5" hidden="1" x14ac:dyDescent="0.15">
      <c r="A6057" s="1" t="s">
        <v>76</v>
      </c>
      <c r="B6057" s="2">
        <v>221244</v>
      </c>
      <c r="C6057" s="3">
        <v>0.14800000000000002</v>
      </c>
      <c r="D6057" s="4" t="s">
        <v>602</v>
      </c>
      <c r="E6057" s="4" t="s">
        <v>603</v>
      </c>
    </row>
    <row r="6058" spans="1:5" hidden="1" x14ac:dyDescent="0.15">
      <c r="A6058" s="1" t="s">
        <v>77</v>
      </c>
      <c r="B6058" s="2">
        <v>180108</v>
      </c>
      <c r="C6058" s="3">
        <v>0.12</v>
      </c>
      <c r="D6058" s="4" t="s">
        <v>602</v>
      </c>
      <c r="E6058" s="4" t="s">
        <v>603</v>
      </c>
    </row>
    <row r="6059" spans="1:5" ht="26" hidden="1" x14ac:dyDescent="0.15">
      <c r="A6059" s="1" t="s">
        <v>78</v>
      </c>
      <c r="B6059" s="2">
        <v>234954</v>
      </c>
      <c r="C6059" s="3">
        <v>0.157</v>
      </c>
      <c r="D6059" s="4" t="s">
        <v>602</v>
      </c>
      <c r="E6059" s="4" t="s">
        <v>603</v>
      </c>
    </row>
    <row r="6060" spans="1:5" hidden="1" x14ac:dyDescent="0.15">
      <c r="A6060" s="1" t="s">
        <v>79</v>
      </c>
      <c r="B6060" s="2">
        <v>245844</v>
      </c>
      <c r="C6060" s="3">
        <v>0.16399999999999998</v>
      </c>
      <c r="D6060" s="4" t="s">
        <v>602</v>
      </c>
      <c r="E6060" s="4" t="s">
        <v>603</v>
      </c>
    </row>
    <row r="6061" spans="1:5" hidden="1" x14ac:dyDescent="0.15">
      <c r="A6061" s="1" t="s">
        <v>80</v>
      </c>
      <c r="B6061" s="2">
        <v>137918</v>
      </c>
      <c r="C6061" s="3">
        <v>9.1999999999999998E-2</v>
      </c>
      <c r="D6061" s="4" t="s">
        <v>602</v>
      </c>
      <c r="E6061" s="4" t="s">
        <v>603</v>
      </c>
    </row>
    <row r="6062" spans="1:5" ht="26" hidden="1" x14ac:dyDescent="0.15">
      <c r="A6062" s="1" t="s">
        <v>81</v>
      </c>
      <c r="B6062" s="2">
        <v>224871</v>
      </c>
      <c r="C6062" s="3">
        <v>0.15</v>
      </c>
      <c r="D6062" s="4" t="s">
        <v>602</v>
      </c>
      <c r="E6062" s="4" t="s">
        <v>603</v>
      </c>
    </row>
    <row r="6063" spans="1:5" hidden="1" x14ac:dyDescent="0.15">
      <c r="A6063" s="1" t="s">
        <v>82</v>
      </c>
      <c r="B6063" s="2">
        <v>143619</v>
      </c>
      <c r="C6063" s="3">
        <v>9.6000000000000002E-2</v>
      </c>
      <c r="D6063" s="4" t="s">
        <v>602</v>
      </c>
      <c r="E6063" s="4" t="s">
        <v>603</v>
      </c>
    </row>
    <row r="6064" spans="1:5" hidden="1" x14ac:dyDescent="0.15">
      <c r="A6064" s="4"/>
      <c r="B6064" s="4"/>
      <c r="C6064" s="4"/>
      <c r="D6064" s="4" t="s">
        <v>602</v>
      </c>
      <c r="E6064" s="4" t="s">
        <v>603</v>
      </c>
    </row>
    <row r="6065" spans="1:5" hidden="1" x14ac:dyDescent="0.15">
      <c r="A6065" s="5"/>
      <c r="B6065" s="5"/>
      <c r="C6065" s="5"/>
      <c r="D6065" s="4" t="s">
        <v>602</v>
      </c>
      <c r="E6065" s="4" t="s">
        <v>603</v>
      </c>
    </row>
    <row r="6066" spans="1:5" ht="39" hidden="1" x14ac:dyDescent="0.15">
      <c r="A6066" s="1" t="s">
        <v>604</v>
      </c>
      <c r="B6066" s="2">
        <v>436955</v>
      </c>
      <c r="C6066" s="3">
        <v>0.29100000000000004</v>
      </c>
      <c r="D6066" s="4" t="s">
        <v>602</v>
      </c>
      <c r="E6066" s="4" t="s">
        <v>603</v>
      </c>
    </row>
    <row r="6067" spans="1:5" ht="39" hidden="1" x14ac:dyDescent="0.15">
      <c r="A6067" s="1" t="s">
        <v>605</v>
      </c>
      <c r="B6067" s="2">
        <v>529668</v>
      </c>
      <c r="C6067" s="3">
        <v>0.35299999999999998</v>
      </c>
      <c r="D6067" s="4" t="s">
        <v>602</v>
      </c>
      <c r="E6067" s="4" t="s">
        <v>603</v>
      </c>
    </row>
    <row r="6068" spans="1:5" ht="39" hidden="1" x14ac:dyDescent="0.15">
      <c r="A6068" s="1" t="s">
        <v>606</v>
      </c>
      <c r="B6068" s="2">
        <v>120346</v>
      </c>
      <c r="C6068" s="3">
        <v>0.08</v>
      </c>
      <c r="D6068" s="4" t="s">
        <v>602</v>
      </c>
      <c r="E6068" s="4" t="s">
        <v>603</v>
      </c>
    </row>
    <row r="6069" spans="1:5" ht="26" hidden="1" x14ac:dyDescent="0.15">
      <c r="A6069" s="1" t="s">
        <v>607</v>
      </c>
      <c r="B6069" s="2">
        <v>96747</v>
      </c>
      <c r="C6069" s="3">
        <v>6.5000000000000002E-2</v>
      </c>
      <c r="D6069" s="4" t="s">
        <v>602</v>
      </c>
      <c r="E6069" s="4" t="s">
        <v>603</v>
      </c>
    </row>
    <row r="6070" spans="1:5" hidden="1" x14ac:dyDescent="0.15">
      <c r="A6070" s="4"/>
      <c r="B6070" s="4"/>
      <c r="C6070" s="4"/>
      <c r="D6070" s="4" t="s">
        <v>602</v>
      </c>
      <c r="E6070" s="4" t="s">
        <v>603</v>
      </c>
    </row>
    <row r="6071" spans="1:5" hidden="1" x14ac:dyDescent="0.15">
      <c r="A6071" s="5" t="s">
        <v>397</v>
      </c>
      <c r="B6071" s="5"/>
      <c r="C6071" s="5"/>
      <c r="D6071" s="4" t="s">
        <v>602</v>
      </c>
      <c r="E6071" s="4" t="s">
        <v>603</v>
      </c>
    </row>
    <row r="6072" spans="1:5" ht="26" hidden="1" x14ac:dyDescent="0.15">
      <c r="A6072" s="1" t="s">
        <v>537</v>
      </c>
      <c r="B6072" s="2">
        <v>133820</v>
      </c>
      <c r="C6072" s="3">
        <v>8.900000000000001E-2</v>
      </c>
      <c r="D6072" s="4" t="s">
        <v>602</v>
      </c>
      <c r="E6072" s="4" t="s">
        <v>603</v>
      </c>
    </row>
    <row r="6073" spans="1:5" ht="26" hidden="1" x14ac:dyDescent="0.15">
      <c r="A6073" s="1" t="s">
        <v>181</v>
      </c>
      <c r="B6073" s="2">
        <v>225212</v>
      </c>
      <c r="C6073" s="3">
        <v>0.15</v>
      </c>
      <c r="D6073" s="4" t="s">
        <v>602</v>
      </c>
      <c r="E6073" s="4" t="s">
        <v>603</v>
      </c>
    </row>
    <row r="6074" spans="1:5" ht="26" hidden="1" x14ac:dyDescent="0.15">
      <c r="A6074" s="1" t="s">
        <v>608</v>
      </c>
      <c r="B6074" s="2">
        <v>401526</v>
      </c>
      <c r="C6074" s="3">
        <v>0.26800000000000002</v>
      </c>
      <c r="D6074" s="4" t="s">
        <v>602</v>
      </c>
      <c r="E6074" s="4" t="s">
        <v>603</v>
      </c>
    </row>
    <row r="6075" spans="1:5" ht="26" hidden="1" x14ac:dyDescent="0.15">
      <c r="A6075" s="1" t="s">
        <v>609</v>
      </c>
      <c r="B6075" s="2">
        <v>551617</v>
      </c>
      <c r="C6075" s="3">
        <v>0.36799999999999999</v>
      </c>
      <c r="D6075" s="4" t="s">
        <v>602</v>
      </c>
      <c r="E6075" s="4" t="s">
        <v>603</v>
      </c>
    </row>
    <row r="6076" spans="1:5" hidden="1" x14ac:dyDescent="0.15">
      <c r="A6076" s="4"/>
      <c r="B6076" s="4"/>
      <c r="C6076" s="4"/>
      <c r="D6076" s="4" t="s">
        <v>602</v>
      </c>
      <c r="E6076" s="4" t="s">
        <v>603</v>
      </c>
    </row>
    <row r="6077" spans="1:5" hidden="1" x14ac:dyDescent="0.15">
      <c r="A6077" s="5"/>
      <c r="B6077" s="5"/>
      <c r="C6077" s="5"/>
      <c r="D6077" s="4" t="s">
        <v>602</v>
      </c>
      <c r="E6077" s="4" t="s">
        <v>603</v>
      </c>
    </row>
    <row r="6078" spans="1:5" hidden="1" x14ac:dyDescent="0.15">
      <c r="A6078" s="1" t="s">
        <v>170</v>
      </c>
      <c r="B6078" s="2">
        <v>858909</v>
      </c>
      <c r="C6078" s="3">
        <v>0.57299999999999995</v>
      </c>
      <c r="D6078" s="4" t="s">
        <v>602</v>
      </c>
      <c r="E6078" s="4" t="s">
        <v>603</v>
      </c>
    </row>
    <row r="6079" spans="1:5" hidden="1" x14ac:dyDescent="0.15">
      <c r="A6079" s="4"/>
      <c r="B6079" s="4"/>
      <c r="C6079" s="4"/>
      <c r="D6079" s="4" t="s">
        <v>602</v>
      </c>
      <c r="E6079" s="4" t="s">
        <v>603</v>
      </c>
    </row>
    <row r="6080" spans="1:5" hidden="1" x14ac:dyDescent="0.15">
      <c r="A6080" s="5"/>
      <c r="B6080" s="5"/>
      <c r="C6080" s="5"/>
      <c r="D6080" s="4" t="s">
        <v>602</v>
      </c>
      <c r="E6080" s="4" t="s">
        <v>603</v>
      </c>
    </row>
    <row r="6081" spans="1:5" hidden="1" x14ac:dyDescent="0.15">
      <c r="A6081" s="1" t="s">
        <v>171</v>
      </c>
      <c r="B6081" s="2">
        <v>237704</v>
      </c>
      <c r="C6081" s="3">
        <v>0.159</v>
      </c>
      <c r="D6081" s="4" t="s">
        <v>602</v>
      </c>
      <c r="E6081" s="4" t="s">
        <v>603</v>
      </c>
    </row>
    <row r="6082" spans="1:5" hidden="1" x14ac:dyDescent="0.15">
      <c r="A6082" s="4"/>
      <c r="B6082" s="4"/>
      <c r="C6082" s="4"/>
      <c r="D6082" s="4" t="s">
        <v>602</v>
      </c>
      <c r="E6082" s="4" t="s">
        <v>603</v>
      </c>
    </row>
    <row r="6083" spans="1:5" hidden="1" x14ac:dyDescent="0.15">
      <c r="A6083" s="5"/>
      <c r="B6083" s="5"/>
      <c r="C6083" s="5"/>
      <c r="D6083" s="4" t="s">
        <v>602</v>
      </c>
      <c r="E6083" s="4" t="s">
        <v>603</v>
      </c>
    </row>
    <row r="6084" spans="1:5" hidden="1" x14ac:dyDescent="0.15">
      <c r="A6084" s="1" t="s">
        <v>173</v>
      </c>
      <c r="B6084" s="2">
        <v>825298</v>
      </c>
      <c r="C6084" s="3">
        <v>0.55000000000000004</v>
      </c>
      <c r="D6084" s="4" t="s">
        <v>602</v>
      </c>
      <c r="E6084" s="4" t="s">
        <v>603</v>
      </c>
    </row>
    <row r="6085" spans="1:5" hidden="1" x14ac:dyDescent="0.15">
      <c r="A6085" s="4"/>
      <c r="B6085" s="4"/>
      <c r="C6085" s="4"/>
      <c r="D6085" s="4" t="s">
        <v>602</v>
      </c>
      <c r="E6085" s="4" t="s">
        <v>603</v>
      </c>
    </row>
    <row r="6086" spans="1:5" hidden="1" x14ac:dyDescent="0.15">
      <c r="A6086" s="5"/>
      <c r="B6086" s="5"/>
      <c r="C6086" s="5"/>
      <c r="D6086" s="4" t="s">
        <v>602</v>
      </c>
      <c r="E6086" s="4" t="s">
        <v>603</v>
      </c>
    </row>
    <row r="6087" spans="1:5" ht="26" hidden="1" x14ac:dyDescent="0.15">
      <c r="A6087" s="1" t="s">
        <v>175</v>
      </c>
      <c r="B6087" s="2">
        <v>434143</v>
      </c>
      <c r="C6087" s="3">
        <v>0.28999999999999998</v>
      </c>
      <c r="D6087" s="4" t="s">
        <v>602</v>
      </c>
      <c r="E6087" s="4" t="s">
        <v>603</v>
      </c>
    </row>
    <row r="6088" spans="1:5" hidden="1" x14ac:dyDescent="0.15">
      <c r="A6088" s="1" t="s">
        <v>0</v>
      </c>
      <c r="B6088" s="2">
        <v>1399260</v>
      </c>
      <c r="C6088" s="3">
        <v>1</v>
      </c>
      <c r="D6088" s="4" t="s">
        <v>610</v>
      </c>
      <c r="E6088" s="4" t="s">
        <v>241</v>
      </c>
    </row>
    <row r="6089" spans="1:5" ht="26" hidden="1" x14ac:dyDescent="0.15">
      <c r="A6089" s="1" t="s">
        <v>3</v>
      </c>
      <c r="B6089" s="2">
        <v>27495</v>
      </c>
      <c r="C6089" s="3">
        <v>0.02</v>
      </c>
      <c r="D6089" s="4" t="s">
        <v>610</v>
      </c>
      <c r="E6089" s="4" t="s">
        <v>241</v>
      </c>
    </row>
    <row r="6090" spans="1:5" hidden="1" x14ac:dyDescent="0.15">
      <c r="A6090" s="1" t="s">
        <v>4</v>
      </c>
      <c r="B6090" s="2">
        <v>31292</v>
      </c>
      <c r="C6090" s="3">
        <v>2.2000000000000002E-2</v>
      </c>
      <c r="D6090" s="4" t="s">
        <v>610</v>
      </c>
      <c r="E6090" s="4" t="s">
        <v>241</v>
      </c>
    </row>
    <row r="6091" spans="1:5" ht="26" hidden="1" x14ac:dyDescent="0.15">
      <c r="A6091" s="1" t="s">
        <v>5</v>
      </c>
      <c r="B6091" s="2">
        <v>46162</v>
      </c>
      <c r="C6091" s="3">
        <v>3.3000000000000002E-2</v>
      </c>
      <c r="D6091" s="4" t="s">
        <v>610</v>
      </c>
      <c r="E6091" s="4" t="s">
        <v>241</v>
      </c>
    </row>
    <row r="6092" spans="1:5" ht="26" hidden="1" x14ac:dyDescent="0.15">
      <c r="A6092" s="1" t="s">
        <v>6</v>
      </c>
      <c r="B6092" s="2">
        <v>85209</v>
      </c>
      <c r="C6092" s="3">
        <v>6.0999999999999999E-2</v>
      </c>
      <c r="D6092" s="4" t="s">
        <v>610</v>
      </c>
      <c r="E6092" s="4" t="s">
        <v>241</v>
      </c>
    </row>
    <row r="6093" spans="1:5" ht="26" hidden="1" x14ac:dyDescent="0.15">
      <c r="A6093" s="1" t="s">
        <v>7</v>
      </c>
      <c r="B6093" s="2">
        <v>184461</v>
      </c>
      <c r="C6093" s="3">
        <v>0.13200000000000001</v>
      </c>
      <c r="D6093" s="4" t="s">
        <v>610</v>
      </c>
      <c r="E6093" s="4" t="s">
        <v>241</v>
      </c>
    </row>
    <row r="6094" spans="1:5" ht="26" hidden="1" x14ac:dyDescent="0.15">
      <c r="A6094" s="1" t="s">
        <v>8</v>
      </c>
      <c r="B6094" s="2">
        <v>11499</v>
      </c>
      <c r="C6094" s="3">
        <v>8.0000000000000002E-3</v>
      </c>
      <c r="D6094" s="4" t="s">
        <v>610</v>
      </c>
      <c r="E6094" s="4" t="s">
        <v>241</v>
      </c>
    </row>
    <row r="6095" spans="1:5" ht="26" hidden="1" x14ac:dyDescent="0.15">
      <c r="A6095" s="1" t="s">
        <v>9</v>
      </c>
      <c r="B6095" s="2">
        <v>62640</v>
      </c>
      <c r="C6095" s="3">
        <v>4.4999999999999998E-2</v>
      </c>
      <c r="D6095" s="4" t="s">
        <v>610</v>
      </c>
      <c r="E6095" s="4" t="s">
        <v>241</v>
      </c>
    </row>
    <row r="6096" spans="1:5" ht="26" hidden="1" x14ac:dyDescent="0.15">
      <c r="A6096" s="1" t="s">
        <v>10</v>
      </c>
      <c r="B6096" s="2">
        <v>47134</v>
      </c>
      <c r="C6096" s="3">
        <v>3.4000000000000002E-2</v>
      </c>
      <c r="D6096" s="4" t="s">
        <v>610</v>
      </c>
      <c r="E6096" s="4" t="s">
        <v>241</v>
      </c>
    </row>
    <row r="6097" spans="1:5" ht="26" hidden="1" x14ac:dyDescent="0.15">
      <c r="A6097" s="1" t="s">
        <v>11</v>
      </c>
      <c r="B6097" s="2">
        <v>90595</v>
      </c>
      <c r="C6097" s="3">
        <v>6.5000000000000002E-2</v>
      </c>
      <c r="D6097" s="4" t="s">
        <v>610</v>
      </c>
      <c r="E6097" s="4" t="s">
        <v>241</v>
      </c>
    </row>
    <row r="6098" spans="1:5" ht="26" hidden="1" x14ac:dyDescent="0.15">
      <c r="A6098" s="1" t="s">
        <v>12</v>
      </c>
      <c r="B6098" s="2">
        <v>23508</v>
      </c>
      <c r="C6098" s="3">
        <v>1.7000000000000001E-2</v>
      </c>
      <c r="D6098" s="4" t="s">
        <v>610</v>
      </c>
      <c r="E6098" s="4" t="s">
        <v>241</v>
      </c>
    </row>
    <row r="6099" spans="1:5" ht="26" hidden="1" x14ac:dyDescent="0.15">
      <c r="A6099" s="1" t="s">
        <v>13</v>
      </c>
      <c r="B6099" s="2">
        <v>21826</v>
      </c>
      <c r="C6099" s="3">
        <v>1.6E-2</v>
      </c>
      <c r="D6099" s="4" t="s">
        <v>610</v>
      </c>
      <c r="E6099" s="4" t="s">
        <v>241</v>
      </c>
    </row>
    <row r="6100" spans="1:5" hidden="1" x14ac:dyDescent="0.15">
      <c r="A6100" s="1" t="s">
        <v>14</v>
      </c>
      <c r="B6100" s="2">
        <v>115495</v>
      </c>
      <c r="C6100" s="3">
        <v>8.3000000000000004E-2</v>
      </c>
      <c r="D6100" s="4" t="s">
        <v>610</v>
      </c>
      <c r="E6100" s="4" t="s">
        <v>241</v>
      </c>
    </row>
    <row r="6101" spans="1:5" ht="26" hidden="1" x14ac:dyDescent="0.15">
      <c r="A6101" s="1" t="s">
        <v>15</v>
      </c>
      <c r="B6101" s="2">
        <v>64899</v>
      </c>
      <c r="C6101" s="3">
        <v>4.5999999999999999E-2</v>
      </c>
      <c r="D6101" s="4" t="s">
        <v>610</v>
      </c>
      <c r="E6101" s="4" t="s">
        <v>241</v>
      </c>
    </row>
    <row r="6102" spans="1:5" ht="26" hidden="1" x14ac:dyDescent="0.15">
      <c r="A6102" s="1" t="s">
        <v>16</v>
      </c>
      <c r="B6102" s="2">
        <v>53054</v>
      </c>
      <c r="C6102" s="3">
        <v>3.7999999999999999E-2</v>
      </c>
      <c r="D6102" s="4" t="s">
        <v>610</v>
      </c>
      <c r="E6102" s="4" t="s">
        <v>241</v>
      </c>
    </row>
    <row r="6103" spans="1:5" ht="26" hidden="1" x14ac:dyDescent="0.15">
      <c r="A6103" s="1" t="s">
        <v>17</v>
      </c>
      <c r="B6103" s="2">
        <v>47340</v>
      </c>
      <c r="C6103" s="3">
        <v>3.4000000000000002E-2</v>
      </c>
      <c r="D6103" s="4" t="s">
        <v>610</v>
      </c>
      <c r="E6103" s="4" t="s">
        <v>241</v>
      </c>
    </row>
    <row r="6104" spans="1:5" hidden="1" x14ac:dyDescent="0.15">
      <c r="A6104" s="1" t="s">
        <v>18</v>
      </c>
      <c r="B6104" s="2">
        <v>21669</v>
      </c>
      <c r="C6104" s="3">
        <v>1.4999999999999999E-2</v>
      </c>
      <c r="D6104" s="4" t="s">
        <v>610</v>
      </c>
      <c r="E6104" s="4" t="s">
        <v>241</v>
      </c>
    </row>
    <row r="6105" spans="1:5" hidden="1" x14ac:dyDescent="0.15">
      <c r="A6105" s="1" t="s">
        <v>19</v>
      </c>
      <c r="B6105" s="2">
        <v>165990</v>
      </c>
      <c r="C6105" s="3">
        <v>0.11900000000000001</v>
      </c>
      <c r="D6105" s="4" t="s">
        <v>610</v>
      </c>
      <c r="E6105" s="4" t="s">
        <v>241</v>
      </c>
    </row>
    <row r="6106" spans="1:5" hidden="1" x14ac:dyDescent="0.15">
      <c r="A6106" s="1" t="s">
        <v>20</v>
      </c>
      <c r="B6106" s="2">
        <v>48588</v>
      </c>
      <c r="C6106" s="3">
        <v>3.5000000000000003E-2</v>
      </c>
      <c r="D6106" s="4" t="s">
        <v>610</v>
      </c>
      <c r="E6106" s="4" t="s">
        <v>241</v>
      </c>
    </row>
    <row r="6107" spans="1:5" ht="26" hidden="1" x14ac:dyDescent="0.15">
      <c r="A6107" s="1" t="s">
        <v>21</v>
      </c>
      <c r="B6107" s="2">
        <v>21263</v>
      </c>
      <c r="C6107" s="3">
        <v>1.4999999999999999E-2</v>
      </c>
      <c r="D6107" s="4" t="s">
        <v>610</v>
      </c>
      <c r="E6107" s="4" t="s">
        <v>241</v>
      </c>
    </row>
    <row r="6108" spans="1:5" ht="26" hidden="1" x14ac:dyDescent="0.15">
      <c r="A6108" s="1" t="s">
        <v>22</v>
      </c>
      <c r="B6108" s="2">
        <v>145836</v>
      </c>
      <c r="C6108" s="3">
        <v>0.10400000000000001</v>
      </c>
      <c r="D6108" s="4" t="s">
        <v>610</v>
      </c>
      <c r="E6108" s="4" t="s">
        <v>241</v>
      </c>
    </row>
    <row r="6109" spans="1:5" ht="26" hidden="1" x14ac:dyDescent="0.15">
      <c r="A6109" s="1" t="s">
        <v>23</v>
      </c>
      <c r="B6109" s="2">
        <v>41991</v>
      </c>
      <c r="C6109" s="3">
        <v>0.03</v>
      </c>
      <c r="D6109" s="4" t="s">
        <v>610</v>
      </c>
      <c r="E6109" s="4" t="s">
        <v>241</v>
      </c>
    </row>
    <row r="6110" spans="1:5" ht="26" hidden="1" x14ac:dyDescent="0.15">
      <c r="A6110" s="1" t="s">
        <v>24</v>
      </c>
      <c r="B6110" s="2">
        <v>4812</v>
      </c>
      <c r="C6110" s="3">
        <v>3.0000000000000001E-3</v>
      </c>
      <c r="D6110" s="4" t="s">
        <v>610</v>
      </c>
      <c r="E6110" s="4" t="s">
        <v>241</v>
      </c>
    </row>
    <row r="6111" spans="1:5" ht="26" hidden="1" x14ac:dyDescent="0.15">
      <c r="A6111" s="1" t="s">
        <v>25</v>
      </c>
      <c r="B6111" s="2">
        <v>48011</v>
      </c>
      <c r="C6111" s="3">
        <v>3.4000000000000002E-2</v>
      </c>
      <c r="D6111" s="4" t="s">
        <v>610</v>
      </c>
      <c r="E6111" s="4" t="s">
        <v>241</v>
      </c>
    </row>
    <row r="6112" spans="1:5" hidden="1" x14ac:dyDescent="0.15">
      <c r="A6112" s="1" t="s">
        <v>26</v>
      </c>
      <c r="B6112" s="2">
        <v>25305</v>
      </c>
      <c r="C6112" s="3">
        <v>1.8000000000000002E-2</v>
      </c>
      <c r="D6112" s="4" t="s">
        <v>610</v>
      </c>
      <c r="E6112" s="4" t="s">
        <v>241</v>
      </c>
    </row>
    <row r="6113" spans="1:5" hidden="1" x14ac:dyDescent="0.15">
      <c r="A6113" s="1" t="s">
        <v>27</v>
      </c>
      <c r="B6113" s="2">
        <v>134173</v>
      </c>
      <c r="C6113" s="3">
        <v>9.6000000000000002E-2</v>
      </c>
      <c r="D6113" s="4" t="s">
        <v>610</v>
      </c>
      <c r="E6113" s="4" t="s">
        <v>241</v>
      </c>
    </row>
    <row r="6114" spans="1:5" hidden="1" x14ac:dyDescent="0.15">
      <c r="A6114" s="1" t="s">
        <v>28</v>
      </c>
      <c r="B6114" s="2">
        <v>140774</v>
      </c>
      <c r="C6114" s="3">
        <v>0.10099999999999999</v>
      </c>
      <c r="D6114" s="4" t="s">
        <v>610</v>
      </c>
      <c r="E6114" s="4" t="s">
        <v>241</v>
      </c>
    </row>
    <row r="6115" spans="1:5" hidden="1" x14ac:dyDescent="0.15">
      <c r="A6115" s="1" t="s">
        <v>29</v>
      </c>
      <c r="B6115" s="2">
        <v>391396</v>
      </c>
      <c r="C6115" s="3">
        <v>0.28000000000000003</v>
      </c>
      <c r="D6115" s="4" t="s">
        <v>610</v>
      </c>
      <c r="E6115" s="4" t="s">
        <v>241</v>
      </c>
    </row>
    <row r="6116" spans="1:5" hidden="1" x14ac:dyDescent="0.15">
      <c r="A6116" s="1" t="s">
        <v>30</v>
      </c>
      <c r="B6116" s="2">
        <v>20339</v>
      </c>
      <c r="C6116" s="3">
        <v>1.4999999999999999E-2</v>
      </c>
      <c r="D6116" s="4" t="s">
        <v>610</v>
      </c>
      <c r="E6116" s="4" t="s">
        <v>241</v>
      </c>
    </row>
    <row r="6117" spans="1:5" ht="39" hidden="1" x14ac:dyDescent="0.15">
      <c r="A6117" s="1" t="s">
        <v>31</v>
      </c>
      <c r="B6117" s="2">
        <v>17157</v>
      </c>
      <c r="C6117" s="3">
        <v>1.2E-2</v>
      </c>
      <c r="D6117" s="4" t="s">
        <v>610</v>
      </c>
      <c r="E6117" s="4" t="s">
        <v>241</v>
      </c>
    </row>
    <row r="6118" spans="1:5" hidden="1" x14ac:dyDescent="0.15">
      <c r="A6118" s="1" t="s">
        <v>32</v>
      </c>
      <c r="B6118" s="2">
        <v>46412</v>
      </c>
      <c r="C6118" s="3">
        <v>3.3000000000000002E-2</v>
      </c>
      <c r="D6118" s="4" t="s">
        <v>610</v>
      </c>
      <c r="E6118" s="4" t="s">
        <v>241</v>
      </c>
    </row>
    <row r="6119" spans="1:5" hidden="1" x14ac:dyDescent="0.15">
      <c r="A6119" s="1" t="s">
        <v>33</v>
      </c>
      <c r="B6119" s="2">
        <v>313994</v>
      </c>
      <c r="C6119" s="3">
        <v>0.22399999999999998</v>
      </c>
      <c r="D6119" s="4" t="s">
        <v>610</v>
      </c>
      <c r="E6119" s="4" t="s">
        <v>241</v>
      </c>
    </row>
    <row r="6120" spans="1:5" hidden="1" x14ac:dyDescent="0.15">
      <c r="A6120" s="1" t="s">
        <v>34</v>
      </c>
      <c r="B6120" s="2">
        <v>62727</v>
      </c>
      <c r="C6120" s="3">
        <v>4.4999999999999998E-2</v>
      </c>
      <c r="D6120" s="4" t="s">
        <v>610</v>
      </c>
      <c r="E6120" s="4" t="s">
        <v>241</v>
      </c>
    </row>
    <row r="6121" spans="1:5" hidden="1" x14ac:dyDescent="0.15">
      <c r="A6121" s="1" t="s">
        <v>35</v>
      </c>
      <c r="B6121" s="2">
        <v>157277</v>
      </c>
      <c r="C6121" s="3">
        <v>0.11199999999999999</v>
      </c>
      <c r="D6121" s="4" t="s">
        <v>610</v>
      </c>
      <c r="E6121" s="4" t="s">
        <v>241</v>
      </c>
    </row>
    <row r="6122" spans="1:5" ht="26" hidden="1" x14ac:dyDescent="0.15">
      <c r="A6122" s="1" t="s">
        <v>36</v>
      </c>
      <c r="B6122" s="2">
        <v>62819</v>
      </c>
      <c r="C6122" s="3">
        <v>4.4999999999999998E-2</v>
      </c>
      <c r="D6122" s="4" t="s">
        <v>610</v>
      </c>
      <c r="E6122" s="4" t="s">
        <v>241</v>
      </c>
    </row>
    <row r="6123" spans="1:5" hidden="1" x14ac:dyDescent="0.15">
      <c r="A6123" s="1" t="s">
        <v>37</v>
      </c>
      <c r="B6123" s="2">
        <v>55503</v>
      </c>
      <c r="C6123" s="3">
        <v>0.04</v>
      </c>
      <c r="D6123" s="4" t="s">
        <v>610</v>
      </c>
      <c r="E6123" s="4" t="s">
        <v>241</v>
      </c>
    </row>
    <row r="6124" spans="1:5" ht="39" hidden="1" x14ac:dyDescent="0.15">
      <c r="A6124" s="1" t="s">
        <v>38</v>
      </c>
      <c r="B6124" s="2">
        <v>25632</v>
      </c>
      <c r="C6124" s="3">
        <v>1.8000000000000002E-2</v>
      </c>
      <c r="D6124" s="4" t="s">
        <v>610</v>
      </c>
      <c r="E6124" s="4" t="s">
        <v>241</v>
      </c>
    </row>
    <row r="6125" spans="1:5" hidden="1" x14ac:dyDescent="0.15">
      <c r="A6125" s="1" t="s">
        <v>39</v>
      </c>
      <c r="B6125" s="2">
        <v>106639</v>
      </c>
      <c r="C6125" s="3">
        <v>7.5999999999999998E-2</v>
      </c>
      <c r="D6125" s="4" t="s">
        <v>610</v>
      </c>
      <c r="E6125" s="4" t="s">
        <v>241</v>
      </c>
    </row>
    <row r="6126" spans="1:5" hidden="1" x14ac:dyDescent="0.15">
      <c r="A6126" s="1" t="s">
        <v>40</v>
      </c>
      <c r="B6126" s="2">
        <v>12249</v>
      </c>
      <c r="C6126" s="3">
        <v>9.0000000000000011E-3</v>
      </c>
      <c r="D6126" s="4" t="s">
        <v>610</v>
      </c>
      <c r="E6126" s="4" t="s">
        <v>241</v>
      </c>
    </row>
    <row r="6127" spans="1:5" hidden="1" x14ac:dyDescent="0.15">
      <c r="A6127" s="1" t="s">
        <v>41</v>
      </c>
      <c r="B6127" s="2">
        <v>26426</v>
      </c>
      <c r="C6127" s="3">
        <v>1.9E-2</v>
      </c>
      <c r="D6127" s="4" t="s">
        <v>610</v>
      </c>
      <c r="E6127" s="4" t="s">
        <v>241</v>
      </c>
    </row>
    <row r="6128" spans="1:5" hidden="1" x14ac:dyDescent="0.15">
      <c r="A6128" s="1" t="s">
        <v>42</v>
      </c>
      <c r="B6128" s="2">
        <v>59524</v>
      </c>
      <c r="C6128" s="3">
        <v>4.2999999999999997E-2</v>
      </c>
      <c r="D6128" s="4" t="s">
        <v>610</v>
      </c>
      <c r="E6128" s="4" t="s">
        <v>241</v>
      </c>
    </row>
    <row r="6129" spans="1:5" hidden="1" x14ac:dyDescent="0.15">
      <c r="A6129" s="1" t="s">
        <v>43</v>
      </c>
      <c r="B6129" s="2">
        <v>176322</v>
      </c>
      <c r="C6129" s="3">
        <v>0.126</v>
      </c>
      <c r="D6129" s="4" t="s">
        <v>610</v>
      </c>
      <c r="E6129" s="4" t="s">
        <v>241</v>
      </c>
    </row>
    <row r="6130" spans="1:5" ht="26" hidden="1" x14ac:dyDescent="0.15">
      <c r="A6130" s="1" t="s">
        <v>44</v>
      </c>
      <c r="B6130" s="2">
        <v>183406</v>
      </c>
      <c r="C6130" s="3">
        <v>0.13100000000000001</v>
      </c>
      <c r="D6130" s="4" t="s">
        <v>610</v>
      </c>
      <c r="E6130" s="4" t="s">
        <v>241</v>
      </c>
    </row>
    <row r="6131" spans="1:5" hidden="1" x14ac:dyDescent="0.15">
      <c r="A6131" s="1" t="s">
        <v>45</v>
      </c>
      <c r="B6131" s="2">
        <v>246070</v>
      </c>
      <c r="C6131" s="3">
        <v>0.17600000000000002</v>
      </c>
      <c r="D6131" s="4" t="s">
        <v>610</v>
      </c>
      <c r="E6131" s="4" t="s">
        <v>241</v>
      </c>
    </row>
    <row r="6132" spans="1:5" ht="26" hidden="1" x14ac:dyDescent="0.15">
      <c r="A6132" s="1" t="s">
        <v>46</v>
      </c>
      <c r="B6132" s="2">
        <v>321123</v>
      </c>
      <c r="C6132" s="3">
        <v>0.22899999999999998</v>
      </c>
      <c r="D6132" s="4" t="s">
        <v>610</v>
      </c>
      <c r="E6132" s="4" t="s">
        <v>241</v>
      </c>
    </row>
    <row r="6133" spans="1:5" hidden="1" x14ac:dyDescent="0.15">
      <c r="A6133" s="1" t="s">
        <v>47</v>
      </c>
      <c r="B6133" s="2">
        <v>458612</v>
      </c>
      <c r="C6133" s="3">
        <v>0.32799999999999996</v>
      </c>
      <c r="D6133" s="4" t="s">
        <v>610</v>
      </c>
      <c r="E6133" s="4" t="s">
        <v>241</v>
      </c>
    </row>
    <row r="6134" spans="1:5" hidden="1" x14ac:dyDescent="0.15">
      <c r="A6134" s="1" t="s">
        <v>48</v>
      </c>
      <c r="B6134" s="2">
        <v>61723</v>
      </c>
      <c r="C6134" s="3">
        <v>4.4000000000000004E-2</v>
      </c>
      <c r="D6134" s="4" t="s">
        <v>610</v>
      </c>
      <c r="E6134" s="4" t="s">
        <v>241</v>
      </c>
    </row>
    <row r="6135" spans="1:5" hidden="1" x14ac:dyDescent="0.15">
      <c r="A6135" s="1" t="s">
        <v>49</v>
      </c>
      <c r="B6135" s="2">
        <v>184175</v>
      </c>
      <c r="C6135" s="3">
        <v>0.13200000000000001</v>
      </c>
      <c r="D6135" s="4" t="s">
        <v>610</v>
      </c>
      <c r="E6135" s="4" t="s">
        <v>241</v>
      </c>
    </row>
    <row r="6136" spans="1:5" ht="26" hidden="1" x14ac:dyDescent="0.15">
      <c r="A6136" s="1" t="s">
        <v>50</v>
      </c>
      <c r="B6136" s="2">
        <v>256523</v>
      </c>
      <c r="C6136" s="3">
        <v>0.183</v>
      </c>
      <c r="D6136" s="4" t="s">
        <v>610</v>
      </c>
      <c r="E6136" s="4" t="s">
        <v>241</v>
      </c>
    </row>
    <row r="6137" spans="1:5" hidden="1" x14ac:dyDescent="0.15">
      <c r="A6137" s="1" t="s">
        <v>51</v>
      </c>
      <c r="B6137" s="2">
        <v>400270</v>
      </c>
      <c r="C6137" s="3">
        <v>0.28600000000000003</v>
      </c>
      <c r="D6137" s="4" t="s">
        <v>610</v>
      </c>
      <c r="E6137" s="4" t="s">
        <v>241</v>
      </c>
    </row>
    <row r="6138" spans="1:5" hidden="1" x14ac:dyDescent="0.15">
      <c r="A6138" s="1" t="s">
        <v>52</v>
      </c>
      <c r="B6138" s="2">
        <v>176395</v>
      </c>
      <c r="C6138" s="3">
        <v>0.126</v>
      </c>
      <c r="D6138" s="4" t="s">
        <v>610</v>
      </c>
      <c r="E6138" s="4" t="s">
        <v>241</v>
      </c>
    </row>
    <row r="6139" spans="1:5" ht="26" hidden="1" x14ac:dyDescent="0.15">
      <c r="A6139" s="1" t="s">
        <v>53</v>
      </c>
      <c r="B6139" s="2">
        <v>129158</v>
      </c>
      <c r="C6139" s="3">
        <v>9.1999999999999998E-2</v>
      </c>
      <c r="D6139" s="4" t="s">
        <v>610</v>
      </c>
      <c r="E6139" s="4" t="s">
        <v>241</v>
      </c>
    </row>
    <row r="6140" spans="1:5" hidden="1" x14ac:dyDescent="0.15">
      <c r="A6140" s="1" t="s">
        <v>54</v>
      </c>
      <c r="B6140" s="2">
        <v>450444</v>
      </c>
      <c r="C6140" s="3">
        <v>0.32200000000000001</v>
      </c>
      <c r="D6140" s="4" t="s">
        <v>610</v>
      </c>
      <c r="E6140" s="4" t="s">
        <v>241</v>
      </c>
    </row>
    <row r="6141" spans="1:5" ht="26" hidden="1" x14ac:dyDescent="0.15">
      <c r="A6141" s="1" t="s">
        <v>55</v>
      </c>
      <c r="B6141" s="2">
        <v>352888</v>
      </c>
      <c r="C6141" s="3">
        <v>0.252</v>
      </c>
      <c r="D6141" s="4" t="s">
        <v>610</v>
      </c>
      <c r="E6141" s="4" t="s">
        <v>241</v>
      </c>
    </row>
    <row r="6142" spans="1:5" hidden="1" x14ac:dyDescent="0.15">
      <c r="A6142" s="1" t="s">
        <v>56</v>
      </c>
      <c r="B6142" s="2">
        <v>275525</v>
      </c>
      <c r="C6142" s="3">
        <v>0.19699999999999998</v>
      </c>
      <c r="D6142" s="4" t="s">
        <v>610</v>
      </c>
      <c r="E6142" s="4" t="s">
        <v>241</v>
      </c>
    </row>
    <row r="6143" spans="1:5" hidden="1" x14ac:dyDescent="0.15">
      <c r="A6143" s="1" t="s">
        <v>57</v>
      </c>
      <c r="B6143" s="2">
        <v>251424</v>
      </c>
      <c r="C6143" s="3">
        <v>0.18</v>
      </c>
      <c r="D6143" s="4" t="s">
        <v>610</v>
      </c>
      <c r="E6143" s="4" t="s">
        <v>241</v>
      </c>
    </row>
    <row r="6144" spans="1:5" hidden="1" x14ac:dyDescent="0.15">
      <c r="A6144" s="1" t="s">
        <v>58</v>
      </c>
      <c r="B6144" s="2">
        <v>129237</v>
      </c>
      <c r="C6144" s="3">
        <v>9.1999999999999998E-2</v>
      </c>
      <c r="D6144" s="4" t="s">
        <v>610</v>
      </c>
      <c r="E6144" s="4" t="s">
        <v>241</v>
      </c>
    </row>
    <row r="6145" spans="1:5" hidden="1" x14ac:dyDescent="0.15">
      <c r="A6145" s="1" t="s">
        <v>59</v>
      </c>
      <c r="B6145" s="2">
        <v>540208</v>
      </c>
      <c r="C6145" s="3">
        <v>0.38600000000000001</v>
      </c>
      <c r="D6145" s="4" t="s">
        <v>610</v>
      </c>
      <c r="E6145" s="4" t="s">
        <v>241</v>
      </c>
    </row>
    <row r="6146" spans="1:5" hidden="1" x14ac:dyDescent="0.15">
      <c r="A6146" s="1" t="s">
        <v>60</v>
      </c>
      <c r="B6146" s="2">
        <v>252273</v>
      </c>
      <c r="C6146" s="3">
        <v>0.18</v>
      </c>
      <c r="D6146" s="4" t="s">
        <v>610</v>
      </c>
      <c r="E6146" s="4" t="s">
        <v>241</v>
      </c>
    </row>
    <row r="6147" spans="1:5" ht="26" hidden="1" x14ac:dyDescent="0.15">
      <c r="A6147" s="1" t="s">
        <v>61</v>
      </c>
      <c r="B6147" s="2">
        <v>185970</v>
      </c>
      <c r="C6147" s="3">
        <v>0.13300000000000001</v>
      </c>
      <c r="D6147" s="4" t="s">
        <v>610</v>
      </c>
      <c r="E6147" s="4" t="s">
        <v>241</v>
      </c>
    </row>
    <row r="6148" spans="1:5" hidden="1" x14ac:dyDescent="0.15">
      <c r="A6148" s="1" t="s">
        <v>62</v>
      </c>
      <c r="B6148" s="2">
        <v>315006</v>
      </c>
      <c r="C6148" s="3">
        <v>0.22500000000000001</v>
      </c>
      <c r="D6148" s="4" t="s">
        <v>610</v>
      </c>
      <c r="E6148" s="4" t="s">
        <v>241</v>
      </c>
    </row>
    <row r="6149" spans="1:5" ht="26" hidden="1" x14ac:dyDescent="0.15">
      <c r="A6149" s="1" t="s">
        <v>63</v>
      </c>
      <c r="B6149" s="2">
        <v>216067</v>
      </c>
      <c r="C6149" s="3">
        <v>0.154</v>
      </c>
      <c r="D6149" s="4" t="s">
        <v>610</v>
      </c>
      <c r="E6149" s="4" t="s">
        <v>241</v>
      </c>
    </row>
    <row r="6150" spans="1:5" ht="26" hidden="1" x14ac:dyDescent="0.15">
      <c r="A6150" s="1" t="s">
        <v>64</v>
      </c>
      <c r="B6150" s="2">
        <v>52355</v>
      </c>
      <c r="C6150" s="3">
        <v>3.7000000000000005E-2</v>
      </c>
      <c r="D6150" s="4" t="s">
        <v>610</v>
      </c>
      <c r="E6150" s="4" t="s">
        <v>241</v>
      </c>
    </row>
    <row r="6151" spans="1:5" hidden="1" x14ac:dyDescent="0.15">
      <c r="A6151" s="1" t="s">
        <v>65</v>
      </c>
      <c r="B6151" s="2">
        <v>315218</v>
      </c>
      <c r="C6151" s="3">
        <v>0.22500000000000001</v>
      </c>
      <c r="D6151" s="4" t="s">
        <v>610</v>
      </c>
      <c r="E6151" s="4" t="s">
        <v>241</v>
      </c>
    </row>
    <row r="6152" spans="1:5" hidden="1" x14ac:dyDescent="0.15">
      <c r="A6152" s="1" t="s">
        <v>66</v>
      </c>
      <c r="B6152" s="2">
        <v>161553</v>
      </c>
      <c r="C6152" s="3">
        <v>0.115</v>
      </c>
      <c r="D6152" s="4" t="s">
        <v>610</v>
      </c>
      <c r="E6152" s="4" t="s">
        <v>241</v>
      </c>
    </row>
    <row r="6153" spans="1:5" hidden="1" x14ac:dyDescent="0.15">
      <c r="A6153" s="1" t="s">
        <v>67</v>
      </c>
      <c r="B6153" s="2">
        <v>385730</v>
      </c>
      <c r="C6153" s="3">
        <v>0.27600000000000002</v>
      </c>
      <c r="D6153" s="4" t="s">
        <v>610</v>
      </c>
      <c r="E6153" s="4" t="s">
        <v>241</v>
      </c>
    </row>
    <row r="6154" spans="1:5" hidden="1" x14ac:dyDescent="0.15">
      <c r="A6154" s="1" t="s">
        <v>68</v>
      </c>
      <c r="B6154" s="2">
        <v>467445</v>
      </c>
      <c r="C6154" s="3">
        <v>0.33399999999999996</v>
      </c>
      <c r="D6154" s="4" t="s">
        <v>610</v>
      </c>
      <c r="E6154" s="4" t="s">
        <v>241</v>
      </c>
    </row>
    <row r="6155" spans="1:5" hidden="1" x14ac:dyDescent="0.15">
      <c r="A6155" s="1" t="s">
        <v>69</v>
      </c>
      <c r="B6155" s="2">
        <v>842443</v>
      </c>
      <c r="C6155" s="3">
        <v>0.60199999999999998</v>
      </c>
      <c r="D6155" s="4" t="s">
        <v>610</v>
      </c>
      <c r="E6155" s="4" t="s">
        <v>241</v>
      </c>
    </row>
    <row r="6156" spans="1:5" hidden="1" x14ac:dyDescent="0.15">
      <c r="A6156" s="1" t="s">
        <v>70</v>
      </c>
      <c r="B6156" s="2">
        <v>162782</v>
      </c>
      <c r="C6156" s="3">
        <v>0.11599999999999999</v>
      </c>
      <c r="D6156" s="4" t="s">
        <v>610</v>
      </c>
      <c r="E6156" s="4" t="s">
        <v>241</v>
      </c>
    </row>
    <row r="6157" spans="1:5" ht="26" hidden="1" x14ac:dyDescent="0.15">
      <c r="A6157" s="1" t="s">
        <v>71</v>
      </c>
      <c r="B6157" s="2">
        <v>93023</v>
      </c>
      <c r="C6157" s="3">
        <v>6.6000000000000003E-2</v>
      </c>
      <c r="D6157" s="4" t="s">
        <v>610</v>
      </c>
      <c r="E6157" s="4" t="s">
        <v>241</v>
      </c>
    </row>
    <row r="6158" spans="1:5" hidden="1" x14ac:dyDescent="0.15">
      <c r="A6158" s="1" t="s">
        <v>72</v>
      </c>
      <c r="B6158" s="2">
        <v>193680</v>
      </c>
      <c r="C6158" s="3">
        <v>0.13800000000000001</v>
      </c>
      <c r="D6158" s="4" t="s">
        <v>610</v>
      </c>
      <c r="E6158" s="4" t="s">
        <v>241</v>
      </c>
    </row>
    <row r="6159" spans="1:5" hidden="1" x14ac:dyDescent="0.15">
      <c r="A6159" s="1" t="s">
        <v>73</v>
      </c>
      <c r="B6159" s="2">
        <v>715022</v>
      </c>
      <c r="C6159" s="3">
        <v>0.51100000000000001</v>
      </c>
      <c r="D6159" s="4" t="s">
        <v>610</v>
      </c>
      <c r="E6159" s="4" t="s">
        <v>241</v>
      </c>
    </row>
    <row r="6160" spans="1:5" hidden="1" x14ac:dyDescent="0.15">
      <c r="A6160" s="1" t="s">
        <v>74</v>
      </c>
      <c r="B6160" s="2">
        <v>257469</v>
      </c>
      <c r="C6160" s="3">
        <v>0.184</v>
      </c>
      <c r="D6160" s="4" t="s">
        <v>610</v>
      </c>
      <c r="E6160" s="4" t="s">
        <v>241</v>
      </c>
    </row>
    <row r="6161" spans="1:5" hidden="1" x14ac:dyDescent="0.15">
      <c r="A6161" s="1" t="s">
        <v>75</v>
      </c>
      <c r="B6161" s="2">
        <v>394392</v>
      </c>
      <c r="C6161" s="3">
        <v>0.28199999999999997</v>
      </c>
      <c r="D6161" s="4" t="s">
        <v>610</v>
      </c>
      <c r="E6161" s="4" t="s">
        <v>241</v>
      </c>
    </row>
    <row r="6162" spans="1:5" hidden="1" x14ac:dyDescent="0.15">
      <c r="A6162" s="1" t="s">
        <v>76</v>
      </c>
      <c r="B6162" s="2">
        <v>297344</v>
      </c>
      <c r="C6162" s="3">
        <v>0.21299999999999999</v>
      </c>
      <c r="D6162" s="4" t="s">
        <v>610</v>
      </c>
      <c r="E6162" s="4" t="s">
        <v>241</v>
      </c>
    </row>
    <row r="6163" spans="1:5" hidden="1" x14ac:dyDescent="0.15">
      <c r="A6163" s="1" t="s">
        <v>77</v>
      </c>
      <c r="B6163" s="2">
        <v>269613</v>
      </c>
      <c r="C6163" s="3">
        <v>0.193</v>
      </c>
      <c r="D6163" s="4" t="s">
        <v>610</v>
      </c>
      <c r="E6163" s="4" t="s">
        <v>241</v>
      </c>
    </row>
    <row r="6164" spans="1:5" ht="26" hidden="1" x14ac:dyDescent="0.15">
      <c r="A6164" s="1" t="s">
        <v>78</v>
      </c>
      <c r="B6164" s="2">
        <v>234523</v>
      </c>
      <c r="C6164" s="3">
        <v>0.16800000000000001</v>
      </c>
      <c r="D6164" s="4" t="s">
        <v>610</v>
      </c>
      <c r="E6164" s="4" t="s">
        <v>241</v>
      </c>
    </row>
    <row r="6165" spans="1:5" hidden="1" x14ac:dyDescent="0.15">
      <c r="A6165" s="1" t="s">
        <v>79</v>
      </c>
      <c r="B6165" s="2">
        <v>293365</v>
      </c>
      <c r="C6165" s="3">
        <v>0.21</v>
      </c>
      <c r="D6165" s="4" t="s">
        <v>610</v>
      </c>
      <c r="E6165" s="4" t="s">
        <v>241</v>
      </c>
    </row>
    <row r="6166" spans="1:5" hidden="1" x14ac:dyDescent="0.15">
      <c r="A6166" s="1" t="s">
        <v>80</v>
      </c>
      <c r="B6166" s="2">
        <v>185151</v>
      </c>
      <c r="C6166" s="3">
        <v>0.13200000000000001</v>
      </c>
      <c r="D6166" s="4" t="s">
        <v>610</v>
      </c>
      <c r="E6166" s="4" t="s">
        <v>241</v>
      </c>
    </row>
    <row r="6167" spans="1:5" ht="26" hidden="1" x14ac:dyDescent="0.15">
      <c r="A6167" s="1" t="s">
        <v>81</v>
      </c>
      <c r="B6167" s="2">
        <v>205524</v>
      </c>
      <c r="C6167" s="3">
        <v>0.14699999999999999</v>
      </c>
      <c r="D6167" s="4" t="s">
        <v>610</v>
      </c>
      <c r="E6167" s="4" t="s">
        <v>241</v>
      </c>
    </row>
    <row r="6168" spans="1:5" hidden="1" x14ac:dyDescent="0.15">
      <c r="A6168" s="1" t="s">
        <v>82</v>
      </c>
      <c r="B6168" s="2">
        <v>238085</v>
      </c>
      <c r="C6168" s="3">
        <v>0.17</v>
      </c>
      <c r="D6168" s="4" t="s">
        <v>610</v>
      </c>
      <c r="E6168" s="4" t="s">
        <v>241</v>
      </c>
    </row>
    <row r="6169" spans="1:5" hidden="1" x14ac:dyDescent="0.15">
      <c r="A6169" s="4"/>
      <c r="B6169" s="4"/>
      <c r="C6169" s="4"/>
      <c r="D6169" s="4" t="s">
        <v>610</v>
      </c>
      <c r="E6169" s="4" t="s">
        <v>241</v>
      </c>
    </row>
    <row r="6170" spans="1:5" hidden="1" x14ac:dyDescent="0.15">
      <c r="A6170" s="4"/>
      <c r="B6170" s="4"/>
      <c r="C6170" s="4"/>
      <c r="D6170" s="4" t="s">
        <v>610</v>
      </c>
      <c r="E6170" s="4" t="s">
        <v>241</v>
      </c>
    </row>
    <row r="6171" spans="1:5" hidden="1" x14ac:dyDescent="0.15">
      <c r="A6171" s="4"/>
      <c r="B6171" s="4"/>
      <c r="C6171" s="4"/>
      <c r="D6171" s="4" t="s">
        <v>610</v>
      </c>
      <c r="E6171" s="4" t="s">
        <v>241</v>
      </c>
    </row>
    <row r="6172" spans="1:5" hidden="1" x14ac:dyDescent="0.15">
      <c r="A6172" s="4"/>
      <c r="B6172" s="4"/>
      <c r="C6172" s="4"/>
      <c r="D6172" s="4" t="s">
        <v>610</v>
      </c>
      <c r="E6172" s="4" t="s">
        <v>241</v>
      </c>
    </row>
    <row r="6173" spans="1:5" ht="26" hidden="1" x14ac:dyDescent="0.15">
      <c r="A6173" s="1" t="s">
        <v>243</v>
      </c>
      <c r="B6173" s="2">
        <v>175934</v>
      </c>
      <c r="C6173" s="3">
        <v>0.126</v>
      </c>
      <c r="D6173" s="4" t="s">
        <v>610</v>
      </c>
      <c r="E6173" s="4" t="s">
        <v>241</v>
      </c>
    </row>
    <row r="6174" spans="1:5" ht="26" hidden="1" x14ac:dyDescent="0.15">
      <c r="A6174" s="1" t="s">
        <v>242</v>
      </c>
      <c r="B6174" s="2">
        <v>365755</v>
      </c>
      <c r="C6174" s="3">
        <v>0.26100000000000001</v>
      </c>
      <c r="D6174" s="4" t="s">
        <v>610</v>
      </c>
      <c r="E6174" s="4" t="s">
        <v>241</v>
      </c>
    </row>
    <row r="6175" spans="1:5" ht="26" hidden="1" x14ac:dyDescent="0.15">
      <c r="A6175" s="1" t="s">
        <v>259</v>
      </c>
      <c r="B6175" s="2">
        <v>112731</v>
      </c>
      <c r="C6175" s="3">
        <v>8.1000000000000003E-2</v>
      </c>
      <c r="D6175" s="4" t="s">
        <v>610</v>
      </c>
      <c r="E6175" s="4" t="s">
        <v>241</v>
      </c>
    </row>
    <row r="6176" spans="1:5" ht="26" hidden="1" x14ac:dyDescent="0.15">
      <c r="A6176" s="1" t="s">
        <v>260</v>
      </c>
      <c r="B6176" s="2">
        <v>174436</v>
      </c>
      <c r="C6176" s="3">
        <v>0.125</v>
      </c>
      <c r="D6176" s="4" t="s">
        <v>610</v>
      </c>
      <c r="E6176" s="4" t="s">
        <v>241</v>
      </c>
    </row>
    <row r="6177" spans="1:5" ht="26" hidden="1" x14ac:dyDescent="0.15">
      <c r="A6177" s="1" t="s">
        <v>263</v>
      </c>
      <c r="B6177" s="2">
        <v>113772</v>
      </c>
      <c r="C6177" s="3">
        <v>8.1000000000000003E-2</v>
      </c>
      <c r="D6177" s="4" t="s">
        <v>610</v>
      </c>
      <c r="E6177" s="4" t="s">
        <v>241</v>
      </c>
    </row>
    <row r="6178" spans="1:5" ht="26" hidden="1" x14ac:dyDescent="0.15">
      <c r="A6178" s="1" t="s">
        <v>264</v>
      </c>
      <c r="B6178" s="2">
        <v>284614</v>
      </c>
      <c r="C6178" s="3">
        <v>0.20300000000000001</v>
      </c>
      <c r="D6178" s="4" t="s">
        <v>610</v>
      </c>
      <c r="E6178" s="4" t="s">
        <v>241</v>
      </c>
    </row>
    <row r="6179" spans="1:5" hidden="1" x14ac:dyDescent="0.15">
      <c r="A6179" s="1" t="s">
        <v>245</v>
      </c>
      <c r="B6179" s="2">
        <v>88098</v>
      </c>
      <c r="C6179" s="3">
        <v>6.3E-2</v>
      </c>
      <c r="D6179" s="4" t="s">
        <v>610</v>
      </c>
      <c r="E6179" s="4" t="s">
        <v>241</v>
      </c>
    </row>
    <row r="6180" spans="1:5" hidden="1" x14ac:dyDescent="0.15">
      <c r="A6180" s="1" t="s">
        <v>246</v>
      </c>
      <c r="B6180" s="2">
        <v>386038</v>
      </c>
      <c r="C6180" s="3">
        <v>0.27600000000000002</v>
      </c>
      <c r="D6180" s="4" t="s">
        <v>610</v>
      </c>
      <c r="E6180" s="4" t="s">
        <v>241</v>
      </c>
    </row>
    <row r="6181" spans="1:5" ht="26" hidden="1" x14ac:dyDescent="0.15">
      <c r="A6181" s="1" t="s">
        <v>247</v>
      </c>
      <c r="B6181" s="2">
        <v>542647</v>
      </c>
      <c r="C6181" s="3">
        <v>0.38799999999999996</v>
      </c>
      <c r="D6181" s="4" t="s">
        <v>610</v>
      </c>
      <c r="E6181" s="4" t="s">
        <v>241</v>
      </c>
    </row>
    <row r="6182" spans="1:5" ht="26" hidden="1" x14ac:dyDescent="0.15">
      <c r="A6182" s="1" t="s">
        <v>267</v>
      </c>
      <c r="B6182" s="2">
        <v>60436</v>
      </c>
      <c r="C6182" s="3">
        <v>4.2999999999999997E-2</v>
      </c>
      <c r="D6182" s="4" t="s">
        <v>610</v>
      </c>
      <c r="E6182" s="4" t="s">
        <v>241</v>
      </c>
    </row>
    <row r="6183" spans="1:5" ht="26" hidden="1" x14ac:dyDescent="0.15">
      <c r="A6183" s="1" t="s">
        <v>248</v>
      </c>
      <c r="B6183" s="2">
        <v>65196</v>
      </c>
      <c r="C6183" s="3">
        <v>4.7E-2</v>
      </c>
      <c r="D6183" s="4" t="s">
        <v>610</v>
      </c>
      <c r="E6183" s="4" t="s">
        <v>241</v>
      </c>
    </row>
    <row r="6184" spans="1:5" ht="26" hidden="1" x14ac:dyDescent="0.15">
      <c r="A6184" s="1" t="s">
        <v>611</v>
      </c>
      <c r="B6184" s="2">
        <v>228087</v>
      </c>
      <c r="C6184" s="3">
        <v>0.16300000000000001</v>
      </c>
      <c r="D6184" s="4" t="s">
        <v>610</v>
      </c>
      <c r="E6184" s="4" t="s">
        <v>241</v>
      </c>
    </row>
    <row r="6185" spans="1:5" ht="39" hidden="1" x14ac:dyDescent="0.15">
      <c r="A6185" s="1" t="s">
        <v>612</v>
      </c>
      <c r="B6185" s="2">
        <v>228481</v>
      </c>
      <c r="C6185" s="3">
        <v>0.16300000000000001</v>
      </c>
      <c r="D6185" s="4" t="s">
        <v>610</v>
      </c>
      <c r="E6185" s="4" t="s">
        <v>241</v>
      </c>
    </row>
    <row r="6186" spans="1:5" ht="26" hidden="1" x14ac:dyDescent="0.15">
      <c r="A6186" s="1" t="s">
        <v>613</v>
      </c>
      <c r="B6186" s="2">
        <v>365798</v>
      </c>
      <c r="C6186" s="3">
        <v>0.26100000000000001</v>
      </c>
      <c r="D6186" s="4" t="s">
        <v>610</v>
      </c>
      <c r="E6186" s="4" t="s">
        <v>241</v>
      </c>
    </row>
    <row r="6187" spans="1:5" ht="39" hidden="1" x14ac:dyDescent="0.15">
      <c r="A6187" s="1" t="s">
        <v>614</v>
      </c>
      <c r="B6187" s="2">
        <v>92647</v>
      </c>
      <c r="C6187" s="3">
        <v>6.6000000000000003E-2</v>
      </c>
      <c r="D6187" s="4" t="s">
        <v>610</v>
      </c>
      <c r="E6187" s="4" t="s">
        <v>241</v>
      </c>
    </row>
    <row r="6188" spans="1:5" hidden="1" x14ac:dyDescent="0.15">
      <c r="A6188" s="1" t="s">
        <v>0</v>
      </c>
      <c r="B6188" s="2">
        <v>984978</v>
      </c>
      <c r="C6188" s="3">
        <v>1</v>
      </c>
      <c r="D6188" s="4" t="s">
        <v>615</v>
      </c>
      <c r="E6188" s="4" t="s">
        <v>106</v>
      </c>
    </row>
    <row r="6189" spans="1:5" ht="26" hidden="1" x14ac:dyDescent="0.15">
      <c r="A6189" s="1" t="s">
        <v>3</v>
      </c>
      <c r="B6189" s="2">
        <v>15023</v>
      </c>
      <c r="C6189" s="3">
        <v>1.4999999999999999E-2</v>
      </c>
      <c r="D6189" s="4" t="s">
        <v>615</v>
      </c>
      <c r="E6189" s="4" t="s">
        <v>106</v>
      </c>
    </row>
    <row r="6190" spans="1:5" hidden="1" x14ac:dyDescent="0.15">
      <c r="A6190" s="1" t="s">
        <v>4</v>
      </c>
      <c r="B6190" s="2">
        <v>10346</v>
      </c>
      <c r="C6190" s="3">
        <v>1.1000000000000001E-2</v>
      </c>
      <c r="D6190" s="4" t="s">
        <v>615</v>
      </c>
      <c r="E6190" s="4" t="s">
        <v>106</v>
      </c>
    </row>
    <row r="6191" spans="1:5" ht="26" hidden="1" x14ac:dyDescent="0.15">
      <c r="A6191" s="1" t="s">
        <v>5</v>
      </c>
      <c r="B6191" s="2">
        <v>12854</v>
      </c>
      <c r="C6191" s="3">
        <v>1.3000000000000001E-2</v>
      </c>
      <c r="D6191" s="4" t="s">
        <v>615</v>
      </c>
      <c r="E6191" s="4" t="s">
        <v>106</v>
      </c>
    </row>
    <row r="6192" spans="1:5" ht="26" hidden="1" x14ac:dyDescent="0.15">
      <c r="A6192" s="1" t="s">
        <v>6</v>
      </c>
      <c r="B6192" s="2">
        <v>90760</v>
      </c>
      <c r="C6192" s="3">
        <v>9.1999999999999998E-2</v>
      </c>
      <c r="D6192" s="4" t="s">
        <v>615</v>
      </c>
      <c r="E6192" s="4" t="s">
        <v>106</v>
      </c>
    </row>
    <row r="6193" spans="1:5" ht="26" hidden="1" x14ac:dyDescent="0.15">
      <c r="A6193" s="1" t="s">
        <v>7</v>
      </c>
      <c r="B6193" s="2">
        <v>193983</v>
      </c>
      <c r="C6193" s="3">
        <v>0.19699999999999998</v>
      </c>
      <c r="D6193" s="4" t="s">
        <v>615</v>
      </c>
      <c r="E6193" s="4" t="s">
        <v>106</v>
      </c>
    </row>
    <row r="6194" spans="1:5" ht="26" hidden="1" x14ac:dyDescent="0.15">
      <c r="A6194" s="1" t="s">
        <v>8</v>
      </c>
      <c r="B6194" s="2">
        <v>9810</v>
      </c>
      <c r="C6194" s="3">
        <v>0.01</v>
      </c>
      <c r="D6194" s="4" t="s">
        <v>615</v>
      </c>
      <c r="E6194" s="4" t="s">
        <v>106</v>
      </c>
    </row>
    <row r="6195" spans="1:5" ht="26" hidden="1" x14ac:dyDescent="0.15">
      <c r="A6195" s="1" t="s">
        <v>9</v>
      </c>
      <c r="B6195" s="2">
        <v>24033</v>
      </c>
      <c r="C6195" s="3">
        <v>2.4E-2</v>
      </c>
      <c r="D6195" s="4" t="s">
        <v>615</v>
      </c>
      <c r="E6195" s="4" t="s">
        <v>106</v>
      </c>
    </row>
    <row r="6196" spans="1:5" ht="26" hidden="1" x14ac:dyDescent="0.15">
      <c r="A6196" s="1" t="s">
        <v>10</v>
      </c>
      <c r="B6196" s="2">
        <v>17906</v>
      </c>
      <c r="C6196" s="3">
        <v>1.8000000000000002E-2</v>
      </c>
      <c r="D6196" s="4" t="s">
        <v>615</v>
      </c>
      <c r="E6196" s="4" t="s">
        <v>106</v>
      </c>
    </row>
    <row r="6197" spans="1:5" ht="26" hidden="1" x14ac:dyDescent="0.15">
      <c r="A6197" s="1" t="s">
        <v>11</v>
      </c>
      <c r="B6197" s="2">
        <v>59981</v>
      </c>
      <c r="C6197" s="3">
        <v>6.0999999999999999E-2</v>
      </c>
      <c r="D6197" s="4" t="s">
        <v>615</v>
      </c>
      <c r="E6197" s="4" t="s">
        <v>106</v>
      </c>
    </row>
    <row r="6198" spans="1:5" ht="26" hidden="1" x14ac:dyDescent="0.15">
      <c r="A6198" s="1" t="s">
        <v>12</v>
      </c>
      <c r="B6198" s="2">
        <v>21269</v>
      </c>
      <c r="C6198" s="3">
        <v>2.2000000000000002E-2</v>
      </c>
      <c r="D6198" s="4" t="s">
        <v>615</v>
      </c>
      <c r="E6198" s="4" t="s">
        <v>106</v>
      </c>
    </row>
    <row r="6199" spans="1:5" ht="26" hidden="1" x14ac:dyDescent="0.15">
      <c r="A6199" s="1" t="s">
        <v>13</v>
      </c>
      <c r="B6199" s="2">
        <v>13470</v>
      </c>
      <c r="C6199" s="3">
        <v>1.3999999999999999E-2</v>
      </c>
      <c r="D6199" s="4" t="s">
        <v>615</v>
      </c>
      <c r="E6199" s="4" t="s">
        <v>106</v>
      </c>
    </row>
    <row r="6200" spans="1:5" hidden="1" x14ac:dyDescent="0.15">
      <c r="A6200" s="1" t="s">
        <v>14</v>
      </c>
      <c r="B6200" s="2">
        <v>66377</v>
      </c>
      <c r="C6200" s="3">
        <v>6.7000000000000004E-2</v>
      </c>
      <c r="D6200" s="4" t="s">
        <v>615</v>
      </c>
      <c r="E6200" s="4" t="s">
        <v>106</v>
      </c>
    </row>
    <row r="6201" spans="1:5" ht="26" hidden="1" x14ac:dyDescent="0.15">
      <c r="A6201" s="1" t="s">
        <v>15</v>
      </c>
      <c r="B6201" s="2">
        <v>21719</v>
      </c>
      <c r="C6201" s="3">
        <v>2.2000000000000002E-2</v>
      </c>
      <c r="D6201" s="4" t="s">
        <v>615</v>
      </c>
      <c r="E6201" s="4" t="s">
        <v>106</v>
      </c>
    </row>
    <row r="6202" spans="1:5" ht="26" hidden="1" x14ac:dyDescent="0.15">
      <c r="A6202" s="1" t="s">
        <v>16</v>
      </c>
      <c r="B6202" s="2">
        <v>46569</v>
      </c>
      <c r="C6202" s="3">
        <v>4.7E-2</v>
      </c>
      <c r="D6202" s="4" t="s">
        <v>615</v>
      </c>
      <c r="E6202" s="4" t="s">
        <v>106</v>
      </c>
    </row>
    <row r="6203" spans="1:5" ht="26" hidden="1" x14ac:dyDescent="0.15">
      <c r="A6203" s="1" t="s">
        <v>17</v>
      </c>
      <c r="B6203" s="2">
        <v>31416</v>
      </c>
      <c r="C6203" s="3">
        <v>3.2000000000000001E-2</v>
      </c>
      <c r="D6203" s="4" t="s">
        <v>615</v>
      </c>
      <c r="E6203" s="4" t="s">
        <v>106</v>
      </c>
    </row>
    <row r="6204" spans="1:5" hidden="1" x14ac:dyDescent="0.15">
      <c r="A6204" s="1" t="s">
        <v>18</v>
      </c>
      <c r="B6204" s="2">
        <v>28242</v>
      </c>
      <c r="C6204" s="3">
        <v>2.8999999999999998E-2</v>
      </c>
      <c r="D6204" s="4" t="s">
        <v>615</v>
      </c>
      <c r="E6204" s="4" t="s">
        <v>106</v>
      </c>
    </row>
    <row r="6205" spans="1:5" hidden="1" x14ac:dyDescent="0.15">
      <c r="A6205" s="1" t="s">
        <v>19</v>
      </c>
      <c r="B6205" s="2">
        <v>123566</v>
      </c>
      <c r="C6205" s="3">
        <v>0.125</v>
      </c>
      <c r="D6205" s="4" t="s">
        <v>615</v>
      </c>
      <c r="E6205" s="4" t="s">
        <v>106</v>
      </c>
    </row>
    <row r="6206" spans="1:5" hidden="1" x14ac:dyDescent="0.15">
      <c r="A6206" s="1" t="s">
        <v>20</v>
      </c>
      <c r="B6206" s="2">
        <v>17834</v>
      </c>
      <c r="C6206" s="3">
        <v>1.8000000000000002E-2</v>
      </c>
      <c r="D6206" s="4" t="s">
        <v>615</v>
      </c>
      <c r="E6206" s="4" t="s">
        <v>106</v>
      </c>
    </row>
    <row r="6207" spans="1:5" ht="26" hidden="1" x14ac:dyDescent="0.15">
      <c r="A6207" s="1" t="s">
        <v>21</v>
      </c>
      <c r="B6207" s="2">
        <v>42390</v>
      </c>
      <c r="C6207" s="3">
        <v>4.2999999999999997E-2</v>
      </c>
      <c r="D6207" s="4" t="s">
        <v>615</v>
      </c>
      <c r="E6207" s="4" t="s">
        <v>106</v>
      </c>
    </row>
    <row r="6208" spans="1:5" ht="26" hidden="1" x14ac:dyDescent="0.15">
      <c r="A6208" s="1" t="s">
        <v>22</v>
      </c>
      <c r="B6208" s="2">
        <v>17360</v>
      </c>
      <c r="C6208" s="3">
        <v>1.8000000000000002E-2</v>
      </c>
      <c r="D6208" s="4" t="s">
        <v>615</v>
      </c>
      <c r="E6208" s="4" t="s">
        <v>106</v>
      </c>
    </row>
    <row r="6209" spans="1:5" ht="26" hidden="1" x14ac:dyDescent="0.15">
      <c r="A6209" s="1" t="s">
        <v>23</v>
      </c>
      <c r="B6209" s="2">
        <v>18698</v>
      </c>
      <c r="C6209" s="3">
        <v>1.9E-2</v>
      </c>
      <c r="D6209" s="4" t="s">
        <v>615</v>
      </c>
      <c r="E6209" s="4" t="s">
        <v>106</v>
      </c>
    </row>
    <row r="6210" spans="1:5" ht="26" hidden="1" x14ac:dyDescent="0.15">
      <c r="A6210" s="1" t="s">
        <v>24</v>
      </c>
      <c r="B6210" s="2">
        <v>12239</v>
      </c>
      <c r="C6210" s="3">
        <v>1.2E-2</v>
      </c>
      <c r="D6210" s="4" t="s">
        <v>615</v>
      </c>
      <c r="E6210" s="4" t="s">
        <v>106</v>
      </c>
    </row>
    <row r="6211" spans="1:5" ht="26" hidden="1" x14ac:dyDescent="0.15">
      <c r="A6211" s="1" t="s">
        <v>25</v>
      </c>
      <c r="B6211" s="2">
        <v>27995</v>
      </c>
      <c r="C6211" s="3">
        <v>2.7999999999999997E-2</v>
      </c>
      <c r="D6211" s="4" t="s">
        <v>615</v>
      </c>
      <c r="E6211" s="4" t="s">
        <v>106</v>
      </c>
    </row>
    <row r="6212" spans="1:5" hidden="1" x14ac:dyDescent="0.15">
      <c r="A6212" s="1" t="s">
        <v>26</v>
      </c>
      <c r="B6212" s="2">
        <v>16156</v>
      </c>
      <c r="C6212" s="3">
        <v>1.6E-2</v>
      </c>
      <c r="D6212" s="4" t="s">
        <v>615</v>
      </c>
      <c r="E6212" s="4" t="s">
        <v>106</v>
      </c>
    </row>
    <row r="6213" spans="1:5" hidden="1" x14ac:dyDescent="0.15">
      <c r="A6213" s="1" t="s">
        <v>27</v>
      </c>
      <c r="B6213" s="2">
        <v>104305</v>
      </c>
      <c r="C6213" s="3">
        <v>0.106</v>
      </c>
      <c r="D6213" s="4" t="s">
        <v>615</v>
      </c>
      <c r="E6213" s="4" t="s">
        <v>106</v>
      </c>
    </row>
    <row r="6214" spans="1:5" hidden="1" x14ac:dyDescent="0.15">
      <c r="A6214" s="1" t="s">
        <v>28</v>
      </c>
      <c r="B6214" s="2">
        <v>64998</v>
      </c>
      <c r="C6214" s="3">
        <v>6.6000000000000003E-2</v>
      </c>
      <c r="D6214" s="4" t="s">
        <v>615</v>
      </c>
      <c r="E6214" s="4" t="s">
        <v>106</v>
      </c>
    </row>
    <row r="6215" spans="1:5" hidden="1" x14ac:dyDescent="0.15">
      <c r="A6215" s="1" t="s">
        <v>29</v>
      </c>
      <c r="B6215" s="2">
        <v>257367</v>
      </c>
      <c r="C6215" s="3">
        <v>0.26100000000000001</v>
      </c>
      <c r="D6215" s="4" t="s">
        <v>615</v>
      </c>
      <c r="E6215" s="4" t="s">
        <v>106</v>
      </c>
    </row>
    <row r="6216" spans="1:5" hidden="1" x14ac:dyDescent="0.15">
      <c r="A6216" s="1" t="s">
        <v>30</v>
      </c>
      <c r="B6216" s="2">
        <v>62038</v>
      </c>
      <c r="C6216" s="3">
        <v>6.3E-2</v>
      </c>
      <c r="D6216" s="4" t="s">
        <v>615</v>
      </c>
      <c r="E6216" s="4" t="s">
        <v>106</v>
      </c>
    </row>
    <row r="6217" spans="1:5" ht="39" hidden="1" x14ac:dyDescent="0.15">
      <c r="A6217" s="1" t="s">
        <v>31</v>
      </c>
      <c r="B6217" s="2">
        <v>1975</v>
      </c>
      <c r="C6217" s="3">
        <v>2E-3</v>
      </c>
      <c r="D6217" s="4" t="s">
        <v>615</v>
      </c>
      <c r="E6217" s="4" t="s">
        <v>106</v>
      </c>
    </row>
    <row r="6218" spans="1:5" hidden="1" x14ac:dyDescent="0.15">
      <c r="A6218" s="1" t="s">
        <v>32</v>
      </c>
      <c r="B6218" s="2">
        <v>35105</v>
      </c>
      <c r="C6218" s="3">
        <v>3.6000000000000004E-2</v>
      </c>
      <c r="D6218" s="4" t="s">
        <v>615</v>
      </c>
      <c r="E6218" s="4" t="s">
        <v>106</v>
      </c>
    </row>
    <row r="6219" spans="1:5" hidden="1" x14ac:dyDescent="0.15">
      <c r="A6219" s="1" t="s">
        <v>33</v>
      </c>
      <c r="B6219" s="2">
        <v>278016</v>
      </c>
      <c r="C6219" s="3">
        <v>0.28199999999999997</v>
      </c>
      <c r="D6219" s="4" t="s">
        <v>615</v>
      </c>
      <c r="E6219" s="4" t="s">
        <v>106</v>
      </c>
    </row>
    <row r="6220" spans="1:5" hidden="1" x14ac:dyDescent="0.15">
      <c r="A6220" s="1" t="s">
        <v>34</v>
      </c>
      <c r="B6220" s="2">
        <v>151719</v>
      </c>
      <c r="C6220" s="3">
        <v>0.154</v>
      </c>
      <c r="D6220" s="4" t="s">
        <v>615</v>
      </c>
      <c r="E6220" s="4" t="s">
        <v>106</v>
      </c>
    </row>
    <row r="6221" spans="1:5" hidden="1" x14ac:dyDescent="0.15">
      <c r="A6221" s="1" t="s">
        <v>35</v>
      </c>
      <c r="B6221" s="2">
        <v>45666</v>
      </c>
      <c r="C6221" s="3">
        <v>4.5999999999999999E-2</v>
      </c>
      <c r="D6221" s="4" t="s">
        <v>615</v>
      </c>
      <c r="E6221" s="4" t="s">
        <v>106</v>
      </c>
    </row>
    <row r="6222" spans="1:5" ht="26" hidden="1" x14ac:dyDescent="0.15">
      <c r="A6222" s="1" t="s">
        <v>36</v>
      </c>
      <c r="B6222" s="2">
        <v>20856</v>
      </c>
      <c r="C6222" s="3">
        <v>2.1000000000000001E-2</v>
      </c>
      <c r="D6222" s="4" t="s">
        <v>615</v>
      </c>
      <c r="E6222" s="4" t="s">
        <v>106</v>
      </c>
    </row>
    <row r="6223" spans="1:5" hidden="1" x14ac:dyDescent="0.15">
      <c r="A6223" s="1" t="s">
        <v>37</v>
      </c>
      <c r="B6223" s="2">
        <v>16420</v>
      </c>
      <c r="C6223" s="3">
        <v>1.7000000000000001E-2</v>
      </c>
      <c r="D6223" s="4" t="s">
        <v>615</v>
      </c>
      <c r="E6223" s="4" t="s">
        <v>106</v>
      </c>
    </row>
    <row r="6224" spans="1:5" ht="39" hidden="1" x14ac:dyDescent="0.15">
      <c r="A6224" s="1" t="s">
        <v>38</v>
      </c>
      <c r="B6224" s="2">
        <v>21158</v>
      </c>
      <c r="C6224" s="3">
        <v>2.1000000000000001E-2</v>
      </c>
      <c r="D6224" s="4" t="s">
        <v>615</v>
      </c>
      <c r="E6224" s="4" t="s">
        <v>106</v>
      </c>
    </row>
    <row r="6225" spans="1:5" hidden="1" x14ac:dyDescent="0.15">
      <c r="A6225" s="1" t="s">
        <v>39</v>
      </c>
      <c r="B6225" s="2">
        <v>47563</v>
      </c>
      <c r="C6225" s="3">
        <v>4.8000000000000001E-2</v>
      </c>
      <c r="D6225" s="4" t="s">
        <v>615</v>
      </c>
      <c r="E6225" s="4" t="s">
        <v>106</v>
      </c>
    </row>
    <row r="6226" spans="1:5" hidden="1" x14ac:dyDescent="0.15">
      <c r="A6226" s="1" t="s">
        <v>40</v>
      </c>
      <c r="B6226" s="2">
        <v>4947</v>
      </c>
      <c r="C6226" s="3">
        <v>5.0000000000000001E-3</v>
      </c>
      <c r="D6226" s="4" t="s">
        <v>615</v>
      </c>
      <c r="E6226" s="4" t="s">
        <v>106</v>
      </c>
    </row>
    <row r="6227" spans="1:5" hidden="1" x14ac:dyDescent="0.15">
      <c r="A6227" s="1" t="s">
        <v>41</v>
      </c>
      <c r="B6227" s="2">
        <v>39817</v>
      </c>
      <c r="C6227" s="3">
        <v>0.04</v>
      </c>
      <c r="D6227" s="4" t="s">
        <v>615</v>
      </c>
      <c r="E6227" s="4" t="s">
        <v>106</v>
      </c>
    </row>
    <row r="6228" spans="1:5" hidden="1" x14ac:dyDescent="0.15">
      <c r="A6228" s="1" t="s">
        <v>42</v>
      </c>
      <c r="B6228" s="2">
        <v>25711</v>
      </c>
      <c r="C6228" s="3">
        <v>2.6000000000000002E-2</v>
      </c>
      <c r="D6228" s="4" t="s">
        <v>615</v>
      </c>
      <c r="E6228" s="4" t="s">
        <v>106</v>
      </c>
    </row>
    <row r="6229" spans="1:5" hidden="1" x14ac:dyDescent="0.15">
      <c r="A6229" s="1" t="s">
        <v>43</v>
      </c>
      <c r="B6229" s="2">
        <v>74558</v>
      </c>
      <c r="C6229" s="3">
        <v>7.5999999999999998E-2</v>
      </c>
      <c r="D6229" s="4" t="s">
        <v>615</v>
      </c>
      <c r="E6229" s="4" t="s">
        <v>106</v>
      </c>
    </row>
    <row r="6230" spans="1:5" ht="26" hidden="1" x14ac:dyDescent="0.15">
      <c r="A6230" s="1" t="s">
        <v>44</v>
      </c>
      <c r="B6230" s="2">
        <v>95273</v>
      </c>
      <c r="C6230" s="3">
        <v>9.6999999999999989E-2</v>
      </c>
      <c r="D6230" s="4" t="s">
        <v>615</v>
      </c>
      <c r="E6230" s="4" t="s">
        <v>106</v>
      </c>
    </row>
    <row r="6231" spans="1:5" hidden="1" x14ac:dyDescent="0.15">
      <c r="A6231" s="1" t="s">
        <v>45</v>
      </c>
      <c r="B6231" s="2">
        <v>172055</v>
      </c>
      <c r="C6231" s="3">
        <v>0.17499999999999999</v>
      </c>
      <c r="D6231" s="4" t="s">
        <v>615</v>
      </c>
      <c r="E6231" s="4" t="s">
        <v>106</v>
      </c>
    </row>
    <row r="6232" spans="1:5" ht="26" hidden="1" x14ac:dyDescent="0.15">
      <c r="A6232" s="1" t="s">
        <v>46</v>
      </c>
      <c r="B6232" s="2">
        <v>295478</v>
      </c>
      <c r="C6232" s="3">
        <v>0.3</v>
      </c>
      <c r="D6232" s="4" t="s">
        <v>615</v>
      </c>
      <c r="E6232" s="4" t="s">
        <v>106</v>
      </c>
    </row>
    <row r="6233" spans="1:5" hidden="1" x14ac:dyDescent="0.15">
      <c r="A6233" s="1" t="s">
        <v>47</v>
      </c>
      <c r="B6233" s="2">
        <v>387850</v>
      </c>
      <c r="C6233" s="3">
        <v>0.39399999999999996</v>
      </c>
      <c r="D6233" s="4" t="s">
        <v>615</v>
      </c>
      <c r="E6233" s="4" t="s">
        <v>106</v>
      </c>
    </row>
    <row r="6234" spans="1:5" hidden="1" x14ac:dyDescent="0.15">
      <c r="A6234" s="1" t="s">
        <v>48</v>
      </c>
      <c r="B6234" s="2">
        <v>90865</v>
      </c>
      <c r="C6234" s="3">
        <v>9.1999999999999998E-2</v>
      </c>
      <c r="D6234" s="4" t="s">
        <v>615</v>
      </c>
      <c r="E6234" s="4" t="s">
        <v>106</v>
      </c>
    </row>
    <row r="6235" spans="1:5" hidden="1" x14ac:dyDescent="0.15">
      <c r="A6235" s="1" t="s">
        <v>49</v>
      </c>
      <c r="B6235" s="2">
        <v>125251</v>
      </c>
      <c r="C6235" s="3">
        <v>0.127</v>
      </c>
      <c r="D6235" s="4" t="s">
        <v>615</v>
      </c>
      <c r="E6235" s="4" t="s">
        <v>106</v>
      </c>
    </row>
    <row r="6236" spans="1:5" ht="26" hidden="1" x14ac:dyDescent="0.15">
      <c r="A6236" s="1" t="s">
        <v>50</v>
      </c>
      <c r="B6236" s="2">
        <v>125740</v>
      </c>
      <c r="C6236" s="3">
        <v>0.128</v>
      </c>
      <c r="D6236" s="4" t="s">
        <v>615</v>
      </c>
      <c r="E6236" s="4" t="s">
        <v>106</v>
      </c>
    </row>
    <row r="6237" spans="1:5" hidden="1" x14ac:dyDescent="0.15">
      <c r="A6237" s="1" t="s">
        <v>51</v>
      </c>
      <c r="B6237" s="2">
        <v>300239</v>
      </c>
      <c r="C6237" s="3">
        <v>0.30499999999999999</v>
      </c>
      <c r="D6237" s="4" t="s">
        <v>615</v>
      </c>
      <c r="E6237" s="4" t="s">
        <v>106</v>
      </c>
    </row>
    <row r="6238" spans="1:5" hidden="1" x14ac:dyDescent="0.15">
      <c r="A6238" s="1" t="s">
        <v>52</v>
      </c>
      <c r="B6238" s="2">
        <v>144347</v>
      </c>
      <c r="C6238" s="3">
        <v>0.14699999999999999</v>
      </c>
      <c r="D6238" s="4" t="s">
        <v>615</v>
      </c>
      <c r="E6238" s="4" t="s">
        <v>106</v>
      </c>
    </row>
    <row r="6239" spans="1:5" ht="26" hidden="1" x14ac:dyDescent="0.15">
      <c r="A6239" s="1" t="s">
        <v>53</v>
      </c>
      <c r="B6239" s="2">
        <v>97168</v>
      </c>
      <c r="C6239" s="3">
        <v>9.9000000000000005E-2</v>
      </c>
      <c r="D6239" s="4" t="s">
        <v>615</v>
      </c>
      <c r="E6239" s="4" t="s">
        <v>106</v>
      </c>
    </row>
    <row r="6240" spans="1:5" hidden="1" x14ac:dyDescent="0.15">
      <c r="A6240" s="1" t="s">
        <v>54</v>
      </c>
      <c r="B6240" s="2">
        <v>315923</v>
      </c>
      <c r="C6240" s="3">
        <v>0.32100000000000001</v>
      </c>
      <c r="D6240" s="4" t="s">
        <v>615</v>
      </c>
      <c r="E6240" s="4" t="s">
        <v>106</v>
      </c>
    </row>
    <row r="6241" spans="1:5" ht="26" hidden="1" x14ac:dyDescent="0.15">
      <c r="A6241" s="1" t="s">
        <v>55</v>
      </c>
      <c r="B6241" s="2">
        <v>178399</v>
      </c>
      <c r="C6241" s="3">
        <v>0.18100000000000002</v>
      </c>
      <c r="D6241" s="4" t="s">
        <v>615</v>
      </c>
      <c r="E6241" s="4" t="s">
        <v>106</v>
      </c>
    </row>
    <row r="6242" spans="1:5" hidden="1" x14ac:dyDescent="0.15">
      <c r="A6242" s="1" t="s">
        <v>56</v>
      </c>
      <c r="B6242" s="2">
        <v>259164</v>
      </c>
      <c r="C6242" s="3">
        <v>0.26300000000000001</v>
      </c>
      <c r="D6242" s="4" t="s">
        <v>615</v>
      </c>
      <c r="E6242" s="4" t="s">
        <v>106</v>
      </c>
    </row>
    <row r="6243" spans="1:5" hidden="1" x14ac:dyDescent="0.15">
      <c r="A6243" s="1" t="s">
        <v>57</v>
      </c>
      <c r="B6243" s="2">
        <v>174919</v>
      </c>
      <c r="C6243" s="3">
        <v>0.17800000000000002</v>
      </c>
      <c r="D6243" s="4" t="s">
        <v>615</v>
      </c>
      <c r="E6243" s="4" t="s">
        <v>106</v>
      </c>
    </row>
    <row r="6244" spans="1:5" hidden="1" x14ac:dyDescent="0.15">
      <c r="A6244" s="1" t="s">
        <v>58</v>
      </c>
      <c r="B6244" s="2">
        <v>163811</v>
      </c>
      <c r="C6244" s="3">
        <v>0.16600000000000001</v>
      </c>
      <c r="D6244" s="4" t="s">
        <v>615</v>
      </c>
      <c r="E6244" s="4" t="s">
        <v>106</v>
      </c>
    </row>
    <row r="6245" spans="1:5" hidden="1" x14ac:dyDescent="0.15">
      <c r="A6245" s="1" t="s">
        <v>59</v>
      </c>
      <c r="B6245" s="2">
        <v>444847</v>
      </c>
      <c r="C6245" s="3">
        <v>0.45200000000000001</v>
      </c>
      <c r="D6245" s="4" t="s">
        <v>615</v>
      </c>
      <c r="E6245" s="4" t="s">
        <v>106</v>
      </c>
    </row>
    <row r="6246" spans="1:5" hidden="1" x14ac:dyDescent="0.15">
      <c r="A6246" s="1" t="s">
        <v>60</v>
      </c>
      <c r="B6246" s="2">
        <v>150708</v>
      </c>
      <c r="C6246" s="3">
        <v>0.153</v>
      </c>
      <c r="D6246" s="4" t="s">
        <v>615</v>
      </c>
      <c r="E6246" s="4" t="s">
        <v>106</v>
      </c>
    </row>
    <row r="6247" spans="1:5" ht="26" hidden="1" x14ac:dyDescent="0.15">
      <c r="A6247" s="1" t="s">
        <v>61</v>
      </c>
      <c r="B6247" s="2">
        <v>204281</v>
      </c>
      <c r="C6247" s="3">
        <v>0.20699999999999999</v>
      </c>
      <c r="D6247" s="4" t="s">
        <v>615</v>
      </c>
      <c r="E6247" s="4" t="s">
        <v>106</v>
      </c>
    </row>
    <row r="6248" spans="1:5" hidden="1" x14ac:dyDescent="0.15">
      <c r="A6248" s="1" t="s">
        <v>62</v>
      </c>
      <c r="B6248" s="2">
        <v>69813</v>
      </c>
      <c r="C6248" s="3">
        <v>7.0999999999999994E-2</v>
      </c>
      <c r="D6248" s="4" t="s">
        <v>615</v>
      </c>
      <c r="E6248" s="4" t="s">
        <v>106</v>
      </c>
    </row>
    <row r="6249" spans="1:5" ht="26" hidden="1" x14ac:dyDescent="0.15">
      <c r="A6249" s="1" t="s">
        <v>63</v>
      </c>
      <c r="B6249" s="2">
        <v>115572</v>
      </c>
      <c r="C6249" s="3">
        <v>0.11699999999999999</v>
      </c>
      <c r="D6249" s="4" t="s">
        <v>615</v>
      </c>
      <c r="E6249" s="4" t="s">
        <v>106</v>
      </c>
    </row>
    <row r="6250" spans="1:5" ht="26" hidden="1" x14ac:dyDescent="0.15">
      <c r="A6250" s="1" t="s">
        <v>64</v>
      </c>
      <c r="B6250" s="2">
        <v>68387</v>
      </c>
      <c r="C6250" s="3">
        <v>6.9000000000000006E-2</v>
      </c>
      <c r="D6250" s="4" t="s">
        <v>615</v>
      </c>
      <c r="E6250" s="4" t="s">
        <v>106</v>
      </c>
    </row>
    <row r="6251" spans="1:5" hidden="1" x14ac:dyDescent="0.15">
      <c r="A6251" s="1" t="s">
        <v>65</v>
      </c>
      <c r="B6251" s="2">
        <v>132503</v>
      </c>
      <c r="C6251" s="3">
        <v>0.13500000000000001</v>
      </c>
      <c r="D6251" s="4" t="s">
        <v>615</v>
      </c>
      <c r="E6251" s="4" t="s">
        <v>106</v>
      </c>
    </row>
    <row r="6252" spans="1:5" hidden="1" x14ac:dyDescent="0.15">
      <c r="A6252" s="1" t="s">
        <v>66</v>
      </c>
      <c r="B6252" s="2">
        <v>81066</v>
      </c>
      <c r="C6252" s="3">
        <v>8.199999999999999E-2</v>
      </c>
      <c r="D6252" s="4" t="s">
        <v>615</v>
      </c>
      <c r="E6252" s="4" t="s">
        <v>106</v>
      </c>
    </row>
    <row r="6253" spans="1:5" hidden="1" x14ac:dyDescent="0.15">
      <c r="A6253" s="1" t="s">
        <v>67</v>
      </c>
      <c r="B6253" s="2">
        <v>286735</v>
      </c>
      <c r="C6253" s="3">
        <v>0.29100000000000004</v>
      </c>
      <c r="D6253" s="4" t="s">
        <v>615</v>
      </c>
      <c r="E6253" s="4" t="s">
        <v>106</v>
      </c>
    </row>
    <row r="6254" spans="1:5" hidden="1" x14ac:dyDescent="0.15">
      <c r="A6254" s="1" t="s">
        <v>68</v>
      </c>
      <c r="B6254" s="2">
        <v>271047</v>
      </c>
      <c r="C6254" s="3">
        <v>0.27500000000000002</v>
      </c>
      <c r="D6254" s="4" t="s">
        <v>615</v>
      </c>
      <c r="E6254" s="4" t="s">
        <v>106</v>
      </c>
    </row>
    <row r="6255" spans="1:5" hidden="1" x14ac:dyDescent="0.15">
      <c r="A6255" s="1" t="s">
        <v>69</v>
      </c>
      <c r="B6255" s="2">
        <v>576463</v>
      </c>
      <c r="C6255" s="3">
        <v>0.58499999999999996</v>
      </c>
      <c r="D6255" s="4" t="s">
        <v>615</v>
      </c>
      <c r="E6255" s="4" t="s">
        <v>106</v>
      </c>
    </row>
    <row r="6256" spans="1:5" hidden="1" x14ac:dyDescent="0.15">
      <c r="A6256" s="1" t="s">
        <v>70</v>
      </c>
      <c r="B6256" s="2">
        <v>246168</v>
      </c>
      <c r="C6256" s="3">
        <v>0.25</v>
      </c>
      <c r="D6256" s="4" t="s">
        <v>615</v>
      </c>
      <c r="E6256" s="4" t="s">
        <v>106</v>
      </c>
    </row>
    <row r="6257" spans="1:5" ht="26" hidden="1" x14ac:dyDescent="0.15">
      <c r="A6257" s="1" t="s">
        <v>71</v>
      </c>
      <c r="B6257" s="2">
        <v>33987</v>
      </c>
      <c r="C6257" s="3">
        <v>3.5000000000000003E-2</v>
      </c>
      <c r="D6257" s="4" t="s">
        <v>615</v>
      </c>
      <c r="E6257" s="4" t="s">
        <v>106</v>
      </c>
    </row>
    <row r="6258" spans="1:5" hidden="1" x14ac:dyDescent="0.15">
      <c r="A6258" s="1" t="s">
        <v>72</v>
      </c>
      <c r="B6258" s="2">
        <v>143144</v>
      </c>
      <c r="C6258" s="3">
        <v>0.14499999999999999</v>
      </c>
      <c r="D6258" s="4" t="s">
        <v>615</v>
      </c>
      <c r="E6258" s="4" t="s">
        <v>106</v>
      </c>
    </row>
    <row r="6259" spans="1:5" hidden="1" x14ac:dyDescent="0.15">
      <c r="A6259" s="1" t="s">
        <v>73</v>
      </c>
      <c r="B6259" s="2">
        <v>579369</v>
      </c>
      <c r="C6259" s="3">
        <v>0.58799999999999997</v>
      </c>
      <c r="D6259" s="4" t="s">
        <v>615</v>
      </c>
      <c r="E6259" s="4" t="s">
        <v>106</v>
      </c>
    </row>
    <row r="6260" spans="1:5" hidden="1" x14ac:dyDescent="0.15">
      <c r="A6260" s="1" t="s">
        <v>74</v>
      </c>
      <c r="B6260" s="2">
        <v>365057</v>
      </c>
      <c r="C6260" s="3">
        <v>0.371</v>
      </c>
      <c r="D6260" s="4" t="s">
        <v>615</v>
      </c>
      <c r="E6260" s="4" t="s">
        <v>106</v>
      </c>
    </row>
    <row r="6261" spans="1:5" hidden="1" x14ac:dyDescent="0.15">
      <c r="A6261" s="1" t="s">
        <v>75</v>
      </c>
      <c r="B6261" s="2">
        <v>184212</v>
      </c>
      <c r="C6261" s="3">
        <v>0.187</v>
      </c>
      <c r="D6261" s="4" t="s">
        <v>615</v>
      </c>
      <c r="E6261" s="4" t="s">
        <v>106</v>
      </c>
    </row>
    <row r="6262" spans="1:5" hidden="1" x14ac:dyDescent="0.15">
      <c r="A6262" s="1" t="s">
        <v>76</v>
      </c>
      <c r="B6262" s="2">
        <v>118799</v>
      </c>
      <c r="C6262" s="3">
        <v>0.121</v>
      </c>
      <c r="D6262" s="4" t="s">
        <v>615</v>
      </c>
      <c r="E6262" s="4" t="s">
        <v>106</v>
      </c>
    </row>
    <row r="6263" spans="1:5" hidden="1" x14ac:dyDescent="0.15">
      <c r="A6263" s="1" t="s">
        <v>77</v>
      </c>
      <c r="B6263" s="2">
        <v>93096</v>
      </c>
      <c r="C6263" s="3">
        <v>9.5000000000000001E-2</v>
      </c>
      <c r="D6263" s="4" t="s">
        <v>615</v>
      </c>
      <c r="E6263" s="4" t="s">
        <v>106</v>
      </c>
    </row>
    <row r="6264" spans="1:5" ht="26" hidden="1" x14ac:dyDescent="0.15">
      <c r="A6264" s="1" t="s">
        <v>78</v>
      </c>
      <c r="B6264" s="2">
        <v>89931</v>
      </c>
      <c r="C6264" s="3">
        <v>9.0999999999999998E-2</v>
      </c>
      <c r="D6264" s="4" t="s">
        <v>615</v>
      </c>
      <c r="E6264" s="4" t="s">
        <v>106</v>
      </c>
    </row>
    <row r="6265" spans="1:5" hidden="1" x14ac:dyDescent="0.15">
      <c r="A6265" s="1" t="s">
        <v>79</v>
      </c>
      <c r="B6265" s="2">
        <v>152354</v>
      </c>
      <c r="C6265" s="3">
        <v>0.155</v>
      </c>
      <c r="D6265" s="4" t="s">
        <v>615</v>
      </c>
      <c r="E6265" s="4" t="s">
        <v>106</v>
      </c>
    </row>
    <row r="6266" spans="1:5" hidden="1" x14ac:dyDescent="0.15">
      <c r="A6266" s="1" t="s">
        <v>80</v>
      </c>
      <c r="B6266" s="2">
        <v>69248</v>
      </c>
      <c r="C6266" s="3">
        <v>7.0000000000000007E-2</v>
      </c>
      <c r="D6266" s="4" t="s">
        <v>615</v>
      </c>
      <c r="E6266" s="4" t="s">
        <v>106</v>
      </c>
    </row>
    <row r="6267" spans="1:5" ht="26" hidden="1" x14ac:dyDescent="0.15">
      <c r="A6267" s="1" t="s">
        <v>81</v>
      </c>
      <c r="B6267" s="2">
        <v>179779</v>
      </c>
      <c r="C6267" s="3">
        <v>0.183</v>
      </c>
      <c r="D6267" s="4" t="s">
        <v>615</v>
      </c>
      <c r="E6267" s="4" t="s">
        <v>106</v>
      </c>
    </row>
    <row r="6268" spans="1:5" hidden="1" x14ac:dyDescent="0.15">
      <c r="A6268" s="1" t="s">
        <v>82</v>
      </c>
      <c r="B6268" s="2">
        <v>97854</v>
      </c>
      <c r="C6268" s="3">
        <v>9.9000000000000005E-2</v>
      </c>
      <c r="D6268" s="4" t="s">
        <v>615</v>
      </c>
      <c r="E6268" s="4" t="s">
        <v>106</v>
      </c>
    </row>
    <row r="6269" spans="1:5" hidden="1" x14ac:dyDescent="0.15">
      <c r="A6269" s="4"/>
      <c r="B6269" s="4"/>
      <c r="C6269" s="4"/>
      <c r="D6269" s="4" t="s">
        <v>615</v>
      </c>
      <c r="E6269" s="4" t="s">
        <v>106</v>
      </c>
    </row>
    <row r="6270" spans="1:5" hidden="1" x14ac:dyDescent="0.15">
      <c r="A6270" s="4"/>
      <c r="B6270" s="4"/>
      <c r="C6270" s="4"/>
      <c r="D6270" s="4" t="s">
        <v>615</v>
      </c>
      <c r="E6270" s="4" t="s">
        <v>106</v>
      </c>
    </row>
    <row r="6271" spans="1:5" hidden="1" x14ac:dyDescent="0.15">
      <c r="A6271" s="4"/>
      <c r="B6271" s="4"/>
      <c r="C6271" s="4"/>
      <c r="D6271" s="4" t="s">
        <v>615</v>
      </c>
      <c r="E6271" s="4" t="s">
        <v>106</v>
      </c>
    </row>
    <row r="6272" spans="1:5" hidden="1" x14ac:dyDescent="0.15">
      <c r="A6272" s="4"/>
      <c r="B6272" s="4"/>
      <c r="C6272" s="4"/>
      <c r="D6272" s="4" t="s">
        <v>615</v>
      </c>
      <c r="E6272" s="4" t="s">
        <v>106</v>
      </c>
    </row>
    <row r="6273" spans="1:5" hidden="1" x14ac:dyDescent="0.15">
      <c r="A6273" s="4"/>
      <c r="B6273" s="4"/>
      <c r="C6273" s="4"/>
      <c r="D6273" s="4" t="s">
        <v>615</v>
      </c>
      <c r="E6273" s="4" t="s">
        <v>106</v>
      </c>
    </row>
    <row r="6274" spans="1:5" hidden="1" x14ac:dyDescent="0.15">
      <c r="A6274" s="1" t="s">
        <v>186</v>
      </c>
      <c r="B6274" s="2">
        <v>104386</v>
      </c>
      <c r="C6274" s="3">
        <v>0.106</v>
      </c>
      <c r="D6274" s="4" t="s">
        <v>615</v>
      </c>
      <c r="E6274" s="4" t="s">
        <v>106</v>
      </c>
    </row>
    <row r="6275" spans="1:5" ht="26" hidden="1" x14ac:dyDescent="0.15">
      <c r="A6275" s="1" t="s">
        <v>108</v>
      </c>
      <c r="B6275" s="2">
        <v>155248</v>
      </c>
      <c r="C6275" s="3">
        <v>0.158</v>
      </c>
      <c r="D6275" s="4" t="s">
        <v>615</v>
      </c>
      <c r="E6275" s="4" t="s">
        <v>106</v>
      </c>
    </row>
    <row r="6276" spans="1:5" hidden="1" x14ac:dyDescent="0.15">
      <c r="A6276" s="1" t="s">
        <v>109</v>
      </c>
      <c r="B6276" s="2">
        <v>144153</v>
      </c>
      <c r="C6276" s="3">
        <v>0.14599999999999999</v>
      </c>
      <c r="D6276" s="4" t="s">
        <v>615</v>
      </c>
      <c r="E6276" s="4" t="s">
        <v>106</v>
      </c>
    </row>
    <row r="6277" spans="1:5" hidden="1" x14ac:dyDescent="0.15">
      <c r="A6277" s="1" t="s">
        <v>112</v>
      </c>
      <c r="B6277" s="2">
        <v>252653</v>
      </c>
      <c r="C6277" s="3">
        <v>0.25700000000000001</v>
      </c>
      <c r="D6277" s="4" t="s">
        <v>615</v>
      </c>
      <c r="E6277" s="4" t="s">
        <v>106</v>
      </c>
    </row>
    <row r="6278" spans="1:5" ht="26" hidden="1" x14ac:dyDescent="0.15">
      <c r="A6278" s="1" t="s">
        <v>113</v>
      </c>
      <c r="B6278" s="2">
        <v>234465</v>
      </c>
      <c r="C6278" s="3">
        <v>0.23800000000000002</v>
      </c>
      <c r="D6278" s="4" t="s">
        <v>615</v>
      </c>
      <c r="E6278" s="4" t="s">
        <v>106</v>
      </c>
    </row>
    <row r="6279" spans="1:5" ht="26" hidden="1" x14ac:dyDescent="0.15">
      <c r="A6279" s="1" t="s">
        <v>187</v>
      </c>
      <c r="B6279" s="2">
        <v>47020</v>
      </c>
      <c r="C6279" s="3">
        <v>4.8000000000000001E-2</v>
      </c>
      <c r="D6279" s="4" t="s">
        <v>615</v>
      </c>
      <c r="E6279" s="4" t="s">
        <v>106</v>
      </c>
    </row>
    <row r="6280" spans="1:5" ht="26" hidden="1" x14ac:dyDescent="0.15">
      <c r="A6280" s="1" t="s">
        <v>121</v>
      </c>
      <c r="B6280" s="2">
        <v>80917</v>
      </c>
      <c r="C6280" s="3">
        <v>8.199999999999999E-2</v>
      </c>
      <c r="D6280" s="4" t="s">
        <v>615</v>
      </c>
      <c r="E6280" s="4" t="s">
        <v>106</v>
      </c>
    </row>
    <row r="6281" spans="1:5" ht="26" hidden="1" x14ac:dyDescent="0.15">
      <c r="A6281" s="1" t="s">
        <v>123</v>
      </c>
      <c r="B6281" s="2">
        <v>209230</v>
      </c>
      <c r="C6281" s="3">
        <v>0.21199999999999999</v>
      </c>
      <c r="D6281" s="4" t="s">
        <v>615</v>
      </c>
      <c r="E6281" s="4" t="s">
        <v>106</v>
      </c>
    </row>
    <row r="6282" spans="1:5" ht="39" hidden="1" x14ac:dyDescent="0.15">
      <c r="A6282" s="1" t="s">
        <v>126</v>
      </c>
      <c r="B6282" s="2">
        <v>54541</v>
      </c>
      <c r="C6282" s="3">
        <v>5.5E-2</v>
      </c>
      <c r="D6282" s="4" t="s">
        <v>615</v>
      </c>
      <c r="E6282" s="4" t="s">
        <v>106</v>
      </c>
    </row>
    <row r="6283" spans="1:5" ht="39" hidden="1" x14ac:dyDescent="0.15">
      <c r="A6283" s="1" t="s">
        <v>127</v>
      </c>
      <c r="B6283" s="2">
        <v>147265</v>
      </c>
      <c r="C6283" s="3">
        <v>0.15</v>
      </c>
      <c r="D6283" s="4" t="s">
        <v>615</v>
      </c>
      <c r="E6283" s="4" t="s">
        <v>106</v>
      </c>
    </row>
    <row r="6284" spans="1:5" ht="26" hidden="1" x14ac:dyDescent="0.15">
      <c r="A6284" s="1" t="s">
        <v>130</v>
      </c>
      <c r="B6284" s="2">
        <v>55829</v>
      </c>
      <c r="C6284" s="3">
        <v>5.7000000000000002E-2</v>
      </c>
      <c r="D6284" s="4" t="s">
        <v>615</v>
      </c>
      <c r="E6284" s="4" t="s">
        <v>106</v>
      </c>
    </row>
    <row r="6285" spans="1:5" ht="26" hidden="1" x14ac:dyDescent="0.15">
      <c r="A6285" s="1" t="s">
        <v>132</v>
      </c>
      <c r="B6285" s="2">
        <v>128032</v>
      </c>
      <c r="C6285" s="3">
        <v>0.13</v>
      </c>
      <c r="D6285" s="4" t="s">
        <v>615</v>
      </c>
      <c r="E6285" s="4" t="s">
        <v>106</v>
      </c>
    </row>
    <row r="6286" spans="1:5" hidden="1" x14ac:dyDescent="0.15">
      <c r="A6286" s="1" t="s">
        <v>0</v>
      </c>
      <c r="B6286" s="2">
        <v>743424</v>
      </c>
      <c r="C6286" s="3">
        <v>1</v>
      </c>
      <c r="D6286" s="4" t="s">
        <v>616</v>
      </c>
      <c r="E6286" s="4" t="s">
        <v>272</v>
      </c>
    </row>
    <row r="6287" spans="1:5" ht="26" hidden="1" x14ac:dyDescent="0.15">
      <c r="A6287" s="1" t="s">
        <v>3</v>
      </c>
      <c r="B6287" s="2">
        <v>8678</v>
      </c>
      <c r="C6287" s="3">
        <v>1.2E-2</v>
      </c>
      <c r="D6287" s="4" t="s">
        <v>616</v>
      </c>
      <c r="E6287" s="4" t="s">
        <v>272</v>
      </c>
    </row>
    <row r="6288" spans="1:5" hidden="1" x14ac:dyDescent="0.15">
      <c r="A6288" s="1" t="s">
        <v>4</v>
      </c>
      <c r="B6288" s="2">
        <v>9517</v>
      </c>
      <c r="C6288" s="3">
        <v>1.3000000000000001E-2</v>
      </c>
      <c r="D6288" s="4" t="s">
        <v>616</v>
      </c>
      <c r="E6288" s="4" t="s">
        <v>272</v>
      </c>
    </row>
    <row r="6289" spans="1:5" ht="26" hidden="1" x14ac:dyDescent="0.15">
      <c r="A6289" s="1" t="s">
        <v>5</v>
      </c>
      <c r="B6289" s="2">
        <v>14904</v>
      </c>
      <c r="C6289" s="3">
        <v>0.02</v>
      </c>
      <c r="D6289" s="4" t="s">
        <v>616</v>
      </c>
      <c r="E6289" s="4" t="s">
        <v>272</v>
      </c>
    </row>
    <row r="6290" spans="1:5" ht="26" hidden="1" x14ac:dyDescent="0.15">
      <c r="A6290" s="1" t="s">
        <v>6</v>
      </c>
      <c r="B6290" s="2">
        <v>52810</v>
      </c>
      <c r="C6290" s="3">
        <v>7.0999999999999994E-2</v>
      </c>
      <c r="D6290" s="4" t="s">
        <v>616</v>
      </c>
      <c r="E6290" s="4" t="s">
        <v>272</v>
      </c>
    </row>
    <row r="6291" spans="1:5" ht="26" hidden="1" x14ac:dyDescent="0.15">
      <c r="A6291" s="1" t="s">
        <v>7</v>
      </c>
      <c r="B6291" s="2">
        <v>87944</v>
      </c>
      <c r="C6291" s="3">
        <v>0.11800000000000001</v>
      </c>
      <c r="D6291" s="4" t="s">
        <v>616</v>
      </c>
      <c r="E6291" s="4" t="s">
        <v>272</v>
      </c>
    </row>
    <row r="6292" spans="1:5" ht="26" hidden="1" x14ac:dyDescent="0.15">
      <c r="A6292" s="1" t="s">
        <v>8</v>
      </c>
      <c r="B6292" s="2">
        <v>6281</v>
      </c>
      <c r="C6292" s="3">
        <v>8.0000000000000002E-3</v>
      </c>
      <c r="D6292" s="4" t="s">
        <v>616</v>
      </c>
      <c r="E6292" s="4" t="s">
        <v>272</v>
      </c>
    </row>
    <row r="6293" spans="1:5" ht="26" hidden="1" x14ac:dyDescent="0.15">
      <c r="A6293" s="1" t="s">
        <v>9</v>
      </c>
      <c r="B6293" s="2">
        <v>43775</v>
      </c>
      <c r="C6293" s="3">
        <v>5.9000000000000004E-2</v>
      </c>
      <c r="D6293" s="4" t="s">
        <v>616</v>
      </c>
      <c r="E6293" s="4" t="s">
        <v>272</v>
      </c>
    </row>
    <row r="6294" spans="1:5" ht="26" hidden="1" x14ac:dyDescent="0.15">
      <c r="A6294" s="1" t="s">
        <v>10</v>
      </c>
      <c r="B6294" s="2">
        <v>27369</v>
      </c>
      <c r="C6294" s="3">
        <v>3.7000000000000005E-2</v>
      </c>
      <c r="D6294" s="4" t="s">
        <v>616</v>
      </c>
      <c r="E6294" s="4" t="s">
        <v>272</v>
      </c>
    </row>
    <row r="6295" spans="1:5" ht="26" hidden="1" x14ac:dyDescent="0.15">
      <c r="A6295" s="1" t="s">
        <v>11</v>
      </c>
      <c r="B6295" s="2">
        <v>29475</v>
      </c>
      <c r="C6295" s="3">
        <v>0.04</v>
      </c>
      <c r="D6295" s="4" t="s">
        <v>616</v>
      </c>
      <c r="E6295" s="4" t="s">
        <v>272</v>
      </c>
    </row>
    <row r="6296" spans="1:5" ht="26" hidden="1" x14ac:dyDescent="0.15">
      <c r="A6296" s="1" t="s">
        <v>12</v>
      </c>
      <c r="B6296" s="2">
        <v>11635</v>
      </c>
      <c r="C6296" s="3">
        <v>1.6E-2</v>
      </c>
      <c r="D6296" s="4" t="s">
        <v>616</v>
      </c>
      <c r="E6296" s="4" t="s">
        <v>272</v>
      </c>
    </row>
    <row r="6297" spans="1:5" ht="26" hidden="1" x14ac:dyDescent="0.15">
      <c r="A6297" s="1" t="s">
        <v>13</v>
      </c>
      <c r="B6297" s="2">
        <v>6260</v>
      </c>
      <c r="C6297" s="3">
        <v>8.0000000000000002E-3</v>
      </c>
      <c r="D6297" s="4" t="s">
        <v>616</v>
      </c>
      <c r="E6297" s="4" t="s">
        <v>272</v>
      </c>
    </row>
    <row r="6298" spans="1:5" hidden="1" x14ac:dyDescent="0.15">
      <c r="A6298" s="1" t="s">
        <v>14</v>
      </c>
      <c r="B6298" s="2">
        <v>52415</v>
      </c>
      <c r="C6298" s="3">
        <v>7.0999999999999994E-2</v>
      </c>
      <c r="D6298" s="4" t="s">
        <v>616</v>
      </c>
      <c r="E6298" s="4" t="s">
        <v>272</v>
      </c>
    </row>
    <row r="6299" spans="1:5" ht="26" hidden="1" x14ac:dyDescent="0.15">
      <c r="A6299" s="1" t="s">
        <v>15</v>
      </c>
      <c r="B6299" s="2">
        <v>41880</v>
      </c>
      <c r="C6299" s="3">
        <v>5.5999999999999994E-2</v>
      </c>
      <c r="D6299" s="4" t="s">
        <v>616</v>
      </c>
      <c r="E6299" s="4" t="s">
        <v>272</v>
      </c>
    </row>
    <row r="6300" spans="1:5" ht="26" hidden="1" x14ac:dyDescent="0.15">
      <c r="A6300" s="1" t="s">
        <v>16</v>
      </c>
      <c r="B6300" s="2">
        <v>22471</v>
      </c>
      <c r="C6300" s="3">
        <v>0.03</v>
      </c>
      <c r="D6300" s="4" t="s">
        <v>616</v>
      </c>
      <c r="E6300" s="4" t="s">
        <v>272</v>
      </c>
    </row>
    <row r="6301" spans="1:5" ht="26" hidden="1" x14ac:dyDescent="0.15">
      <c r="A6301" s="1" t="s">
        <v>17</v>
      </c>
      <c r="B6301" s="2">
        <v>11902</v>
      </c>
      <c r="C6301" s="3">
        <v>1.6E-2</v>
      </c>
      <c r="D6301" s="4" t="s">
        <v>616</v>
      </c>
      <c r="E6301" s="4" t="s">
        <v>272</v>
      </c>
    </row>
    <row r="6302" spans="1:5" hidden="1" x14ac:dyDescent="0.15">
      <c r="A6302" s="1" t="s">
        <v>18</v>
      </c>
      <c r="B6302" s="2">
        <v>10760</v>
      </c>
      <c r="C6302" s="3">
        <v>1.3999999999999999E-2</v>
      </c>
      <c r="D6302" s="4" t="s">
        <v>616</v>
      </c>
      <c r="E6302" s="4" t="s">
        <v>272</v>
      </c>
    </row>
    <row r="6303" spans="1:5" hidden="1" x14ac:dyDescent="0.15">
      <c r="A6303" s="1" t="s">
        <v>19</v>
      </c>
      <c r="B6303" s="2">
        <v>57130</v>
      </c>
      <c r="C6303" s="3">
        <v>7.6999999999999999E-2</v>
      </c>
      <c r="D6303" s="4" t="s">
        <v>616</v>
      </c>
      <c r="E6303" s="4" t="s">
        <v>272</v>
      </c>
    </row>
    <row r="6304" spans="1:5" hidden="1" x14ac:dyDescent="0.15">
      <c r="A6304" s="1" t="s">
        <v>20</v>
      </c>
      <c r="B6304" s="2">
        <v>28622</v>
      </c>
      <c r="C6304" s="3">
        <v>3.9E-2</v>
      </c>
      <c r="D6304" s="4" t="s">
        <v>616</v>
      </c>
      <c r="E6304" s="4" t="s">
        <v>272</v>
      </c>
    </row>
    <row r="6305" spans="1:5" ht="26" hidden="1" x14ac:dyDescent="0.15">
      <c r="A6305" s="1" t="s">
        <v>21</v>
      </c>
      <c r="B6305" s="2">
        <v>21770</v>
      </c>
      <c r="C6305" s="3">
        <v>2.8999999999999998E-2</v>
      </c>
      <c r="D6305" s="4" t="s">
        <v>616</v>
      </c>
      <c r="E6305" s="4" t="s">
        <v>272</v>
      </c>
    </row>
    <row r="6306" spans="1:5" ht="26" hidden="1" x14ac:dyDescent="0.15">
      <c r="A6306" s="1" t="s">
        <v>22</v>
      </c>
      <c r="B6306" s="2">
        <v>71578</v>
      </c>
      <c r="C6306" s="3">
        <v>9.6000000000000002E-2</v>
      </c>
      <c r="D6306" s="4" t="s">
        <v>616</v>
      </c>
      <c r="E6306" s="4" t="s">
        <v>272</v>
      </c>
    </row>
    <row r="6307" spans="1:5" ht="26" hidden="1" x14ac:dyDescent="0.15">
      <c r="A6307" s="1" t="s">
        <v>23</v>
      </c>
      <c r="B6307" s="2">
        <v>13654</v>
      </c>
      <c r="C6307" s="3">
        <v>1.8000000000000002E-2</v>
      </c>
      <c r="D6307" s="4" t="s">
        <v>616</v>
      </c>
      <c r="E6307" s="4" t="s">
        <v>272</v>
      </c>
    </row>
    <row r="6308" spans="1:5" ht="26" hidden="1" x14ac:dyDescent="0.15">
      <c r="A6308" s="1" t="s">
        <v>24</v>
      </c>
      <c r="B6308" s="2">
        <v>9446</v>
      </c>
      <c r="C6308" s="3">
        <v>1.3000000000000001E-2</v>
      </c>
      <c r="D6308" s="4" t="s">
        <v>616</v>
      </c>
      <c r="E6308" s="4" t="s">
        <v>272</v>
      </c>
    </row>
    <row r="6309" spans="1:5" ht="26" hidden="1" x14ac:dyDescent="0.15">
      <c r="A6309" s="1" t="s">
        <v>25</v>
      </c>
      <c r="B6309" s="2">
        <v>33904</v>
      </c>
      <c r="C6309" s="3">
        <v>4.5999999999999999E-2</v>
      </c>
      <c r="D6309" s="4" t="s">
        <v>616</v>
      </c>
      <c r="E6309" s="4" t="s">
        <v>272</v>
      </c>
    </row>
    <row r="6310" spans="1:5" hidden="1" x14ac:dyDescent="0.15">
      <c r="A6310" s="1" t="s">
        <v>26</v>
      </c>
      <c r="B6310" s="2">
        <v>5283</v>
      </c>
      <c r="C6310" s="3">
        <v>6.9999999999999993E-3</v>
      </c>
      <c r="D6310" s="4" t="s">
        <v>616</v>
      </c>
      <c r="E6310" s="4" t="s">
        <v>272</v>
      </c>
    </row>
    <row r="6311" spans="1:5" hidden="1" x14ac:dyDescent="0.15">
      <c r="A6311" s="1" t="s">
        <v>27</v>
      </c>
      <c r="B6311" s="2">
        <v>34169</v>
      </c>
      <c r="C6311" s="3">
        <v>4.5999999999999999E-2</v>
      </c>
      <c r="D6311" s="4" t="s">
        <v>616</v>
      </c>
      <c r="E6311" s="4" t="s">
        <v>272</v>
      </c>
    </row>
    <row r="6312" spans="1:5" hidden="1" x14ac:dyDescent="0.15">
      <c r="A6312" s="1" t="s">
        <v>28</v>
      </c>
      <c r="B6312" s="2">
        <v>72335</v>
      </c>
      <c r="C6312" s="3">
        <v>9.6999999999999989E-2</v>
      </c>
      <c r="D6312" s="4" t="s">
        <v>616</v>
      </c>
      <c r="E6312" s="4" t="s">
        <v>272</v>
      </c>
    </row>
    <row r="6313" spans="1:5" hidden="1" x14ac:dyDescent="0.15">
      <c r="A6313" s="1" t="s">
        <v>29</v>
      </c>
      <c r="B6313" s="2">
        <v>238416</v>
      </c>
      <c r="C6313" s="3">
        <v>0.32100000000000001</v>
      </c>
      <c r="D6313" s="4" t="s">
        <v>616</v>
      </c>
      <c r="E6313" s="4" t="s">
        <v>272</v>
      </c>
    </row>
    <row r="6314" spans="1:5" hidden="1" x14ac:dyDescent="0.15">
      <c r="A6314" s="1" t="s">
        <v>30</v>
      </c>
      <c r="B6314" s="2">
        <v>17526</v>
      </c>
      <c r="C6314" s="3">
        <v>2.4E-2</v>
      </c>
      <c r="D6314" s="4" t="s">
        <v>616</v>
      </c>
      <c r="E6314" s="4" t="s">
        <v>272</v>
      </c>
    </row>
    <row r="6315" spans="1:5" ht="39" hidden="1" x14ac:dyDescent="0.15">
      <c r="A6315" s="1" t="s">
        <v>31</v>
      </c>
      <c r="B6315" s="2">
        <v>11487</v>
      </c>
      <c r="C6315" s="3">
        <v>1.4999999999999999E-2</v>
      </c>
      <c r="D6315" s="4" t="s">
        <v>616</v>
      </c>
      <c r="E6315" s="4" t="s">
        <v>272</v>
      </c>
    </row>
    <row r="6316" spans="1:5" hidden="1" x14ac:dyDescent="0.15">
      <c r="A6316" s="1" t="s">
        <v>32</v>
      </c>
      <c r="B6316" s="2">
        <v>15668</v>
      </c>
      <c r="C6316" s="3">
        <v>2.1000000000000001E-2</v>
      </c>
      <c r="D6316" s="4" t="s">
        <v>616</v>
      </c>
      <c r="E6316" s="4" t="s">
        <v>272</v>
      </c>
    </row>
    <row r="6317" spans="1:5" hidden="1" x14ac:dyDescent="0.15">
      <c r="A6317" s="1" t="s">
        <v>33</v>
      </c>
      <c r="B6317" s="2">
        <v>163955</v>
      </c>
      <c r="C6317" s="3">
        <v>0.221</v>
      </c>
      <c r="D6317" s="4" t="s">
        <v>616</v>
      </c>
      <c r="E6317" s="4" t="s">
        <v>272</v>
      </c>
    </row>
    <row r="6318" spans="1:5" hidden="1" x14ac:dyDescent="0.15">
      <c r="A6318" s="1" t="s">
        <v>34</v>
      </c>
      <c r="B6318" s="2">
        <v>29260</v>
      </c>
      <c r="C6318" s="3">
        <v>3.9E-2</v>
      </c>
      <c r="D6318" s="4" t="s">
        <v>616</v>
      </c>
      <c r="E6318" s="4" t="s">
        <v>272</v>
      </c>
    </row>
    <row r="6319" spans="1:5" hidden="1" x14ac:dyDescent="0.15">
      <c r="A6319" s="1" t="s">
        <v>35</v>
      </c>
      <c r="B6319" s="2">
        <v>99349</v>
      </c>
      <c r="C6319" s="3">
        <v>0.13400000000000001</v>
      </c>
      <c r="D6319" s="4" t="s">
        <v>616</v>
      </c>
      <c r="E6319" s="4" t="s">
        <v>272</v>
      </c>
    </row>
    <row r="6320" spans="1:5" ht="26" hidden="1" x14ac:dyDescent="0.15">
      <c r="A6320" s="1" t="s">
        <v>36</v>
      </c>
      <c r="B6320" s="2">
        <v>21343</v>
      </c>
      <c r="C6320" s="3">
        <v>2.8999999999999998E-2</v>
      </c>
      <c r="D6320" s="4" t="s">
        <v>616</v>
      </c>
      <c r="E6320" s="4" t="s">
        <v>272</v>
      </c>
    </row>
    <row r="6321" spans="1:5" hidden="1" x14ac:dyDescent="0.15">
      <c r="A6321" s="1" t="s">
        <v>37</v>
      </c>
      <c r="B6321" s="2">
        <v>19093</v>
      </c>
      <c r="C6321" s="3">
        <v>2.6000000000000002E-2</v>
      </c>
      <c r="D6321" s="4" t="s">
        <v>616</v>
      </c>
      <c r="E6321" s="4" t="s">
        <v>272</v>
      </c>
    </row>
    <row r="6322" spans="1:5" ht="39" hidden="1" x14ac:dyDescent="0.15">
      <c r="A6322" s="1" t="s">
        <v>38</v>
      </c>
      <c r="B6322" s="2">
        <v>13659</v>
      </c>
      <c r="C6322" s="3">
        <v>1.8000000000000002E-2</v>
      </c>
      <c r="D6322" s="4" t="s">
        <v>616</v>
      </c>
      <c r="E6322" s="4" t="s">
        <v>272</v>
      </c>
    </row>
    <row r="6323" spans="1:5" hidden="1" x14ac:dyDescent="0.15">
      <c r="A6323" s="1" t="s">
        <v>39</v>
      </c>
      <c r="B6323" s="2">
        <v>62756</v>
      </c>
      <c r="C6323" s="3">
        <v>8.4000000000000005E-2</v>
      </c>
      <c r="D6323" s="4" t="s">
        <v>616</v>
      </c>
      <c r="E6323" s="4" t="s">
        <v>272</v>
      </c>
    </row>
    <row r="6324" spans="1:5" hidden="1" x14ac:dyDescent="0.15">
      <c r="A6324" s="1" t="s">
        <v>40</v>
      </c>
      <c r="B6324" s="2">
        <v>15828</v>
      </c>
      <c r="C6324" s="3">
        <v>2.1000000000000001E-2</v>
      </c>
      <c r="D6324" s="4" t="s">
        <v>616</v>
      </c>
      <c r="E6324" s="4" t="s">
        <v>272</v>
      </c>
    </row>
    <row r="6325" spans="1:5" hidden="1" x14ac:dyDescent="0.15">
      <c r="A6325" s="1" t="s">
        <v>41</v>
      </c>
      <c r="B6325" s="2">
        <v>12491</v>
      </c>
      <c r="C6325" s="3">
        <v>1.7000000000000001E-2</v>
      </c>
      <c r="D6325" s="4" t="s">
        <v>616</v>
      </c>
      <c r="E6325" s="4" t="s">
        <v>272</v>
      </c>
    </row>
    <row r="6326" spans="1:5" hidden="1" x14ac:dyDescent="0.15">
      <c r="A6326" s="1" t="s">
        <v>42</v>
      </c>
      <c r="B6326" s="2">
        <v>29332</v>
      </c>
      <c r="C6326" s="3">
        <v>3.9E-2</v>
      </c>
      <c r="D6326" s="4" t="s">
        <v>616</v>
      </c>
      <c r="E6326" s="4" t="s">
        <v>272</v>
      </c>
    </row>
    <row r="6327" spans="1:5" hidden="1" x14ac:dyDescent="0.15">
      <c r="A6327" s="1" t="s">
        <v>43</v>
      </c>
      <c r="B6327" s="2">
        <v>83278</v>
      </c>
      <c r="C6327" s="3">
        <v>0.11199999999999999</v>
      </c>
      <c r="D6327" s="4" t="s">
        <v>616</v>
      </c>
      <c r="E6327" s="4" t="s">
        <v>272</v>
      </c>
    </row>
    <row r="6328" spans="1:5" ht="26" hidden="1" x14ac:dyDescent="0.15">
      <c r="A6328" s="1" t="s">
        <v>44</v>
      </c>
      <c r="B6328" s="2">
        <v>89717</v>
      </c>
      <c r="C6328" s="3">
        <v>0.121</v>
      </c>
      <c r="D6328" s="4" t="s">
        <v>616</v>
      </c>
      <c r="E6328" s="4" t="s">
        <v>272</v>
      </c>
    </row>
    <row r="6329" spans="1:5" hidden="1" x14ac:dyDescent="0.15">
      <c r="A6329" s="1" t="s">
        <v>45</v>
      </c>
      <c r="B6329" s="2">
        <v>106687</v>
      </c>
      <c r="C6329" s="3">
        <v>0.14400000000000002</v>
      </c>
      <c r="D6329" s="4" t="s">
        <v>616</v>
      </c>
      <c r="E6329" s="4" t="s">
        <v>272</v>
      </c>
    </row>
    <row r="6330" spans="1:5" ht="26" hidden="1" x14ac:dyDescent="0.15">
      <c r="A6330" s="1" t="s">
        <v>46</v>
      </c>
      <c r="B6330" s="2">
        <v>205607</v>
      </c>
      <c r="C6330" s="3">
        <v>0.27699999999999997</v>
      </c>
      <c r="D6330" s="4" t="s">
        <v>616</v>
      </c>
      <c r="E6330" s="4" t="s">
        <v>272</v>
      </c>
    </row>
    <row r="6331" spans="1:5" hidden="1" x14ac:dyDescent="0.15">
      <c r="A6331" s="1" t="s">
        <v>47</v>
      </c>
      <c r="B6331" s="2">
        <v>287184</v>
      </c>
      <c r="C6331" s="3">
        <v>0.38600000000000001</v>
      </c>
      <c r="D6331" s="4" t="s">
        <v>616</v>
      </c>
      <c r="E6331" s="4" t="s">
        <v>272</v>
      </c>
    </row>
    <row r="6332" spans="1:5" hidden="1" x14ac:dyDescent="0.15">
      <c r="A6332" s="1" t="s">
        <v>48</v>
      </c>
      <c r="B6332" s="2">
        <v>44337</v>
      </c>
      <c r="C6332" s="3">
        <v>0.06</v>
      </c>
      <c r="D6332" s="4" t="s">
        <v>616</v>
      </c>
      <c r="E6332" s="4" t="s">
        <v>272</v>
      </c>
    </row>
    <row r="6333" spans="1:5" hidden="1" x14ac:dyDescent="0.15">
      <c r="A6333" s="1" t="s">
        <v>49</v>
      </c>
      <c r="B6333" s="2">
        <v>130898</v>
      </c>
      <c r="C6333" s="3">
        <v>0.17600000000000002</v>
      </c>
      <c r="D6333" s="4" t="s">
        <v>616</v>
      </c>
      <c r="E6333" s="4" t="s">
        <v>272</v>
      </c>
    </row>
    <row r="6334" spans="1:5" ht="26" hidden="1" x14ac:dyDescent="0.15">
      <c r="A6334" s="1" t="s">
        <v>50</v>
      </c>
      <c r="B6334" s="2">
        <v>127547</v>
      </c>
      <c r="C6334" s="3">
        <v>0.17199999999999999</v>
      </c>
      <c r="D6334" s="4" t="s">
        <v>616</v>
      </c>
      <c r="E6334" s="4" t="s">
        <v>272</v>
      </c>
    </row>
    <row r="6335" spans="1:5" hidden="1" x14ac:dyDescent="0.15">
      <c r="A6335" s="1" t="s">
        <v>51</v>
      </c>
      <c r="B6335" s="2">
        <v>178517</v>
      </c>
      <c r="C6335" s="3">
        <v>0.24</v>
      </c>
      <c r="D6335" s="4" t="s">
        <v>616</v>
      </c>
      <c r="E6335" s="4" t="s">
        <v>272</v>
      </c>
    </row>
    <row r="6336" spans="1:5" hidden="1" x14ac:dyDescent="0.15">
      <c r="A6336" s="1" t="s">
        <v>52</v>
      </c>
      <c r="B6336" s="2">
        <v>120780</v>
      </c>
      <c r="C6336" s="3">
        <v>0.16200000000000001</v>
      </c>
      <c r="D6336" s="4" t="s">
        <v>616</v>
      </c>
      <c r="E6336" s="4" t="s">
        <v>272</v>
      </c>
    </row>
    <row r="6337" spans="1:5" ht="26" hidden="1" x14ac:dyDescent="0.15">
      <c r="A6337" s="1" t="s">
        <v>53</v>
      </c>
      <c r="B6337" s="2">
        <v>66193</v>
      </c>
      <c r="C6337" s="3">
        <v>8.900000000000001E-2</v>
      </c>
      <c r="D6337" s="4" t="s">
        <v>616</v>
      </c>
      <c r="E6337" s="4" t="s">
        <v>272</v>
      </c>
    </row>
    <row r="6338" spans="1:5" hidden="1" x14ac:dyDescent="0.15">
      <c r="A6338" s="1" t="s">
        <v>54</v>
      </c>
      <c r="B6338" s="2">
        <v>223141</v>
      </c>
      <c r="C6338" s="3">
        <v>0.3</v>
      </c>
      <c r="D6338" s="4" t="s">
        <v>616</v>
      </c>
      <c r="E6338" s="4" t="s">
        <v>272</v>
      </c>
    </row>
    <row r="6339" spans="1:5" ht="26" hidden="1" x14ac:dyDescent="0.15">
      <c r="A6339" s="1" t="s">
        <v>55</v>
      </c>
      <c r="B6339" s="2">
        <v>221332</v>
      </c>
      <c r="C6339" s="3">
        <v>0.29799999999999999</v>
      </c>
      <c r="D6339" s="4" t="s">
        <v>616</v>
      </c>
      <c r="E6339" s="4" t="s">
        <v>272</v>
      </c>
    </row>
    <row r="6340" spans="1:5" hidden="1" x14ac:dyDescent="0.15">
      <c r="A6340" s="1" t="s">
        <v>56</v>
      </c>
      <c r="B6340" s="2">
        <v>173965</v>
      </c>
      <c r="C6340" s="3">
        <v>0.23399999999999999</v>
      </c>
      <c r="D6340" s="4" t="s">
        <v>616</v>
      </c>
      <c r="E6340" s="4" t="s">
        <v>272</v>
      </c>
    </row>
    <row r="6341" spans="1:5" hidden="1" x14ac:dyDescent="0.15">
      <c r="A6341" s="1" t="s">
        <v>57</v>
      </c>
      <c r="B6341" s="2">
        <v>91334</v>
      </c>
      <c r="C6341" s="3">
        <v>0.12300000000000001</v>
      </c>
      <c r="D6341" s="4" t="s">
        <v>616</v>
      </c>
      <c r="E6341" s="4" t="s">
        <v>272</v>
      </c>
    </row>
    <row r="6342" spans="1:5" hidden="1" x14ac:dyDescent="0.15">
      <c r="A6342" s="1" t="s">
        <v>58</v>
      </c>
      <c r="B6342" s="2">
        <v>59509</v>
      </c>
      <c r="C6342" s="3">
        <v>0.08</v>
      </c>
      <c r="D6342" s="4" t="s">
        <v>616</v>
      </c>
      <c r="E6342" s="4" t="s">
        <v>272</v>
      </c>
    </row>
    <row r="6343" spans="1:5" hidden="1" x14ac:dyDescent="0.15">
      <c r="A6343" s="1" t="s">
        <v>59</v>
      </c>
      <c r="B6343" s="2">
        <v>269199</v>
      </c>
      <c r="C6343" s="3">
        <v>0.36200000000000004</v>
      </c>
      <c r="D6343" s="4" t="s">
        <v>616</v>
      </c>
      <c r="E6343" s="4" t="s">
        <v>272</v>
      </c>
    </row>
    <row r="6344" spans="1:5" hidden="1" x14ac:dyDescent="0.15">
      <c r="A6344" s="1" t="s">
        <v>60</v>
      </c>
      <c r="B6344" s="2">
        <v>161647</v>
      </c>
      <c r="C6344" s="3">
        <v>0.217</v>
      </c>
      <c r="D6344" s="4" t="s">
        <v>616</v>
      </c>
      <c r="E6344" s="4" t="s">
        <v>272</v>
      </c>
    </row>
    <row r="6345" spans="1:5" ht="26" hidden="1" x14ac:dyDescent="0.15">
      <c r="A6345" s="1" t="s">
        <v>61</v>
      </c>
      <c r="B6345" s="2">
        <v>105901</v>
      </c>
      <c r="C6345" s="3">
        <v>0.14199999999999999</v>
      </c>
      <c r="D6345" s="4" t="s">
        <v>616</v>
      </c>
      <c r="E6345" s="4" t="s">
        <v>272</v>
      </c>
    </row>
    <row r="6346" spans="1:5" hidden="1" x14ac:dyDescent="0.15">
      <c r="A6346" s="1" t="s">
        <v>62</v>
      </c>
      <c r="B6346" s="2">
        <v>205441</v>
      </c>
      <c r="C6346" s="3">
        <v>0.27600000000000002</v>
      </c>
      <c r="D6346" s="4" t="s">
        <v>616</v>
      </c>
      <c r="E6346" s="4" t="s">
        <v>272</v>
      </c>
    </row>
    <row r="6347" spans="1:5" ht="26" hidden="1" x14ac:dyDescent="0.15">
      <c r="A6347" s="1" t="s">
        <v>63</v>
      </c>
      <c r="B6347" s="2">
        <v>94474</v>
      </c>
      <c r="C6347" s="3">
        <v>0.127</v>
      </c>
      <c r="D6347" s="4" t="s">
        <v>616</v>
      </c>
      <c r="E6347" s="4" t="s">
        <v>272</v>
      </c>
    </row>
    <row r="6348" spans="1:5" ht="26" hidden="1" x14ac:dyDescent="0.15">
      <c r="A6348" s="1" t="s">
        <v>64</v>
      </c>
      <c r="B6348" s="2">
        <v>38811</v>
      </c>
      <c r="C6348" s="3">
        <v>5.2000000000000005E-2</v>
      </c>
      <c r="D6348" s="4" t="s">
        <v>616</v>
      </c>
      <c r="E6348" s="4" t="s">
        <v>272</v>
      </c>
    </row>
    <row r="6349" spans="1:5" hidden="1" x14ac:dyDescent="0.15">
      <c r="A6349" s="1" t="s">
        <v>65</v>
      </c>
      <c r="B6349" s="2">
        <v>156943</v>
      </c>
      <c r="C6349" s="3">
        <v>0.21100000000000002</v>
      </c>
      <c r="D6349" s="4" t="s">
        <v>616</v>
      </c>
      <c r="E6349" s="4" t="s">
        <v>272</v>
      </c>
    </row>
    <row r="6350" spans="1:5" hidden="1" x14ac:dyDescent="0.15">
      <c r="A6350" s="1" t="s">
        <v>66</v>
      </c>
      <c r="B6350" s="2">
        <v>80270</v>
      </c>
      <c r="C6350" s="3">
        <v>0.10800000000000001</v>
      </c>
      <c r="D6350" s="4" t="s">
        <v>616</v>
      </c>
      <c r="E6350" s="4" t="s">
        <v>272</v>
      </c>
    </row>
    <row r="6351" spans="1:5" hidden="1" x14ac:dyDescent="0.15">
      <c r="A6351" s="1" t="s">
        <v>67</v>
      </c>
      <c r="B6351" s="2">
        <v>159575</v>
      </c>
      <c r="C6351" s="3">
        <v>0.215</v>
      </c>
      <c r="D6351" s="4" t="s">
        <v>616</v>
      </c>
      <c r="E6351" s="4" t="s">
        <v>272</v>
      </c>
    </row>
    <row r="6352" spans="1:5" hidden="1" x14ac:dyDescent="0.15">
      <c r="A6352" s="1" t="s">
        <v>68</v>
      </c>
      <c r="B6352" s="2">
        <v>272184</v>
      </c>
      <c r="C6352" s="3">
        <v>0.36599999999999999</v>
      </c>
      <c r="D6352" s="4" t="s">
        <v>616</v>
      </c>
      <c r="E6352" s="4" t="s">
        <v>272</v>
      </c>
    </row>
    <row r="6353" spans="1:5" hidden="1" x14ac:dyDescent="0.15">
      <c r="A6353" s="1" t="s">
        <v>69</v>
      </c>
      <c r="B6353" s="2">
        <v>440381</v>
      </c>
      <c r="C6353" s="3">
        <v>0.59200000000000008</v>
      </c>
      <c r="D6353" s="4" t="s">
        <v>616</v>
      </c>
      <c r="E6353" s="4" t="s">
        <v>272</v>
      </c>
    </row>
    <row r="6354" spans="1:5" hidden="1" x14ac:dyDescent="0.15">
      <c r="A6354" s="1" t="s">
        <v>70</v>
      </c>
      <c r="B6354" s="2">
        <v>103186</v>
      </c>
      <c r="C6354" s="3">
        <v>0.13900000000000001</v>
      </c>
      <c r="D6354" s="4" t="s">
        <v>616</v>
      </c>
      <c r="E6354" s="4" t="s">
        <v>272</v>
      </c>
    </row>
    <row r="6355" spans="1:5" ht="26" hidden="1" x14ac:dyDescent="0.15">
      <c r="A6355" s="1" t="s">
        <v>71</v>
      </c>
      <c r="B6355" s="2">
        <v>61148</v>
      </c>
      <c r="C6355" s="3">
        <v>8.199999999999999E-2</v>
      </c>
      <c r="D6355" s="4" t="s">
        <v>616</v>
      </c>
      <c r="E6355" s="4" t="s">
        <v>272</v>
      </c>
    </row>
    <row r="6356" spans="1:5" hidden="1" x14ac:dyDescent="0.15">
      <c r="A6356" s="1" t="s">
        <v>72</v>
      </c>
      <c r="B6356" s="2">
        <v>85741</v>
      </c>
      <c r="C6356" s="3">
        <v>0.115</v>
      </c>
      <c r="D6356" s="4" t="s">
        <v>616</v>
      </c>
      <c r="E6356" s="4" t="s">
        <v>272</v>
      </c>
    </row>
    <row r="6357" spans="1:5" hidden="1" x14ac:dyDescent="0.15">
      <c r="A6357" s="1" t="s">
        <v>73</v>
      </c>
      <c r="B6357" s="2">
        <v>398033</v>
      </c>
      <c r="C6357" s="3">
        <v>0.53500000000000003</v>
      </c>
      <c r="D6357" s="4" t="s">
        <v>616</v>
      </c>
      <c r="E6357" s="4" t="s">
        <v>272</v>
      </c>
    </row>
    <row r="6358" spans="1:5" hidden="1" x14ac:dyDescent="0.15">
      <c r="A6358" s="1" t="s">
        <v>74</v>
      </c>
      <c r="B6358" s="2">
        <v>130899</v>
      </c>
      <c r="C6358" s="3">
        <v>0.17600000000000002</v>
      </c>
      <c r="D6358" s="4" t="s">
        <v>616</v>
      </c>
      <c r="E6358" s="4" t="s">
        <v>272</v>
      </c>
    </row>
    <row r="6359" spans="1:5" hidden="1" x14ac:dyDescent="0.15">
      <c r="A6359" s="1" t="s">
        <v>75</v>
      </c>
      <c r="B6359" s="2">
        <v>295689</v>
      </c>
      <c r="C6359" s="3">
        <v>0.39799999999999996</v>
      </c>
      <c r="D6359" s="4" t="s">
        <v>616</v>
      </c>
      <c r="E6359" s="4" t="s">
        <v>272</v>
      </c>
    </row>
    <row r="6360" spans="1:5" hidden="1" x14ac:dyDescent="0.15">
      <c r="A6360" s="1" t="s">
        <v>76</v>
      </c>
      <c r="B6360" s="2">
        <v>123923</v>
      </c>
      <c r="C6360" s="3">
        <v>0.16699999999999998</v>
      </c>
      <c r="D6360" s="4" t="s">
        <v>616</v>
      </c>
      <c r="E6360" s="4" t="s">
        <v>272</v>
      </c>
    </row>
    <row r="6361" spans="1:5" hidden="1" x14ac:dyDescent="0.15">
      <c r="A6361" s="1" t="s">
        <v>77</v>
      </c>
      <c r="B6361" s="2">
        <v>119479</v>
      </c>
      <c r="C6361" s="3">
        <v>0.161</v>
      </c>
      <c r="D6361" s="4" t="s">
        <v>616</v>
      </c>
      <c r="E6361" s="4" t="s">
        <v>272</v>
      </c>
    </row>
    <row r="6362" spans="1:5" ht="26" hidden="1" x14ac:dyDescent="0.15">
      <c r="A6362" s="1" t="s">
        <v>78</v>
      </c>
      <c r="B6362" s="2">
        <v>93601</v>
      </c>
      <c r="C6362" s="3">
        <v>0.126</v>
      </c>
      <c r="D6362" s="4" t="s">
        <v>616</v>
      </c>
      <c r="E6362" s="4" t="s">
        <v>272</v>
      </c>
    </row>
    <row r="6363" spans="1:5" hidden="1" x14ac:dyDescent="0.15">
      <c r="A6363" s="1" t="s">
        <v>79</v>
      </c>
      <c r="B6363" s="2">
        <v>195306</v>
      </c>
      <c r="C6363" s="3">
        <v>0.26300000000000001</v>
      </c>
      <c r="D6363" s="4" t="s">
        <v>616</v>
      </c>
      <c r="E6363" s="4" t="s">
        <v>272</v>
      </c>
    </row>
    <row r="6364" spans="1:5" hidden="1" x14ac:dyDescent="0.15">
      <c r="A6364" s="1" t="s">
        <v>80</v>
      </c>
      <c r="B6364" s="2">
        <v>88845</v>
      </c>
      <c r="C6364" s="3">
        <v>0.12</v>
      </c>
      <c r="D6364" s="4" t="s">
        <v>616</v>
      </c>
      <c r="E6364" s="4" t="s">
        <v>272</v>
      </c>
    </row>
    <row r="6365" spans="1:5" ht="26" hidden="1" x14ac:dyDescent="0.15">
      <c r="A6365" s="1" t="s">
        <v>81</v>
      </c>
      <c r="B6365" s="2">
        <v>115907</v>
      </c>
      <c r="C6365" s="3">
        <v>0.156</v>
      </c>
      <c r="D6365" s="4" t="s">
        <v>616</v>
      </c>
      <c r="E6365" s="4" t="s">
        <v>272</v>
      </c>
    </row>
    <row r="6366" spans="1:5" hidden="1" x14ac:dyDescent="0.15">
      <c r="A6366" s="1" t="s">
        <v>82</v>
      </c>
      <c r="B6366" s="2">
        <v>137411</v>
      </c>
      <c r="C6366" s="3">
        <v>0.185</v>
      </c>
      <c r="D6366" s="4" t="s">
        <v>616</v>
      </c>
      <c r="E6366" s="4" t="s">
        <v>272</v>
      </c>
    </row>
    <row r="6367" spans="1:5" hidden="1" x14ac:dyDescent="0.15">
      <c r="A6367" s="4"/>
      <c r="B6367" s="4"/>
      <c r="C6367" s="4"/>
      <c r="D6367" s="4" t="s">
        <v>616</v>
      </c>
      <c r="E6367" s="4" t="s">
        <v>272</v>
      </c>
    </row>
    <row r="6368" spans="1:5" hidden="1" x14ac:dyDescent="0.15">
      <c r="A6368" s="4"/>
      <c r="B6368" s="4"/>
      <c r="C6368" s="4"/>
      <c r="D6368" s="4" t="s">
        <v>616</v>
      </c>
      <c r="E6368" s="4" t="s">
        <v>272</v>
      </c>
    </row>
    <row r="6369" spans="1:5" hidden="1" x14ac:dyDescent="0.15">
      <c r="A6369" s="1" t="s">
        <v>274</v>
      </c>
      <c r="B6369" s="2">
        <v>100532</v>
      </c>
      <c r="C6369" s="3">
        <v>0.13500000000000001</v>
      </c>
      <c r="D6369" s="4" t="s">
        <v>616</v>
      </c>
      <c r="E6369" s="4" t="s">
        <v>272</v>
      </c>
    </row>
    <row r="6370" spans="1:5" ht="26" hidden="1" x14ac:dyDescent="0.15">
      <c r="A6370" s="1" t="s">
        <v>275</v>
      </c>
      <c r="B6370" s="2">
        <v>108573</v>
      </c>
      <c r="C6370" s="3">
        <v>0.14599999999999999</v>
      </c>
      <c r="D6370" s="4" t="s">
        <v>616</v>
      </c>
      <c r="E6370" s="4" t="s">
        <v>272</v>
      </c>
    </row>
    <row r="6371" spans="1:5" hidden="1" x14ac:dyDescent="0.15">
      <c r="A6371" s="1" t="s">
        <v>276</v>
      </c>
      <c r="B6371" s="2">
        <v>306994</v>
      </c>
      <c r="C6371" s="3">
        <v>0.41299999999999998</v>
      </c>
      <c r="D6371" s="4" t="s">
        <v>616</v>
      </c>
      <c r="E6371" s="4" t="s">
        <v>272</v>
      </c>
    </row>
    <row r="6372" spans="1:5" hidden="1" x14ac:dyDescent="0.15">
      <c r="A6372" s="1" t="s">
        <v>277</v>
      </c>
      <c r="B6372" s="2">
        <v>117763</v>
      </c>
      <c r="C6372" s="3">
        <v>0.158</v>
      </c>
      <c r="D6372" s="4" t="s">
        <v>616</v>
      </c>
      <c r="E6372" s="4" t="s">
        <v>272</v>
      </c>
    </row>
    <row r="6373" spans="1:5" ht="39" hidden="1" x14ac:dyDescent="0.15">
      <c r="A6373" s="1" t="s">
        <v>617</v>
      </c>
      <c r="B6373" s="2">
        <v>150433</v>
      </c>
      <c r="C6373" s="3">
        <v>0.20199999999999999</v>
      </c>
      <c r="D6373" s="4" t="s">
        <v>616</v>
      </c>
      <c r="E6373" s="4" t="s">
        <v>272</v>
      </c>
    </row>
    <row r="6374" spans="1:5" ht="26" hidden="1" x14ac:dyDescent="0.15">
      <c r="A6374" s="1" t="s">
        <v>618</v>
      </c>
      <c r="B6374" s="2">
        <v>178151</v>
      </c>
      <c r="C6374" s="3">
        <v>0.24</v>
      </c>
      <c r="D6374" s="4" t="s">
        <v>616</v>
      </c>
      <c r="E6374" s="4" t="s">
        <v>272</v>
      </c>
    </row>
    <row r="6375" spans="1:5" ht="39" hidden="1" x14ac:dyDescent="0.15">
      <c r="A6375" s="1" t="s">
        <v>619</v>
      </c>
      <c r="B6375" s="2">
        <v>35914</v>
      </c>
      <c r="C6375" s="3">
        <v>4.8000000000000001E-2</v>
      </c>
      <c r="D6375" s="4" t="s">
        <v>616</v>
      </c>
      <c r="E6375" s="4" t="s">
        <v>272</v>
      </c>
    </row>
    <row r="6376" spans="1:5" ht="26" hidden="1" x14ac:dyDescent="0.15">
      <c r="A6376" s="1" t="s">
        <v>620</v>
      </c>
      <c r="B6376" s="2">
        <v>50330</v>
      </c>
      <c r="C6376" s="3">
        <v>6.8000000000000005E-2</v>
      </c>
      <c r="D6376" s="4" t="s">
        <v>616</v>
      </c>
      <c r="E6376" s="4" t="s">
        <v>272</v>
      </c>
    </row>
    <row r="6377" spans="1:5" hidden="1" x14ac:dyDescent="0.15">
      <c r="A6377" s="1" t="s">
        <v>273</v>
      </c>
      <c r="B6377" s="2">
        <v>58187</v>
      </c>
      <c r="C6377" s="3">
        <v>7.8E-2</v>
      </c>
      <c r="D6377" s="4" t="s">
        <v>616</v>
      </c>
      <c r="E6377" s="4" t="s">
        <v>272</v>
      </c>
    </row>
    <row r="6378" spans="1:5" ht="39" hidden="1" x14ac:dyDescent="0.15">
      <c r="A6378" s="1" t="s">
        <v>621</v>
      </c>
      <c r="B6378" s="2">
        <v>81775</v>
      </c>
      <c r="C6378" s="3">
        <v>0.11</v>
      </c>
      <c r="D6378" s="4" t="s">
        <v>616</v>
      </c>
      <c r="E6378" s="4" t="s">
        <v>272</v>
      </c>
    </row>
    <row r="6379" spans="1:5" ht="39" hidden="1" x14ac:dyDescent="0.15">
      <c r="A6379" s="1" t="s">
        <v>622</v>
      </c>
      <c r="B6379" s="2">
        <v>94532</v>
      </c>
      <c r="C6379" s="3">
        <v>0.127</v>
      </c>
      <c r="D6379" s="4" t="s">
        <v>616</v>
      </c>
      <c r="E6379" s="4" t="s">
        <v>272</v>
      </c>
    </row>
    <row r="6380" spans="1:5" hidden="1" x14ac:dyDescent="0.15">
      <c r="A6380" s="1" t="s">
        <v>0</v>
      </c>
      <c r="B6380" s="2">
        <v>3687298</v>
      </c>
      <c r="C6380" s="3">
        <v>1</v>
      </c>
      <c r="D6380" s="4" t="s">
        <v>623</v>
      </c>
      <c r="E6380" s="4" t="s">
        <v>603</v>
      </c>
    </row>
    <row r="6381" spans="1:5" ht="26" hidden="1" x14ac:dyDescent="0.15">
      <c r="A6381" s="1" t="s">
        <v>3</v>
      </c>
      <c r="B6381" s="2">
        <v>25399</v>
      </c>
      <c r="C6381" s="3">
        <v>6.9999999999999993E-3</v>
      </c>
      <c r="D6381" s="4" t="s">
        <v>623</v>
      </c>
      <c r="E6381" s="4" t="s">
        <v>603</v>
      </c>
    </row>
    <row r="6382" spans="1:5" hidden="1" x14ac:dyDescent="0.15">
      <c r="A6382" s="1" t="s">
        <v>4</v>
      </c>
      <c r="B6382" s="2">
        <v>38942</v>
      </c>
      <c r="C6382" s="3">
        <v>1.1000000000000001E-2</v>
      </c>
      <c r="D6382" s="4" t="s">
        <v>623</v>
      </c>
      <c r="E6382" s="4" t="s">
        <v>603</v>
      </c>
    </row>
    <row r="6383" spans="1:5" ht="26" hidden="1" x14ac:dyDescent="0.15">
      <c r="A6383" s="1" t="s">
        <v>5</v>
      </c>
      <c r="B6383" s="2">
        <v>88641</v>
      </c>
      <c r="C6383" s="3">
        <v>2.4E-2</v>
      </c>
      <c r="D6383" s="4" t="s">
        <v>623</v>
      </c>
      <c r="E6383" s="4" t="s">
        <v>603</v>
      </c>
    </row>
    <row r="6384" spans="1:5" ht="26" hidden="1" x14ac:dyDescent="0.15">
      <c r="A6384" s="1" t="s">
        <v>6</v>
      </c>
      <c r="B6384" s="2">
        <v>381886</v>
      </c>
      <c r="C6384" s="3">
        <v>0.10400000000000001</v>
      </c>
      <c r="D6384" s="4" t="s">
        <v>623</v>
      </c>
      <c r="E6384" s="4" t="s">
        <v>603</v>
      </c>
    </row>
    <row r="6385" spans="1:5" ht="26" hidden="1" x14ac:dyDescent="0.15">
      <c r="A6385" s="1" t="s">
        <v>7</v>
      </c>
      <c r="B6385" s="2">
        <v>862778</v>
      </c>
      <c r="C6385" s="3">
        <v>0.23399999999999999</v>
      </c>
      <c r="D6385" s="4" t="s">
        <v>623</v>
      </c>
      <c r="E6385" s="4" t="s">
        <v>603</v>
      </c>
    </row>
    <row r="6386" spans="1:5" ht="26" hidden="1" x14ac:dyDescent="0.15">
      <c r="A6386" s="1" t="s">
        <v>8</v>
      </c>
      <c r="B6386" s="2">
        <v>113227</v>
      </c>
      <c r="C6386" s="3">
        <v>3.1E-2</v>
      </c>
      <c r="D6386" s="4" t="s">
        <v>623</v>
      </c>
      <c r="E6386" s="4" t="s">
        <v>603</v>
      </c>
    </row>
    <row r="6387" spans="1:5" ht="26" hidden="1" x14ac:dyDescent="0.15">
      <c r="A6387" s="1" t="s">
        <v>9</v>
      </c>
      <c r="B6387" s="2">
        <v>81840</v>
      </c>
      <c r="C6387" s="3">
        <v>2.2000000000000002E-2</v>
      </c>
      <c r="D6387" s="4" t="s">
        <v>623</v>
      </c>
      <c r="E6387" s="4" t="s">
        <v>603</v>
      </c>
    </row>
    <row r="6388" spans="1:5" ht="26" hidden="1" x14ac:dyDescent="0.15">
      <c r="A6388" s="1" t="s">
        <v>10</v>
      </c>
      <c r="B6388" s="2">
        <v>52528</v>
      </c>
      <c r="C6388" s="3">
        <v>1.3999999999999999E-2</v>
      </c>
      <c r="D6388" s="4" t="s">
        <v>623</v>
      </c>
      <c r="E6388" s="4" t="s">
        <v>603</v>
      </c>
    </row>
    <row r="6389" spans="1:5" ht="26" hidden="1" x14ac:dyDescent="0.15">
      <c r="A6389" s="1" t="s">
        <v>11</v>
      </c>
      <c r="B6389" s="2">
        <v>213712</v>
      </c>
      <c r="C6389" s="3">
        <v>5.7999999999999996E-2</v>
      </c>
      <c r="D6389" s="4" t="s">
        <v>623</v>
      </c>
      <c r="E6389" s="4" t="s">
        <v>603</v>
      </c>
    </row>
    <row r="6390" spans="1:5" ht="26" hidden="1" x14ac:dyDescent="0.15">
      <c r="A6390" s="1" t="s">
        <v>12</v>
      </c>
      <c r="B6390" s="2">
        <v>48380</v>
      </c>
      <c r="C6390" s="3">
        <v>1.3000000000000001E-2</v>
      </c>
      <c r="D6390" s="4" t="s">
        <v>623</v>
      </c>
      <c r="E6390" s="4" t="s">
        <v>603</v>
      </c>
    </row>
    <row r="6391" spans="1:5" ht="26" hidden="1" x14ac:dyDescent="0.15">
      <c r="A6391" s="1" t="s">
        <v>13</v>
      </c>
      <c r="B6391" s="2">
        <v>18230</v>
      </c>
      <c r="C6391" s="3">
        <v>5.0000000000000001E-3</v>
      </c>
      <c r="D6391" s="4" t="s">
        <v>623</v>
      </c>
      <c r="E6391" s="4" t="s">
        <v>603</v>
      </c>
    </row>
    <row r="6392" spans="1:5" hidden="1" x14ac:dyDescent="0.15">
      <c r="A6392" s="1" t="s">
        <v>14</v>
      </c>
      <c r="B6392" s="2">
        <v>223033</v>
      </c>
      <c r="C6392" s="3">
        <v>0.06</v>
      </c>
      <c r="D6392" s="4" t="s">
        <v>623</v>
      </c>
      <c r="E6392" s="4" t="s">
        <v>603</v>
      </c>
    </row>
    <row r="6393" spans="1:5" ht="26" hidden="1" x14ac:dyDescent="0.15">
      <c r="A6393" s="1" t="s">
        <v>15</v>
      </c>
      <c r="B6393" s="2">
        <v>251995</v>
      </c>
      <c r="C6393" s="3">
        <v>6.8000000000000005E-2</v>
      </c>
      <c r="D6393" s="4" t="s">
        <v>623</v>
      </c>
      <c r="E6393" s="4" t="s">
        <v>603</v>
      </c>
    </row>
    <row r="6394" spans="1:5" ht="26" hidden="1" x14ac:dyDescent="0.15">
      <c r="A6394" s="1" t="s">
        <v>16</v>
      </c>
      <c r="B6394" s="2">
        <v>96342</v>
      </c>
      <c r="C6394" s="3">
        <v>2.6000000000000002E-2</v>
      </c>
      <c r="D6394" s="4" t="s">
        <v>623</v>
      </c>
      <c r="E6394" s="4" t="s">
        <v>603</v>
      </c>
    </row>
    <row r="6395" spans="1:5" ht="26" hidden="1" x14ac:dyDescent="0.15">
      <c r="A6395" s="1" t="s">
        <v>17</v>
      </c>
      <c r="B6395" s="2">
        <v>94616</v>
      </c>
      <c r="C6395" s="3">
        <v>2.6000000000000002E-2</v>
      </c>
      <c r="D6395" s="4" t="s">
        <v>623</v>
      </c>
      <c r="E6395" s="4" t="s">
        <v>603</v>
      </c>
    </row>
    <row r="6396" spans="1:5" hidden="1" x14ac:dyDescent="0.15">
      <c r="A6396" s="1" t="s">
        <v>18</v>
      </c>
      <c r="B6396" s="2">
        <v>82037</v>
      </c>
      <c r="C6396" s="3">
        <v>2.2000000000000002E-2</v>
      </c>
      <c r="D6396" s="4" t="s">
        <v>623</v>
      </c>
      <c r="E6396" s="4" t="s">
        <v>603</v>
      </c>
    </row>
    <row r="6397" spans="1:5" hidden="1" x14ac:dyDescent="0.15">
      <c r="A6397" s="1" t="s">
        <v>19</v>
      </c>
      <c r="B6397" s="2">
        <v>917598</v>
      </c>
      <c r="C6397" s="3">
        <v>0.249</v>
      </c>
      <c r="D6397" s="4" t="s">
        <v>623</v>
      </c>
      <c r="E6397" s="4" t="s">
        <v>603</v>
      </c>
    </row>
    <row r="6398" spans="1:5" hidden="1" x14ac:dyDescent="0.15">
      <c r="A6398" s="1" t="s">
        <v>20</v>
      </c>
      <c r="B6398" s="2">
        <v>46332</v>
      </c>
      <c r="C6398" s="3">
        <v>1.3000000000000001E-2</v>
      </c>
      <c r="D6398" s="4" t="s">
        <v>623</v>
      </c>
      <c r="E6398" s="4" t="s">
        <v>603</v>
      </c>
    </row>
    <row r="6399" spans="1:5" ht="26" hidden="1" x14ac:dyDescent="0.15">
      <c r="A6399" s="1" t="s">
        <v>21</v>
      </c>
      <c r="B6399" s="2">
        <v>75695</v>
      </c>
      <c r="C6399" s="3">
        <v>2.1000000000000001E-2</v>
      </c>
      <c r="D6399" s="4" t="s">
        <v>623</v>
      </c>
      <c r="E6399" s="4" t="s">
        <v>603</v>
      </c>
    </row>
    <row r="6400" spans="1:5" ht="26" hidden="1" x14ac:dyDescent="0.15">
      <c r="A6400" s="1" t="s">
        <v>22</v>
      </c>
      <c r="B6400" s="2">
        <v>20473</v>
      </c>
      <c r="C6400" s="3">
        <v>6.0000000000000001E-3</v>
      </c>
      <c r="D6400" s="4" t="s">
        <v>623</v>
      </c>
      <c r="E6400" s="4" t="s">
        <v>603</v>
      </c>
    </row>
    <row r="6401" spans="1:5" ht="26" hidden="1" x14ac:dyDescent="0.15">
      <c r="A6401" s="1" t="s">
        <v>23</v>
      </c>
      <c r="B6401" s="2">
        <v>64696</v>
      </c>
      <c r="C6401" s="3">
        <v>1.8000000000000002E-2</v>
      </c>
      <c r="D6401" s="4" t="s">
        <v>623</v>
      </c>
      <c r="E6401" s="4" t="s">
        <v>603</v>
      </c>
    </row>
    <row r="6402" spans="1:5" ht="26" hidden="1" x14ac:dyDescent="0.15">
      <c r="A6402" s="1" t="s">
        <v>24</v>
      </c>
      <c r="B6402" s="2">
        <v>22531</v>
      </c>
      <c r="C6402" s="3">
        <v>6.0000000000000001E-3</v>
      </c>
      <c r="D6402" s="4" t="s">
        <v>623</v>
      </c>
      <c r="E6402" s="4" t="s">
        <v>603</v>
      </c>
    </row>
    <row r="6403" spans="1:5" ht="26" hidden="1" x14ac:dyDescent="0.15">
      <c r="A6403" s="1" t="s">
        <v>25</v>
      </c>
      <c r="B6403" s="2">
        <v>76335</v>
      </c>
      <c r="C6403" s="3">
        <v>2.1000000000000001E-2</v>
      </c>
      <c r="D6403" s="4" t="s">
        <v>623</v>
      </c>
      <c r="E6403" s="4" t="s">
        <v>603</v>
      </c>
    </row>
    <row r="6404" spans="1:5" hidden="1" x14ac:dyDescent="0.15">
      <c r="A6404" s="1" t="s">
        <v>26</v>
      </c>
      <c r="B6404" s="2">
        <v>8218</v>
      </c>
      <c r="C6404" s="3">
        <v>2E-3</v>
      </c>
      <c r="D6404" s="4" t="s">
        <v>623</v>
      </c>
      <c r="E6404" s="4" t="s">
        <v>603</v>
      </c>
    </row>
    <row r="6405" spans="1:5" hidden="1" x14ac:dyDescent="0.15">
      <c r="A6405" s="1" t="s">
        <v>27</v>
      </c>
      <c r="B6405" s="2">
        <v>210495</v>
      </c>
      <c r="C6405" s="3">
        <v>5.7000000000000002E-2</v>
      </c>
      <c r="D6405" s="4" t="s">
        <v>623</v>
      </c>
      <c r="E6405" s="4" t="s">
        <v>603</v>
      </c>
    </row>
    <row r="6406" spans="1:5" hidden="1" x14ac:dyDescent="0.15">
      <c r="A6406" s="1" t="s">
        <v>28</v>
      </c>
      <c r="B6406" s="2">
        <v>346392</v>
      </c>
      <c r="C6406" s="3">
        <v>9.4E-2</v>
      </c>
      <c r="D6406" s="4" t="s">
        <v>623</v>
      </c>
      <c r="E6406" s="4" t="s">
        <v>603</v>
      </c>
    </row>
    <row r="6407" spans="1:5" hidden="1" x14ac:dyDescent="0.15">
      <c r="A6407" s="1" t="s">
        <v>29</v>
      </c>
      <c r="B6407" s="2">
        <v>992834</v>
      </c>
      <c r="C6407" s="3">
        <v>0.26899999999999996</v>
      </c>
      <c r="D6407" s="4" t="s">
        <v>623</v>
      </c>
      <c r="E6407" s="4" t="s">
        <v>603</v>
      </c>
    </row>
    <row r="6408" spans="1:5" hidden="1" x14ac:dyDescent="0.15">
      <c r="A6408" s="1" t="s">
        <v>30</v>
      </c>
      <c r="B6408" s="2">
        <v>598616</v>
      </c>
      <c r="C6408" s="3">
        <v>0.16200000000000001</v>
      </c>
      <c r="D6408" s="4" t="s">
        <v>623</v>
      </c>
      <c r="E6408" s="4" t="s">
        <v>603</v>
      </c>
    </row>
    <row r="6409" spans="1:5" ht="39" hidden="1" x14ac:dyDescent="0.15">
      <c r="A6409" s="1" t="s">
        <v>31</v>
      </c>
      <c r="B6409" s="2">
        <v>42892</v>
      </c>
      <c r="C6409" s="3">
        <v>1.2E-2</v>
      </c>
      <c r="D6409" s="4" t="s">
        <v>623</v>
      </c>
      <c r="E6409" s="4" t="s">
        <v>603</v>
      </c>
    </row>
    <row r="6410" spans="1:5" hidden="1" x14ac:dyDescent="0.15">
      <c r="A6410" s="1" t="s">
        <v>32</v>
      </c>
      <c r="B6410" s="2">
        <v>114555</v>
      </c>
      <c r="C6410" s="3">
        <v>3.1E-2</v>
      </c>
      <c r="D6410" s="4" t="s">
        <v>623</v>
      </c>
      <c r="E6410" s="4" t="s">
        <v>603</v>
      </c>
    </row>
    <row r="6411" spans="1:5" hidden="1" x14ac:dyDescent="0.15">
      <c r="A6411" s="1" t="s">
        <v>33</v>
      </c>
      <c r="B6411" s="2">
        <v>869692</v>
      </c>
      <c r="C6411" s="3">
        <v>0.23600000000000002</v>
      </c>
      <c r="D6411" s="4" t="s">
        <v>623</v>
      </c>
      <c r="E6411" s="4" t="s">
        <v>603</v>
      </c>
    </row>
    <row r="6412" spans="1:5" hidden="1" x14ac:dyDescent="0.15">
      <c r="A6412" s="1" t="s">
        <v>34</v>
      </c>
      <c r="B6412" s="2">
        <v>309616</v>
      </c>
      <c r="C6412" s="3">
        <v>8.4000000000000005E-2</v>
      </c>
      <c r="D6412" s="4" t="s">
        <v>623</v>
      </c>
      <c r="E6412" s="4" t="s">
        <v>603</v>
      </c>
    </row>
    <row r="6413" spans="1:5" hidden="1" x14ac:dyDescent="0.15">
      <c r="A6413" s="1" t="s">
        <v>35</v>
      </c>
      <c r="B6413" s="2">
        <v>138656</v>
      </c>
      <c r="C6413" s="3">
        <v>3.7999999999999999E-2</v>
      </c>
      <c r="D6413" s="4" t="s">
        <v>623</v>
      </c>
      <c r="E6413" s="4" t="s">
        <v>603</v>
      </c>
    </row>
    <row r="6414" spans="1:5" ht="26" hidden="1" x14ac:dyDescent="0.15">
      <c r="A6414" s="1" t="s">
        <v>36</v>
      </c>
      <c r="B6414" s="2">
        <v>29487</v>
      </c>
      <c r="C6414" s="3">
        <v>8.0000000000000002E-3</v>
      </c>
      <c r="D6414" s="4" t="s">
        <v>623</v>
      </c>
      <c r="E6414" s="4" t="s">
        <v>603</v>
      </c>
    </row>
    <row r="6415" spans="1:5" hidden="1" x14ac:dyDescent="0.15">
      <c r="A6415" s="1" t="s">
        <v>37</v>
      </c>
      <c r="B6415" s="2">
        <v>28090</v>
      </c>
      <c r="C6415" s="3">
        <v>8.0000000000000002E-3</v>
      </c>
      <c r="D6415" s="4" t="s">
        <v>623</v>
      </c>
      <c r="E6415" s="4" t="s">
        <v>603</v>
      </c>
    </row>
    <row r="6416" spans="1:5" ht="39" hidden="1" x14ac:dyDescent="0.15">
      <c r="A6416" s="1" t="s">
        <v>38</v>
      </c>
      <c r="B6416" s="2">
        <v>32111</v>
      </c>
      <c r="C6416" s="3">
        <v>9.0000000000000011E-3</v>
      </c>
      <c r="D6416" s="4" t="s">
        <v>623</v>
      </c>
      <c r="E6416" s="4" t="s">
        <v>603</v>
      </c>
    </row>
    <row r="6417" spans="1:5" hidden="1" x14ac:dyDescent="0.15">
      <c r="A6417" s="1" t="s">
        <v>39</v>
      </c>
      <c r="B6417" s="2">
        <v>167273</v>
      </c>
      <c r="C6417" s="3">
        <v>4.4999999999999998E-2</v>
      </c>
      <c r="D6417" s="4" t="s">
        <v>623</v>
      </c>
      <c r="E6417" s="4" t="s">
        <v>603</v>
      </c>
    </row>
    <row r="6418" spans="1:5" hidden="1" x14ac:dyDescent="0.15">
      <c r="A6418" s="1" t="s">
        <v>40</v>
      </c>
      <c r="B6418" s="2">
        <v>54269</v>
      </c>
      <c r="C6418" s="3">
        <v>1.4999999999999999E-2</v>
      </c>
      <c r="D6418" s="4" t="s">
        <v>623</v>
      </c>
      <c r="E6418" s="4" t="s">
        <v>603</v>
      </c>
    </row>
    <row r="6419" spans="1:5" hidden="1" x14ac:dyDescent="0.15">
      <c r="A6419" s="1" t="s">
        <v>41</v>
      </c>
      <c r="B6419" s="2">
        <v>83054</v>
      </c>
      <c r="C6419" s="3">
        <v>2.3E-2</v>
      </c>
      <c r="D6419" s="4" t="s">
        <v>623</v>
      </c>
      <c r="E6419" s="4" t="s">
        <v>603</v>
      </c>
    </row>
    <row r="6420" spans="1:5" hidden="1" x14ac:dyDescent="0.15">
      <c r="A6420" s="1" t="s">
        <v>42</v>
      </c>
      <c r="B6420" s="2">
        <v>104021</v>
      </c>
      <c r="C6420" s="3">
        <v>2.7999999999999997E-2</v>
      </c>
      <c r="D6420" s="4" t="s">
        <v>623</v>
      </c>
      <c r="E6420" s="4" t="s">
        <v>603</v>
      </c>
    </row>
    <row r="6421" spans="1:5" hidden="1" x14ac:dyDescent="0.15">
      <c r="A6421" s="1" t="s">
        <v>43</v>
      </c>
      <c r="B6421" s="2">
        <v>245592</v>
      </c>
      <c r="C6421" s="3">
        <v>6.7000000000000004E-2</v>
      </c>
      <c r="D6421" s="4" t="s">
        <v>623</v>
      </c>
      <c r="E6421" s="4" t="s">
        <v>603</v>
      </c>
    </row>
    <row r="6422" spans="1:5" ht="26" hidden="1" x14ac:dyDescent="0.15">
      <c r="A6422" s="1" t="s">
        <v>44</v>
      </c>
      <c r="B6422" s="2">
        <v>351726</v>
      </c>
      <c r="C6422" s="3">
        <v>9.5000000000000001E-2</v>
      </c>
      <c r="D6422" s="4" t="s">
        <v>623</v>
      </c>
      <c r="E6422" s="4" t="s">
        <v>603</v>
      </c>
    </row>
    <row r="6423" spans="1:5" hidden="1" x14ac:dyDescent="0.15">
      <c r="A6423" s="1" t="s">
        <v>45</v>
      </c>
      <c r="B6423" s="2">
        <v>665393</v>
      </c>
      <c r="C6423" s="3">
        <v>0.18</v>
      </c>
      <c r="D6423" s="4" t="s">
        <v>623</v>
      </c>
      <c r="E6423" s="4" t="s">
        <v>603</v>
      </c>
    </row>
    <row r="6424" spans="1:5" ht="26" hidden="1" x14ac:dyDescent="0.15">
      <c r="A6424" s="1" t="s">
        <v>46</v>
      </c>
      <c r="B6424" s="2">
        <v>1249423</v>
      </c>
      <c r="C6424" s="3">
        <v>0.33899999999999997</v>
      </c>
      <c r="D6424" s="4" t="s">
        <v>623</v>
      </c>
      <c r="E6424" s="4" t="s">
        <v>603</v>
      </c>
    </row>
    <row r="6425" spans="1:5" hidden="1" x14ac:dyDescent="0.15">
      <c r="A6425" s="1" t="s">
        <v>47</v>
      </c>
      <c r="B6425" s="2">
        <v>1777258</v>
      </c>
      <c r="C6425" s="3">
        <v>0.48200000000000004</v>
      </c>
      <c r="D6425" s="4" t="s">
        <v>623</v>
      </c>
      <c r="E6425" s="4" t="s">
        <v>603</v>
      </c>
    </row>
    <row r="6426" spans="1:5" hidden="1" x14ac:dyDescent="0.15">
      <c r="A6426" s="1" t="s">
        <v>48</v>
      </c>
      <c r="B6426" s="2">
        <v>800238</v>
      </c>
      <c r="C6426" s="3">
        <v>0.217</v>
      </c>
      <c r="D6426" s="4" t="s">
        <v>623</v>
      </c>
      <c r="E6426" s="4" t="s">
        <v>603</v>
      </c>
    </row>
    <row r="6427" spans="1:5" hidden="1" x14ac:dyDescent="0.15">
      <c r="A6427" s="1" t="s">
        <v>49</v>
      </c>
      <c r="B6427" s="2">
        <v>362530</v>
      </c>
      <c r="C6427" s="3">
        <v>9.8000000000000004E-2</v>
      </c>
      <c r="D6427" s="4" t="s">
        <v>623</v>
      </c>
      <c r="E6427" s="4" t="s">
        <v>603</v>
      </c>
    </row>
    <row r="6428" spans="1:5" ht="26" hidden="1" x14ac:dyDescent="0.15">
      <c r="A6428" s="1" t="s">
        <v>50</v>
      </c>
      <c r="B6428" s="2">
        <v>500757</v>
      </c>
      <c r="C6428" s="3">
        <v>0.13600000000000001</v>
      </c>
      <c r="D6428" s="4" t="s">
        <v>623</v>
      </c>
      <c r="E6428" s="4" t="s">
        <v>603</v>
      </c>
    </row>
    <row r="6429" spans="1:5" hidden="1" x14ac:dyDescent="0.15">
      <c r="A6429" s="1" t="s">
        <v>51</v>
      </c>
      <c r="B6429" s="2">
        <v>1137379</v>
      </c>
      <c r="C6429" s="3">
        <v>0.308</v>
      </c>
      <c r="D6429" s="4" t="s">
        <v>623</v>
      </c>
      <c r="E6429" s="4" t="s">
        <v>603</v>
      </c>
    </row>
    <row r="6430" spans="1:5" hidden="1" x14ac:dyDescent="0.15">
      <c r="A6430" s="1" t="s">
        <v>52</v>
      </c>
      <c r="B6430" s="2">
        <v>443719</v>
      </c>
      <c r="C6430" s="3">
        <v>0.12</v>
      </c>
      <c r="D6430" s="4" t="s">
        <v>623</v>
      </c>
      <c r="E6430" s="4" t="s">
        <v>603</v>
      </c>
    </row>
    <row r="6431" spans="1:5" ht="26" hidden="1" x14ac:dyDescent="0.15">
      <c r="A6431" s="1" t="s">
        <v>53</v>
      </c>
      <c r="B6431" s="2">
        <v>292171</v>
      </c>
      <c r="C6431" s="3">
        <v>7.9000000000000001E-2</v>
      </c>
      <c r="D6431" s="4" t="s">
        <v>623</v>
      </c>
      <c r="E6431" s="4" t="s">
        <v>603</v>
      </c>
    </row>
    <row r="6432" spans="1:5" hidden="1" x14ac:dyDescent="0.15">
      <c r="A6432" s="1" t="s">
        <v>54</v>
      </c>
      <c r="B6432" s="2">
        <v>1275389</v>
      </c>
      <c r="C6432" s="3">
        <v>0.34600000000000003</v>
      </c>
      <c r="D6432" s="4" t="s">
        <v>623</v>
      </c>
      <c r="E6432" s="4" t="s">
        <v>603</v>
      </c>
    </row>
    <row r="6433" spans="1:5" ht="26" hidden="1" x14ac:dyDescent="0.15">
      <c r="A6433" s="1" t="s">
        <v>55</v>
      </c>
      <c r="B6433" s="2">
        <v>964366</v>
      </c>
      <c r="C6433" s="3">
        <v>0.26200000000000001</v>
      </c>
      <c r="D6433" s="4" t="s">
        <v>623</v>
      </c>
      <c r="E6433" s="4" t="s">
        <v>603</v>
      </c>
    </row>
    <row r="6434" spans="1:5" hidden="1" x14ac:dyDescent="0.15">
      <c r="A6434" s="1" t="s">
        <v>56</v>
      </c>
      <c r="B6434" s="2">
        <v>825710</v>
      </c>
      <c r="C6434" s="3">
        <v>0.22399999999999998</v>
      </c>
      <c r="D6434" s="4" t="s">
        <v>623</v>
      </c>
      <c r="E6434" s="4" t="s">
        <v>603</v>
      </c>
    </row>
    <row r="6435" spans="1:5" hidden="1" x14ac:dyDescent="0.15">
      <c r="A6435" s="1" t="s">
        <v>57</v>
      </c>
      <c r="B6435" s="2">
        <v>563831</v>
      </c>
      <c r="C6435" s="3">
        <v>0.153</v>
      </c>
      <c r="D6435" s="4" t="s">
        <v>623</v>
      </c>
      <c r="E6435" s="4" t="s">
        <v>603</v>
      </c>
    </row>
    <row r="6436" spans="1:5" hidden="1" x14ac:dyDescent="0.15">
      <c r="A6436" s="1" t="s">
        <v>58</v>
      </c>
      <c r="B6436" s="2">
        <v>454706</v>
      </c>
      <c r="C6436" s="3">
        <v>0.12300000000000001</v>
      </c>
      <c r="D6436" s="4" t="s">
        <v>623</v>
      </c>
      <c r="E6436" s="4" t="s">
        <v>603</v>
      </c>
    </row>
    <row r="6437" spans="1:5" hidden="1" x14ac:dyDescent="0.15">
      <c r="A6437" s="1" t="s">
        <v>59</v>
      </c>
      <c r="B6437" s="2">
        <v>2275370</v>
      </c>
      <c r="C6437" s="3">
        <v>0.61699999999999999</v>
      </c>
      <c r="D6437" s="4" t="s">
        <v>623</v>
      </c>
      <c r="E6437" s="4" t="s">
        <v>603</v>
      </c>
    </row>
    <row r="6438" spans="1:5" hidden="1" x14ac:dyDescent="0.15">
      <c r="A6438" s="1" t="s">
        <v>60</v>
      </c>
      <c r="B6438" s="2">
        <v>389849</v>
      </c>
      <c r="C6438" s="3">
        <v>0.106</v>
      </c>
      <c r="D6438" s="4" t="s">
        <v>623</v>
      </c>
      <c r="E6438" s="4" t="s">
        <v>603</v>
      </c>
    </row>
    <row r="6439" spans="1:5" ht="26" hidden="1" x14ac:dyDescent="0.15">
      <c r="A6439" s="1" t="s">
        <v>61</v>
      </c>
      <c r="B6439" s="2">
        <v>586673</v>
      </c>
      <c r="C6439" s="3">
        <v>0.159</v>
      </c>
      <c r="D6439" s="4" t="s">
        <v>623</v>
      </c>
      <c r="E6439" s="4" t="s">
        <v>603</v>
      </c>
    </row>
    <row r="6440" spans="1:5" hidden="1" x14ac:dyDescent="0.15">
      <c r="A6440" s="1" t="s">
        <v>62</v>
      </c>
      <c r="B6440" s="2">
        <v>158573</v>
      </c>
      <c r="C6440" s="3">
        <v>4.2999999999999997E-2</v>
      </c>
      <c r="D6440" s="4" t="s">
        <v>623</v>
      </c>
      <c r="E6440" s="4" t="s">
        <v>603</v>
      </c>
    </row>
    <row r="6441" spans="1:5" ht="26" hidden="1" x14ac:dyDescent="0.15">
      <c r="A6441" s="1" t="s">
        <v>63</v>
      </c>
      <c r="B6441" s="2">
        <v>508783</v>
      </c>
      <c r="C6441" s="3">
        <v>0.13800000000000001</v>
      </c>
      <c r="D6441" s="4" t="s">
        <v>623</v>
      </c>
      <c r="E6441" s="4" t="s">
        <v>603</v>
      </c>
    </row>
    <row r="6442" spans="1:5" ht="26" hidden="1" x14ac:dyDescent="0.15">
      <c r="A6442" s="1" t="s">
        <v>64</v>
      </c>
      <c r="B6442" s="2">
        <v>341785</v>
      </c>
      <c r="C6442" s="3">
        <v>9.3000000000000013E-2</v>
      </c>
      <c r="D6442" s="4" t="s">
        <v>623</v>
      </c>
      <c r="E6442" s="4" t="s">
        <v>603</v>
      </c>
    </row>
    <row r="6443" spans="1:5" hidden="1" x14ac:dyDescent="0.15">
      <c r="A6443" s="1" t="s">
        <v>65</v>
      </c>
      <c r="B6443" s="2">
        <v>453666</v>
      </c>
      <c r="C6443" s="3">
        <v>0.12300000000000001</v>
      </c>
      <c r="D6443" s="4" t="s">
        <v>623</v>
      </c>
      <c r="E6443" s="4" t="s">
        <v>603</v>
      </c>
    </row>
    <row r="6444" spans="1:5" hidden="1" x14ac:dyDescent="0.15">
      <c r="A6444" s="1" t="s">
        <v>66</v>
      </c>
      <c r="B6444" s="2">
        <v>239284</v>
      </c>
      <c r="C6444" s="3">
        <v>6.5000000000000002E-2</v>
      </c>
      <c r="D6444" s="4" t="s">
        <v>623</v>
      </c>
      <c r="E6444" s="4" t="s">
        <v>603</v>
      </c>
    </row>
    <row r="6445" spans="1:5" hidden="1" x14ac:dyDescent="0.15">
      <c r="A6445" s="1" t="s">
        <v>67</v>
      </c>
      <c r="B6445" s="2">
        <v>868377</v>
      </c>
      <c r="C6445" s="3">
        <v>0.23600000000000002</v>
      </c>
      <c r="D6445" s="4" t="s">
        <v>623</v>
      </c>
      <c r="E6445" s="4" t="s">
        <v>603</v>
      </c>
    </row>
    <row r="6446" spans="1:5" hidden="1" x14ac:dyDescent="0.15">
      <c r="A6446" s="1" t="s">
        <v>68</v>
      </c>
      <c r="B6446" s="2">
        <v>1346900</v>
      </c>
      <c r="C6446" s="3">
        <v>0.36499999999999999</v>
      </c>
      <c r="D6446" s="4" t="s">
        <v>623</v>
      </c>
      <c r="E6446" s="4" t="s">
        <v>603</v>
      </c>
    </row>
    <row r="6447" spans="1:5" hidden="1" x14ac:dyDescent="0.15">
      <c r="A6447" s="1" t="s">
        <v>69</v>
      </c>
      <c r="B6447" s="2">
        <v>2212983</v>
      </c>
      <c r="C6447" s="3">
        <v>0.6</v>
      </c>
      <c r="D6447" s="4" t="s">
        <v>623</v>
      </c>
      <c r="E6447" s="4" t="s">
        <v>603</v>
      </c>
    </row>
    <row r="6448" spans="1:5" hidden="1" x14ac:dyDescent="0.15">
      <c r="A6448" s="1" t="s">
        <v>70</v>
      </c>
      <c r="B6448" s="2">
        <v>1829913</v>
      </c>
      <c r="C6448" s="3">
        <v>0.496</v>
      </c>
      <c r="D6448" s="4" t="s">
        <v>623</v>
      </c>
      <c r="E6448" s="4" t="s">
        <v>603</v>
      </c>
    </row>
    <row r="6449" spans="1:5" ht="26" hidden="1" x14ac:dyDescent="0.15">
      <c r="A6449" s="1" t="s">
        <v>71</v>
      </c>
      <c r="B6449" s="2">
        <v>231773</v>
      </c>
      <c r="C6449" s="3">
        <v>6.3E-2</v>
      </c>
      <c r="D6449" s="4" t="s">
        <v>623</v>
      </c>
      <c r="E6449" s="4" t="s">
        <v>603</v>
      </c>
    </row>
    <row r="6450" spans="1:5" hidden="1" x14ac:dyDescent="0.15">
      <c r="A6450" s="1" t="s">
        <v>72</v>
      </c>
      <c r="B6450" s="2">
        <v>441376</v>
      </c>
      <c r="C6450" s="3">
        <v>0.12</v>
      </c>
      <c r="D6450" s="4" t="s">
        <v>623</v>
      </c>
      <c r="E6450" s="4" t="s">
        <v>603</v>
      </c>
    </row>
    <row r="6451" spans="1:5" hidden="1" x14ac:dyDescent="0.15">
      <c r="A6451" s="1" t="s">
        <v>73</v>
      </c>
      <c r="B6451" s="2">
        <v>2073464</v>
      </c>
      <c r="C6451" s="3">
        <v>0.56200000000000006</v>
      </c>
      <c r="D6451" s="4" t="s">
        <v>623</v>
      </c>
      <c r="E6451" s="4" t="s">
        <v>603</v>
      </c>
    </row>
    <row r="6452" spans="1:5" hidden="1" x14ac:dyDescent="0.15">
      <c r="A6452" s="1" t="s">
        <v>74</v>
      </c>
      <c r="B6452" s="2">
        <v>1066898</v>
      </c>
      <c r="C6452" s="3">
        <v>0.28899999999999998</v>
      </c>
      <c r="D6452" s="4" t="s">
        <v>623</v>
      </c>
      <c r="E6452" s="4" t="s">
        <v>603</v>
      </c>
    </row>
    <row r="6453" spans="1:5" hidden="1" x14ac:dyDescent="0.15">
      <c r="A6453" s="1" t="s">
        <v>75</v>
      </c>
      <c r="B6453" s="2">
        <v>680756</v>
      </c>
      <c r="C6453" s="3">
        <v>0.185</v>
      </c>
      <c r="D6453" s="4" t="s">
        <v>623</v>
      </c>
      <c r="E6453" s="4" t="s">
        <v>603</v>
      </c>
    </row>
    <row r="6454" spans="1:5" hidden="1" x14ac:dyDescent="0.15">
      <c r="A6454" s="1" t="s">
        <v>76</v>
      </c>
      <c r="B6454" s="2">
        <v>293695</v>
      </c>
      <c r="C6454" s="3">
        <v>0.08</v>
      </c>
      <c r="D6454" s="4" t="s">
        <v>623</v>
      </c>
      <c r="E6454" s="4" t="s">
        <v>603</v>
      </c>
    </row>
    <row r="6455" spans="1:5" hidden="1" x14ac:dyDescent="0.15">
      <c r="A6455" s="1" t="s">
        <v>77</v>
      </c>
      <c r="B6455" s="2">
        <v>271698</v>
      </c>
      <c r="C6455" s="3">
        <v>7.400000000000001E-2</v>
      </c>
      <c r="D6455" s="4" t="s">
        <v>623</v>
      </c>
      <c r="E6455" s="4" t="s">
        <v>603</v>
      </c>
    </row>
    <row r="6456" spans="1:5" ht="26" hidden="1" x14ac:dyDescent="0.15">
      <c r="A6456" s="1" t="s">
        <v>78</v>
      </c>
      <c r="B6456" s="2">
        <v>325884</v>
      </c>
      <c r="C6456" s="3">
        <v>8.8000000000000009E-2</v>
      </c>
      <c r="D6456" s="4" t="s">
        <v>623</v>
      </c>
      <c r="E6456" s="4" t="s">
        <v>603</v>
      </c>
    </row>
    <row r="6457" spans="1:5" hidden="1" x14ac:dyDescent="0.15">
      <c r="A6457" s="1" t="s">
        <v>79</v>
      </c>
      <c r="B6457" s="2">
        <v>544486</v>
      </c>
      <c r="C6457" s="3">
        <v>0.14800000000000002</v>
      </c>
      <c r="D6457" s="4" t="s">
        <v>623</v>
      </c>
      <c r="E6457" s="4" t="s">
        <v>603</v>
      </c>
    </row>
    <row r="6458" spans="1:5" hidden="1" x14ac:dyDescent="0.15">
      <c r="A6458" s="1" t="s">
        <v>80</v>
      </c>
      <c r="B6458" s="2">
        <v>391060</v>
      </c>
      <c r="C6458" s="3">
        <v>0.106</v>
      </c>
      <c r="D6458" s="4" t="s">
        <v>623</v>
      </c>
      <c r="E6458" s="4" t="s">
        <v>603</v>
      </c>
    </row>
    <row r="6459" spans="1:5" ht="26" hidden="1" x14ac:dyDescent="0.15">
      <c r="A6459" s="1" t="s">
        <v>81</v>
      </c>
      <c r="B6459" s="2">
        <v>567973</v>
      </c>
      <c r="C6459" s="3">
        <v>0.154</v>
      </c>
      <c r="D6459" s="4" t="s">
        <v>623</v>
      </c>
      <c r="E6459" s="4" t="s">
        <v>603</v>
      </c>
    </row>
    <row r="6460" spans="1:5" hidden="1" x14ac:dyDescent="0.15">
      <c r="A6460" s="1" t="s">
        <v>82</v>
      </c>
      <c r="B6460" s="2">
        <v>370582</v>
      </c>
      <c r="C6460" s="3">
        <v>0.10099999999999999</v>
      </c>
      <c r="D6460" s="4" t="s">
        <v>623</v>
      </c>
      <c r="E6460" s="4" t="s">
        <v>603</v>
      </c>
    </row>
    <row r="6461" spans="1:5" hidden="1" x14ac:dyDescent="0.15">
      <c r="A6461" s="4"/>
      <c r="B6461" s="4"/>
      <c r="C6461" s="4"/>
      <c r="D6461" s="4" t="s">
        <v>623</v>
      </c>
      <c r="E6461" s="4" t="s">
        <v>603</v>
      </c>
    </row>
    <row r="6462" spans="1:5" hidden="1" x14ac:dyDescent="0.15">
      <c r="A6462" s="4"/>
      <c r="B6462" s="4"/>
      <c r="C6462" s="4"/>
      <c r="D6462" s="4" t="s">
        <v>623</v>
      </c>
      <c r="E6462" s="4" t="s">
        <v>603</v>
      </c>
    </row>
    <row r="6463" spans="1:5" hidden="1" x14ac:dyDescent="0.15">
      <c r="A6463" s="16"/>
      <c r="B6463" s="16"/>
      <c r="C6463" s="16"/>
      <c r="D6463" s="4" t="s">
        <v>623</v>
      </c>
      <c r="E6463" s="4" t="s">
        <v>603</v>
      </c>
    </row>
    <row r="6464" spans="1:5" hidden="1" x14ac:dyDescent="0.15">
      <c r="A6464" s="1" t="s">
        <v>170</v>
      </c>
      <c r="B6464" s="2">
        <v>2523082</v>
      </c>
      <c r="C6464" s="3">
        <v>0.68400000000000005</v>
      </c>
      <c r="D6464" s="4" t="s">
        <v>623</v>
      </c>
      <c r="E6464" s="4" t="s">
        <v>603</v>
      </c>
    </row>
    <row r="6465" spans="1:5" hidden="1" x14ac:dyDescent="0.15">
      <c r="A6465" s="4"/>
      <c r="B6465" s="4"/>
      <c r="C6465" s="4"/>
      <c r="D6465" s="4" t="s">
        <v>623</v>
      </c>
      <c r="E6465" s="4" t="s">
        <v>603</v>
      </c>
    </row>
    <row r="6466" spans="1:5" hidden="1" x14ac:dyDescent="0.15">
      <c r="A6466" s="16"/>
      <c r="B6466" s="16"/>
      <c r="C6466" s="16"/>
      <c r="D6466" s="4" t="s">
        <v>623</v>
      </c>
      <c r="E6466" s="4" t="s">
        <v>603</v>
      </c>
    </row>
    <row r="6467" spans="1:5" hidden="1" x14ac:dyDescent="0.15">
      <c r="A6467" s="1" t="s">
        <v>171</v>
      </c>
      <c r="B6467" s="2">
        <v>1124325</v>
      </c>
      <c r="C6467" s="3">
        <v>0.30499999999999999</v>
      </c>
      <c r="D6467" s="4" t="s">
        <v>623</v>
      </c>
      <c r="E6467" s="4" t="s">
        <v>603</v>
      </c>
    </row>
    <row r="6468" spans="1:5" hidden="1" x14ac:dyDescent="0.15">
      <c r="A6468" s="4"/>
      <c r="B6468" s="4"/>
      <c r="C6468" s="4"/>
      <c r="D6468" s="4" t="s">
        <v>623</v>
      </c>
      <c r="E6468" s="4" t="s">
        <v>603</v>
      </c>
    </row>
    <row r="6469" spans="1:5" hidden="1" x14ac:dyDescent="0.15">
      <c r="A6469" s="16"/>
      <c r="B6469" s="16"/>
      <c r="C6469" s="16"/>
      <c r="D6469" s="4" t="s">
        <v>623</v>
      </c>
      <c r="E6469" s="4" t="s">
        <v>603</v>
      </c>
    </row>
    <row r="6470" spans="1:5" hidden="1" x14ac:dyDescent="0.15">
      <c r="A6470" s="1" t="s">
        <v>173</v>
      </c>
      <c r="B6470" s="2">
        <v>2113268</v>
      </c>
      <c r="C6470" s="3">
        <v>0.57299999999999995</v>
      </c>
      <c r="D6470" s="4" t="s">
        <v>623</v>
      </c>
      <c r="E6470" s="4" t="s">
        <v>603</v>
      </c>
    </row>
    <row r="6471" spans="1:5" hidden="1" x14ac:dyDescent="0.15">
      <c r="A6471" s="4"/>
      <c r="B6471" s="4"/>
      <c r="C6471" s="4"/>
      <c r="D6471" s="4" t="s">
        <v>623</v>
      </c>
      <c r="E6471" s="4" t="s">
        <v>603</v>
      </c>
    </row>
    <row r="6472" spans="1:5" hidden="1" x14ac:dyDescent="0.15">
      <c r="A6472" s="16"/>
      <c r="B6472" s="16"/>
      <c r="C6472" s="16"/>
      <c r="D6472" s="4" t="s">
        <v>623</v>
      </c>
      <c r="E6472" s="4" t="s">
        <v>603</v>
      </c>
    </row>
    <row r="6473" spans="1:5" ht="26" hidden="1" x14ac:dyDescent="0.15">
      <c r="A6473" s="1" t="s">
        <v>175</v>
      </c>
      <c r="B6473" s="2">
        <v>1650739</v>
      </c>
      <c r="C6473" s="3">
        <v>0.44799999999999995</v>
      </c>
      <c r="D6473" s="4" t="s">
        <v>623</v>
      </c>
      <c r="E6473" s="4" t="s">
        <v>603</v>
      </c>
    </row>
    <row r="6474" spans="1:5" hidden="1" x14ac:dyDescent="0.15">
      <c r="A6474" s="4"/>
      <c r="B6474" s="4"/>
      <c r="C6474" s="4"/>
      <c r="D6474" s="4" t="s">
        <v>623</v>
      </c>
      <c r="E6474" s="4" t="s">
        <v>603</v>
      </c>
    </row>
    <row r="6475" spans="1:5" hidden="1" x14ac:dyDescent="0.15">
      <c r="A6475" s="16"/>
      <c r="B6475" s="16"/>
      <c r="C6475" s="16"/>
      <c r="D6475" s="4" t="s">
        <v>623</v>
      </c>
      <c r="E6475" s="4" t="s">
        <v>603</v>
      </c>
    </row>
    <row r="6476" spans="1:5" ht="39" hidden="1" x14ac:dyDescent="0.15">
      <c r="A6476" s="1" t="s">
        <v>604</v>
      </c>
      <c r="B6476" s="2">
        <v>926972</v>
      </c>
      <c r="C6476" s="3">
        <v>0.251</v>
      </c>
      <c r="D6476" s="4" t="s">
        <v>623</v>
      </c>
      <c r="E6476" s="4" t="s">
        <v>603</v>
      </c>
    </row>
    <row r="6477" spans="1:5" ht="39" hidden="1" x14ac:dyDescent="0.15">
      <c r="A6477" s="1" t="s">
        <v>605</v>
      </c>
      <c r="B6477" s="2">
        <v>1278725</v>
      </c>
      <c r="C6477" s="3">
        <v>0.34700000000000003</v>
      </c>
      <c r="D6477" s="4" t="s">
        <v>623</v>
      </c>
      <c r="E6477" s="4" t="s">
        <v>603</v>
      </c>
    </row>
    <row r="6478" spans="1:5" ht="39" hidden="1" x14ac:dyDescent="0.15">
      <c r="A6478" s="1" t="s">
        <v>624</v>
      </c>
      <c r="B6478" s="2">
        <v>332920</v>
      </c>
      <c r="C6478" s="3">
        <v>0.09</v>
      </c>
      <c r="D6478" s="4" t="s">
        <v>623</v>
      </c>
      <c r="E6478" s="4" t="s">
        <v>603</v>
      </c>
    </row>
    <row r="6479" spans="1:5" ht="26" hidden="1" x14ac:dyDescent="0.15">
      <c r="A6479" s="1" t="s">
        <v>625</v>
      </c>
      <c r="B6479" s="2">
        <v>982188</v>
      </c>
      <c r="C6479" s="3">
        <v>0.26600000000000001</v>
      </c>
      <c r="D6479" s="4" t="s">
        <v>623</v>
      </c>
      <c r="E6479" s="4" t="s">
        <v>603</v>
      </c>
    </row>
    <row r="6480" spans="1:5" ht="26" hidden="1" x14ac:dyDescent="0.15">
      <c r="A6480" s="1" t="s">
        <v>626</v>
      </c>
      <c r="B6480" s="2">
        <v>1533167</v>
      </c>
      <c r="C6480" s="3">
        <v>0.41600000000000004</v>
      </c>
      <c r="D6480" s="4" t="s">
        <v>623</v>
      </c>
      <c r="E6480" s="4" t="s">
        <v>603</v>
      </c>
    </row>
    <row r="6481" spans="1:5" ht="26" hidden="1" x14ac:dyDescent="0.15">
      <c r="A6481" s="1" t="s">
        <v>627</v>
      </c>
      <c r="B6481" s="2">
        <v>436614</v>
      </c>
      <c r="C6481" s="3">
        <v>0.11800000000000001</v>
      </c>
      <c r="D6481" s="4" t="s">
        <v>623</v>
      </c>
      <c r="E6481" s="4" t="s">
        <v>603</v>
      </c>
    </row>
    <row r="6482" spans="1:5" ht="39" hidden="1" x14ac:dyDescent="0.15">
      <c r="A6482" s="1" t="s">
        <v>628</v>
      </c>
      <c r="B6482" s="2">
        <v>103711</v>
      </c>
      <c r="C6482" s="3">
        <v>2.7999999999999997E-2</v>
      </c>
      <c r="D6482" s="4" t="s">
        <v>623</v>
      </c>
      <c r="E6482" s="4" t="s">
        <v>603</v>
      </c>
    </row>
    <row r="6483" spans="1:5" ht="39" hidden="1" x14ac:dyDescent="0.15">
      <c r="A6483" s="1" t="s">
        <v>629</v>
      </c>
      <c r="B6483" s="2">
        <v>156279</v>
      </c>
      <c r="C6483" s="3">
        <v>4.2000000000000003E-2</v>
      </c>
      <c r="D6483" s="4" t="s">
        <v>623</v>
      </c>
      <c r="E6483" s="4" t="s">
        <v>603</v>
      </c>
    </row>
    <row r="6484" spans="1:5" ht="26" hidden="1" x14ac:dyDescent="0.15">
      <c r="A6484" s="1" t="s">
        <v>630</v>
      </c>
      <c r="B6484" s="2">
        <v>93951</v>
      </c>
      <c r="C6484" s="3">
        <v>2.5000000000000001E-2</v>
      </c>
      <c r="D6484" s="4" t="s">
        <v>623</v>
      </c>
      <c r="E6484" s="4" t="s">
        <v>603</v>
      </c>
    </row>
    <row r="6485" spans="1:5" ht="26" hidden="1" x14ac:dyDescent="0.15">
      <c r="A6485" s="1" t="s">
        <v>631</v>
      </c>
      <c r="B6485" s="2">
        <v>169094</v>
      </c>
      <c r="C6485" s="3">
        <v>4.5999999999999999E-2</v>
      </c>
      <c r="D6485" s="4" t="s">
        <v>623</v>
      </c>
      <c r="E6485" s="4" t="s">
        <v>603</v>
      </c>
    </row>
    <row r="6486" spans="1:5" hidden="1" x14ac:dyDescent="0.15">
      <c r="A6486" s="1" t="s">
        <v>0</v>
      </c>
      <c r="B6486" s="2">
        <v>846101</v>
      </c>
      <c r="C6486" s="3">
        <v>1</v>
      </c>
      <c r="D6486" s="4" t="s">
        <v>632</v>
      </c>
      <c r="E6486" s="4" t="s">
        <v>633</v>
      </c>
    </row>
    <row r="6487" spans="1:5" ht="26" hidden="1" x14ac:dyDescent="0.15">
      <c r="A6487" s="1" t="s">
        <v>3</v>
      </c>
      <c r="B6487" s="2">
        <v>10663</v>
      </c>
      <c r="C6487" s="3">
        <v>1.3000000000000001E-2</v>
      </c>
      <c r="D6487" s="4" t="s">
        <v>632</v>
      </c>
      <c r="E6487" s="4" t="s">
        <v>633</v>
      </c>
    </row>
    <row r="6488" spans="1:5" hidden="1" x14ac:dyDescent="0.15">
      <c r="A6488" s="1" t="s">
        <v>4</v>
      </c>
      <c r="B6488" s="2">
        <v>15803</v>
      </c>
      <c r="C6488" s="3">
        <v>1.9E-2</v>
      </c>
      <c r="D6488" s="4" t="s">
        <v>632</v>
      </c>
      <c r="E6488" s="4" t="s">
        <v>633</v>
      </c>
    </row>
    <row r="6489" spans="1:5" ht="26" hidden="1" x14ac:dyDescent="0.15">
      <c r="A6489" s="1" t="s">
        <v>5</v>
      </c>
      <c r="B6489" s="2">
        <v>22525</v>
      </c>
      <c r="C6489" s="3">
        <v>2.7000000000000003E-2</v>
      </c>
      <c r="D6489" s="4" t="s">
        <v>632</v>
      </c>
      <c r="E6489" s="4" t="s">
        <v>633</v>
      </c>
    </row>
    <row r="6490" spans="1:5" ht="26" hidden="1" x14ac:dyDescent="0.15">
      <c r="A6490" s="1" t="s">
        <v>6</v>
      </c>
      <c r="B6490" s="2">
        <v>142153</v>
      </c>
      <c r="C6490" s="3">
        <v>0.16800000000000001</v>
      </c>
      <c r="D6490" s="4" t="s">
        <v>632</v>
      </c>
      <c r="E6490" s="4" t="s">
        <v>633</v>
      </c>
    </row>
    <row r="6491" spans="1:5" ht="26" hidden="1" x14ac:dyDescent="0.15">
      <c r="A6491" s="1" t="s">
        <v>7</v>
      </c>
      <c r="B6491" s="2">
        <v>252091</v>
      </c>
      <c r="C6491" s="3">
        <v>0.29799999999999999</v>
      </c>
      <c r="D6491" s="4" t="s">
        <v>632</v>
      </c>
      <c r="E6491" s="4" t="s">
        <v>633</v>
      </c>
    </row>
    <row r="6492" spans="1:5" ht="26" hidden="1" x14ac:dyDescent="0.15">
      <c r="A6492" s="1" t="s">
        <v>8</v>
      </c>
      <c r="B6492" s="2">
        <v>4074</v>
      </c>
      <c r="C6492" s="3">
        <v>5.0000000000000001E-3</v>
      </c>
      <c r="D6492" s="4" t="s">
        <v>632</v>
      </c>
      <c r="E6492" s="4" t="s">
        <v>633</v>
      </c>
    </row>
    <row r="6493" spans="1:5" ht="26" hidden="1" x14ac:dyDescent="0.15">
      <c r="A6493" s="1" t="s">
        <v>9</v>
      </c>
      <c r="B6493" s="2">
        <v>13017</v>
      </c>
      <c r="C6493" s="3">
        <v>1.4999999999999999E-2</v>
      </c>
      <c r="D6493" s="4" t="s">
        <v>632</v>
      </c>
      <c r="E6493" s="4" t="s">
        <v>633</v>
      </c>
    </row>
    <row r="6494" spans="1:5" ht="26" hidden="1" x14ac:dyDescent="0.15">
      <c r="A6494" s="1" t="s">
        <v>10</v>
      </c>
      <c r="B6494" s="2">
        <v>20785</v>
      </c>
      <c r="C6494" s="3">
        <v>2.5000000000000001E-2</v>
      </c>
      <c r="D6494" s="4" t="s">
        <v>632</v>
      </c>
      <c r="E6494" s="4" t="s">
        <v>633</v>
      </c>
    </row>
    <row r="6495" spans="1:5" ht="26" hidden="1" x14ac:dyDescent="0.15">
      <c r="A6495" s="1" t="s">
        <v>11</v>
      </c>
      <c r="B6495" s="2">
        <v>38598</v>
      </c>
      <c r="C6495" s="3">
        <v>4.5999999999999999E-2</v>
      </c>
      <c r="D6495" s="4" t="s">
        <v>632</v>
      </c>
      <c r="E6495" s="4" t="s">
        <v>633</v>
      </c>
    </row>
    <row r="6496" spans="1:5" ht="26" hidden="1" x14ac:dyDescent="0.15">
      <c r="A6496" s="1" t="s">
        <v>12</v>
      </c>
      <c r="B6496" s="2">
        <v>12940</v>
      </c>
      <c r="C6496" s="3">
        <v>1.4999999999999999E-2</v>
      </c>
      <c r="D6496" s="4" t="s">
        <v>632</v>
      </c>
      <c r="E6496" s="4" t="s">
        <v>633</v>
      </c>
    </row>
    <row r="6497" spans="1:5" ht="26" hidden="1" x14ac:dyDescent="0.15">
      <c r="A6497" s="1" t="s">
        <v>13</v>
      </c>
      <c r="B6497" s="2">
        <v>5203</v>
      </c>
      <c r="C6497" s="3">
        <v>6.0000000000000001E-3</v>
      </c>
      <c r="D6497" s="4" t="s">
        <v>632</v>
      </c>
      <c r="E6497" s="4" t="s">
        <v>633</v>
      </c>
    </row>
    <row r="6498" spans="1:5" hidden="1" x14ac:dyDescent="0.15">
      <c r="A6498" s="1" t="s">
        <v>14</v>
      </c>
      <c r="B6498" s="2">
        <v>61084</v>
      </c>
      <c r="C6498" s="3">
        <v>7.2000000000000008E-2</v>
      </c>
      <c r="D6498" s="4" t="s">
        <v>632</v>
      </c>
      <c r="E6498" s="4" t="s">
        <v>633</v>
      </c>
    </row>
    <row r="6499" spans="1:5" ht="26" hidden="1" x14ac:dyDescent="0.15">
      <c r="A6499" s="1" t="s">
        <v>15</v>
      </c>
      <c r="B6499" s="2">
        <v>90248</v>
      </c>
      <c r="C6499" s="3">
        <v>0.107</v>
      </c>
      <c r="D6499" s="4" t="s">
        <v>632</v>
      </c>
      <c r="E6499" s="4" t="s">
        <v>633</v>
      </c>
    </row>
    <row r="6500" spans="1:5" ht="26" hidden="1" x14ac:dyDescent="0.15">
      <c r="A6500" s="1" t="s">
        <v>16</v>
      </c>
      <c r="B6500" s="2">
        <v>25828</v>
      </c>
      <c r="C6500" s="3">
        <v>3.1E-2</v>
      </c>
      <c r="D6500" s="4" t="s">
        <v>632</v>
      </c>
      <c r="E6500" s="4" t="s">
        <v>633</v>
      </c>
    </row>
    <row r="6501" spans="1:5" ht="26" hidden="1" x14ac:dyDescent="0.15">
      <c r="A6501" s="1" t="s">
        <v>17</v>
      </c>
      <c r="B6501" s="2">
        <v>30051</v>
      </c>
      <c r="C6501" s="3">
        <v>3.6000000000000004E-2</v>
      </c>
      <c r="D6501" s="4" t="s">
        <v>632</v>
      </c>
      <c r="E6501" s="4" t="s">
        <v>633</v>
      </c>
    </row>
    <row r="6502" spans="1:5" hidden="1" x14ac:dyDescent="0.15">
      <c r="A6502" s="1" t="s">
        <v>18</v>
      </c>
      <c r="B6502" s="2">
        <v>18834</v>
      </c>
      <c r="C6502" s="3">
        <v>2.2000000000000002E-2</v>
      </c>
      <c r="D6502" s="4" t="s">
        <v>632</v>
      </c>
      <c r="E6502" s="4" t="s">
        <v>633</v>
      </c>
    </row>
    <row r="6503" spans="1:5" hidden="1" x14ac:dyDescent="0.15">
      <c r="A6503" s="1" t="s">
        <v>19</v>
      </c>
      <c r="B6503" s="2">
        <v>93593</v>
      </c>
      <c r="C6503" s="3">
        <v>0.111</v>
      </c>
      <c r="D6503" s="4" t="s">
        <v>632</v>
      </c>
      <c r="E6503" s="4" t="s">
        <v>633</v>
      </c>
    </row>
    <row r="6504" spans="1:5" hidden="1" x14ac:dyDescent="0.15">
      <c r="A6504" s="1" t="s">
        <v>20</v>
      </c>
      <c r="B6504" s="2">
        <v>11431</v>
      </c>
      <c r="C6504" s="3">
        <v>1.3999999999999999E-2</v>
      </c>
      <c r="D6504" s="4" t="s">
        <v>632</v>
      </c>
      <c r="E6504" s="4" t="s">
        <v>633</v>
      </c>
    </row>
    <row r="6505" spans="1:5" ht="26" hidden="1" x14ac:dyDescent="0.15">
      <c r="A6505" s="1" t="s">
        <v>21</v>
      </c>
      <c r="B6505" s="2">
        <v>8098</v>
      </c>
      <c r="C6505" s="3">
        <v>0.01</v>
      </c>
      <c r="D6505" s="4" t="s">
        <v>632</v>
      </c>
      <c r="E6505" s="4" t="s">
        <v>633</v>
      </c>
    </row>
    <row r="6506" spans="1:5" ht="26" hidden="1" x14ac:dyDescent="0.15">
      <c r="A6506" s="1" t="s">
        <v>22</v>
      </c>
      <c r="B6506" s="2">
        <v>7497</v>
      </c>
      <c r="C6506" s="3">
        <v>9.0000000000000011E-3</v>
      </c>
      <c r="D6506" s="4" t="s">
        <v>632</v>
      </c>
      <c r="E6506" s="4" t="s">
        <v>633</v>
      </c>
    </row>
    <row r="6507" spans="1:5" ht="26" hidden="1" x14ac:dyDescent="0.15">
      <c r="A6507" s="1" t="s">
        <v>23</v>
      </c>
      <c r="B6507" s="2">
        <v>24176</v>
      </c>
      <c r="C6507" s="3">
        <v>2.8999999999999998E-2</v>
      </c>
      <c r="D6507" s="4" t="s">
        <v>632</v>
      </c>
      <c r="E6507" s="4" t="s">
        <v>633</v>
      </c>
    </row>
    <row r="6508" spans="1:5" ht="26" hidden="1" x14ac:dyDescent="0.15">
      <c r="A6508" s="1" t="s">
        <v>24</v>
      </c>
      <c r="B6508" s="2">
        <v>9474</v>
      </c>
      <c r="C6508" s="3">
        <v>1.1000000000000001E-2</v>
      </c>
      <c r="D6508" s="4" t="s">
        <v>632</v>
      </c>
      <c r="E6508" s="4" t="s">
        <v>633</v>
      </c>
    </row>
    <row r="6509" spans="1:5" ht="26" hidden="1" x14ac:dyDescent="0.15">
      <c r="A6509" s="1" t="s">
        <v>25</v>
      </c>
      <c r="B6509" s="2">
        <v>28834</v>
      </c>
      <c r="C6509" s="3">
        <v>3.4000000000000002E-2</v>
      </c>
      <c r="D6509" s="4" t="s">
        <v>632</v>
      </c>
      <c r="E6509" s="4" t="s">
        <v>633</v>
      </c>
    </row>
    <row r="6510" spans="1:5" hidden="1" x14ac:dyDescent="0.15">
      <c r="A6510" s="1" t="s">
        <v>26</v>
      </c>
      <c r="B6510" s="2">
        <v>6128</v>
      </c>
      <c r="C6510" s="3">
        <v>6.9999999999999993E-3</v>
      </c>
      <c r="D6510" s="4" t="s">
        <v>632</v>
      </c>
      <c r="E6510" s="4" t="s">
        <v>633</v>
      </c>
    </row>
    <row r="6511" spans="1:5" hidden="1" x14ac:dyDescent="0.15">
      <c r="A6511" s="1" t="s">
        <v>27</v>
      </c>
      <c r="B6511" s="2">
        <v>99740</v>
      </c>
      <c r="C6511" s="3">
        <v>0.11800000000000001</v>
      </c>
      <c r="D6511" s="4" t="s">
        <v>632</v>
      </c>
      <c r="E6511" s="4" t="s">
        <v>633</v>
      </c>
    </row>
    <row r="6512" spans="1:5" hidden="1" x14ac:dyDescent="0.15">
      <c r="A6512" s="1" t="s">
        <v>28</v>
      </c>
      <c r="B6512" s="2">
        <v>29898</v>
      </c>
      <c r="C6512" s="3">
        <v>3.5000000000000003E-2</v>
      </c>
      <c r="D6512" s="4" t="s">
        <v>632</v>
      </c>
      <c r="E6512" s="4" t="s">
        <v>633</v>
      </c>
    </row>
    <row r="6513" spans="1:5" hidden="1" x14ac:dyDescent="0.15">
      <c r="A6513" s="1" t="s">
        <v>29</v>
      </c>
      <c r="B6513" s="2">
        <v>217372</v>
      </c>
      <c r="C6513" s="3">
        <v>0.25700000000000001</v>
      </c>
      <c r="D6513" s="4" t="s">
        <v>632</v>
      </c>
      <c r="E6513" s="4" t="s">
        <v>633</v>
      </c>
    </row>
    <row r="6514" spans="1:5" hidden="1" x14ac:dyDescent="0.15">
      <c r="A6514" s="1" t="s">
        <v>30</v>
      </c>
      <c r="B6514" s="2">
        <v>31283</v>
      </c>
      <c r="C6514" s="3">
        <v>3.7000000000000005E-2</v>
      </c>
      <c r="D6514" s="4" t="s">
        <v>632</v>
      </c>
      <c r="E6514" s="4" t="s">
        <v>633</v>
      </c>
    </row>
    <row r="6515" spans="1:5" ht="39" hidden="1" x14ac:dyDescent="0.15">
      <c r="A6515" s="1" t="s">
        <v>31</v>
      </c>
      <c r="B6515" s="2">
        <v>1090</v>
      </c>
      <c r="C6515" s="3">
        <v>1E-3</v>
      </c>
      <c r="D6515" s="4" t="s">
        <v>632</v>
      </c>
      <c r="E6515" s="4" t="s">
        <v>633</v>
      </c>
    </row>
    <row r="6516" spans="1:5" hidden="1" x14ac:dyDescent="0.15">
      <c r="A6516" s="1" t="s">
        <v>32</v>
      </c>
      <c r="B6516" s="2">
        <v>25252</v>
      </c>
      <c r="C6516" s="3">
        <v>0.03</v>
      </c>
      <c r="D6516" s="4" t="s">
        <v>632</v>
      </c>
      <c r="E6516" s="4" t="s">
        <v>633</v>
      </c>
    </row>
    <row r="6517" spans="1:5" hidden="1" x14ac:dyDescent="0.15">
      <c r="A6517" s="1" t="s">
        <v>33</v>
      </c>
      <c r="B6517" s="2">
        <v>228312</v>
      </c>
      <c r="C6517" s="3">
        <v>0.27</v>
      </c>
      <c r="D6517" s="4" t="s">
        <v>632</v>
      </c>
      <c r="E6517" s="4" t="s">
        <v>633</v>
      </c>
    </row>
    <row r="6518" spans="1:5" hidden="1" x14ac:dyDescent="0.15">
      <c r="A6518" s="1" t="s">
        <v>34</v>
      </c>
      <c r="B6518" s="2">
        <v>60748</v>
      </c>
      <c r="C6518" s="3">
        <v>7.2000000000000008E-2</v>
      </c>
      <c r="D6518" s="4" t="s">
        <v>632</v>
      </c>
      <c r="E6518" s="4" t="s">
        <v>633</v>
      </c>
    </row>
    <row r="6519" spans="1:5" hidden="1" x14ac:dyDescent="0.15">
      <c r="A6519" s="1" t="s">
        <v>35</v>
      </c>
      <c r="B6519" s="2">
        <v>24898</v>
      </c>
      <c r="C6519" s="3">
        <v>2.8999999999999998E-2</v>
      </c>
      <c r="D6519" s="4" t="s">
        <v>632</v>
      </c>
      <c r="E6519" s="4" t="s">
        <v>633</v>
      </c>
    </row>
    <row r="6520" spans="1:5" ht="26" hidden="1" x14ac:dyDescent="0.15">
      <c r="A6520" s="1" t="s">
        <v>36</v>
      </c>
      <c r="B6520" s="2">
        <v>22494</v>
      </c>
      <c r="C6520" s="3">
        <v>2.7000000000000003E-2</v>
      </c>
      <c r="D6520" s="4" t="s">
        <v>632</v>
      </c>
      <c r="E6520" s="4" t="s">
        <v>633</v>
      </c>
    </row>
    <row r="6521" spans="1:5" hidden="1" x14ac:dyDescent="0.15">
      <c r="A6521" s="1" t="s">
        <v>37</v>
      </c>
      <c r="B6521" s="2">
        <v>24936</v>
      </c>
      <c r="C6521" s="3">
        <v>2.8999999999999998E-2</v>
      </c>
      <c r="D6521" s="4" t="s">
        <v>632</v>
      </c>
      <c r="E6521" s="4" t="s">
        <v>633</v>
      </c>
    </row>
    <row r="6522" spans="1:5" ht="39" hidden="1" x14ac:dyDescent="0.15">
      <c r="A6522" s="1" t="s">
        <v>38</v>
      </c>
      <c r="B6522" s="2">
        <v>14774</v>
      </c>
      <c r="C6522" s="3">
        <v>1.7000000000000001E-2</v>
      </c>
      <c r="D6522" s="4" t="s">
        <v>632</v>
      </c>
      <c r="E6522" s="4" t="s">
        <v>633</v>
      </c>
    </row>
    <row r="6523" spans="1:5" hidden="1" x14ac:dyDescent="0.15">
      <c r="A6523" s="1" t="s">
        <v>39</v>
      </c>
      <c r="B6523" s="2">
        <v>41917</v>
      </c>
      <c r="C6523" s="3">
        <v>0.05</v>
      </c>
      <c r="D6523" s="4" t="s">
        <v>632</v>
      </c>
      <c r="E6523" s="4" t="s">
        <v>633</v>
      </c>
    </row>
    <row r="6524" spans="1:5" hidden="1" x14ac:dyDescent="0.15">
      <c r="A6524" s="1" t="s">
        <v>40</v>
      </c>
      <c r="B6524" s="2">
        <v>3102</v>
      </c>
      <c r="C6524" s="3">
        <v>4.0000000000000001E-3</v>
      </c>
      <c r="D6524" s="4" t="s">
        <v>632</v>
      </c>
      <c r="E6524" s="4" t="s">
        <v>633</v>
      </c>
    </row>
    <row r="6525" spans="1:5" hidden="1" x14ac:dyDescent="0.15">
      <c r="A6525" s="1" t="s">
        <v>41</v>
      </c>
      <c r="B6525" s="2">
        <v>11988</v>
      </c>
      <c r="C6525" s="3">
        <v>1.3999999999999999E-2</v>
      </c>
      <c r="D6525" s="4" t="s">
        <v>632</v>
      </c>
      <c r="E6525" s="4" t="s">
        <v>633</v>
      </c>
    </row>
    <row r="6526" spans="1:5" hidden="1" x14ac:dyDescent="0.15">
      <c r="A6526" s="1" t="s">
        <v>42</v>
      </c>
      <c r="B6526" s="2">
        <v>31680</v>
      </c>
      <c r="C6526" s="3">
        <v>3.7000000000000005E-2</v>
      </c>
      <c r="D6526" s="4" t="s">
        <v>632</v>
      </c>
      <c r="E6526" s="4" t="s">
        <v>633</v>
      </c>
    </row>
    <row r="6527" spans="1:5" hidden="1" x14ac:dyDescent="0.15">
      <c r="A6527" s="1" t="s">
        <v>43</v>
      </c>
      <c r="B6527" s="2">
        <v>95662</v>
      </c>
      <c r="C6527" s="3">
        <v>0.113</v>
      </c>
      <c r="D6527" s="4" t="s">
        <v>632</v>
      </c>
      <c r="E6527" s="4" t="s">
        <v>633</v>
      </c>
    </row>
    <row r="6528" spans="1:5" ht="26" hidden="1" x14ac:dyDescent="0.15">
      <c r="A6528" s="1" t="s">
        <v>44</v>
      </c>
      <c r="B6528" s="2">
        <v>190177</v>
      </c>
      <c r="C6528" s="3">
        <v>0.22500000000000001</v>
      </c>
      <c r="D6528" s="4" t="s">
        <v>632</v>
      </c>
      <c r="E6528" s="4" t="s">
        <v>633</v>
      </c>
    </row>
    <row r="6529" spans="1:5" hidden="1" x14ac:dyDescent="0.15">
      <c r="A6529" s="1" t="s">
        <v>45</v>
      </c>
      <c r="B6529" s="2">
        <v>180231</v>
      </c>
      <c r="C6529" s="3">
        <v>0.21299999999999999</v>
      </c>
      <c r="D6529" s="4" t="s">
        <v>632</v>
      </c>
      <c r="E6529" s="4" t="s">
        <v>633</v>
      </c>
    </row>
    <row r="6530" spans="1:5" ht="26" hidden="1" x14ac:dyDescent="0.15">
      <c r="A6530" s="1" t="s">
        <v>46</v>
      </c>
      <c r="B6530" s="2">
        <v>389355</v>
      </c>
      <c r="C6530" s="3">
        <v>0.46</v>
      </c>
      <c r="D6530" s="4" t="s">
        <v>632</v>
      </c>
      <c r="E6530" s="4" t="s">
        <v>633</v>
      </c>
    </row>
    <row r="6531" spans="1:5" hidden="1" x14ac:dyDescent="0.15">
      <c r="A6531" s="1" t="s">
        <v>47</v>
      </c>
      <c r="B6531" s="2">
        <v>505873</v>
      </c>
      <c r="C6531" s="3">
        <v>0.59799999999999998</v>
      </c>
      <c r="D6531" s="4" t="s">
        <v>632</v>
      </c>
      <c r="E6531" s="4" t="s">
        <v>633</v>
      </c>
    </row>
    <row r="6532" spans="1:5" hidden="1" x14ac:dyDescent="0.15">
      <c r="A6532" s="1" t="s">
        <v>48</v>
      </c>
      <c r="B6532" s="2">
        <v>87778</v>
      </c>
      <c r="C6532" s="3">
        <v>0.10400000000000001</v>
      </c>
      <c r="D6532" s="4" t="s">
        <v>632</v>
      </c>
      <c r="E6532" s="4" t="s">
        <v>633</v>
      </c>
    </row>
    <row r="6533" spans="1:5" hidden="1" x14ac:dyDescent="0.15">
      <c r="A6533" s="1" t="s">
        <v>49</v>
      </c>
      <c r="B6533" s="2">
        <v>68060</v>
      </c>
      <c r="C6533" s="3">
        <v>0.08</v>
      </c>
      <c r="D6533" s="4" t="s">
        <v>632</v>
      </c>
      <c r="E6533" s="4" t="s">
        <v>633</v>
      </c>
    </row>
    <row r="6534" spans="1:5" ht="26" hidden="1" x14ac:dyDescent="0.15">
      <c r="A6534" s="1" t="s">
        <v>50</v>
      </c>
      <c r="B6534" s="2">
        <v>142960</v>
      </c>
      <c r="C6534" s="3">
        <v>0.16899999999999998</v>
      </c>
      <c r="D6534" s="4" t="s">
        <v>632</v>
      </c>
      <c r="E6534" s="4" t="s">
        <v>633</v>
      </c>
    </row>
    <row r="6535" spans="1:5" hidden="1" x14ac:dyDescent="0.15">
      <c r="A6535" s="1" t="s">
        <v>51</v>
      </c>
      <c r="B6535" s="2">
        <v>275783</v>
      </c>
      <c r="C6535" s="3">
        <v>0.32600000000000001</v>
      </c>
      <c r="D6535" s="4" t="s">
        <v>632</v>
      </c>
      <c r="E6535" s="4" t="s">
        <v>633</v>
      </c>
    </row>
    <row r="6536" spans="1:5" hidden="1" x14ac:dyDescent="0.15">
      <c r="A6536" s="1" t="s">
        <v>52</v>
      </c>
      <c r="B6536" s="2">
        <v>120208</v>
      </c>
      <c r="C6536" s="3">
        <v>0.14199999999999999</v>
      </c>
      <c r="D6536" s="4" t="s">
        <v>632</v>
      </c>
      <c r="E6536" s="4" t="s">
        <v>633</v>
      </c>
    </row>
    <row r="6537" spans="1:5" ht="26" hidden="1" x14ac:dyDescent="0.15">
      <c r="A6537" s="1" t="s">
        <v>53</v>
      </c>
      <c r="B6537" s="2">
        <v>79823</v>
      </c>
      <c r="C6537" s="3">
        <v>9.4E-2</v>
      </c>
      <c r="D6537" s="4" t="s">
        <v>632</v>
      </c>
      <c r="E6537" s="4" t="s">
        <v>633</v>
      </c>
    </row>
    <row r="6538" spans="1:5" hidden="1" x14ac:dyDescent="0.15">
      <c r="A6538" s="1" t="s">
        <v>54</v>
      </c>
      <c r="B6538" s="2">
        <v>333334</v>
      </c>
      <c r="C6538" s="3">
        <v>0.39399999999999996</v>
      </c>
      <c r="D6538" s="4" t="s">
        <v>632</v>
      </c>
      <c r="E6538" s="4" t="s">
        <v>633</v>
      </c>
    </row>
    <row r="6539" spans="1:5" ht="26" hidden="1" x14ac:dyDescent="0.15">
      <c r="A6539" s="1" t="s">
        <v>55</v>
      </c>
      <c r="B6539" s="2">
        <v>367904</v>
      </c>
      <c r="C6539" s="3">
        <v>0.435</v>
      </c>
      <c r="D6539" s="4" t="s">
        <v>632</v>
      </c>
      <c r="E6539" s="4" t="s">
        <v>633</v>
      </c>
    </row>
    <row r="6540" spans="1:5" hidden="1" x14ac:dyDescent="0.15">
      <c r="A6540" s="1" t="s">
        <v>56</v>
      </c>
      <c r="B6540" s="2">
        <v>219147</v>
      </c>
      <c r="C6540" s="3">
        <v>0.25900000000000001</v>
      </c>
      <c r="D6540" s="4" t="s">
        <v>632</v>
      </c>
      <c r="E6540" s="4" t="s">
        <v>633</v>
      </c>
    </row>
    <row r="6541" spans="1:5" hidden="1" x14ac:dyDescent="0.15">
      <c r="A6541" s="1" t="s">
        <v>57</v>
      </c>
      <c r="B6541" s="2">
        <v>183559</v>
      </c>
      <c r="C6541" s="3">
        <v>0.217</v>
      </c>
      <c r="D6541" s="4" t="s">
        <v>632</v>
      </c>
      <c r="E6541" s="4" t="s">
        <v>633</v>
      </c>
    </row>
    <row r="6542" spans="1:5" hidden="1" x14ac:dyDescent="0.15">
      <c r="A6542" s="1" t="s">
        <v>58</v>
      </c>
      <c r="B6542" s="2">
        <v>114525</v>
      </c>
      <c r="C6542" s="3">
        <v>0.13500000000000001</v>
      </c>
      <c r="D6542" s="4" t="s">
        <v>632</v>
      </c>
      <c r="E6542" s="4" t="s">
        <v>633</v>
      </c>
    </row>
    <row r="6543" spans="1:5" hidden="1" x14ac:dyDescent="0.15">
      <c r="A6543" s="1" t="s">
        <v>59</v>
      </c>
      <c r="B6543" s="2">
        <v>375185</v>
      </c>
      <c r="C6543" s="3">
        <v>0.44299999999999995</v>
      </c>
      <c r="D6543" s="4" t="s">
        <v>632</v>
      </c>
      <c r="E6543" s="4" t="s">
        <v>633</v>
      </c>
    </row>
    <row r="6544" spans="1:5" hidden="1" x14ac:dyDescent="0.15">
      <c r="A6544" s="1" t="s">
        <v>60</v>
      </c>
      <c r="B6544" s="2">
        <v>82123</v>
      </c>
      <c r="C6544" s="3">
        <v>9.6999999999999989E-2</v>
      </c>
      <c r="D6544" s="4" t="s">
        <v>632</v>
      </c>
      <c r="E6544" s="4" t="s">
        <v>633</v>
      </c>
    </row>
    <row r="6545" spans="1:5" ht="26" hidden="1" x14ac:dyDescent="0.15">
      <c r="A6545" s="1" t="s">
        <v>61</v>
      </c>
      <c r="B6545" s="2">
        <v>127914</v>
      </c>
      <c r="C6545" s="3">
        <v>0.151</v>
      </c>
      <c r="D6545" s="4" t="s">
        <v>632</v>
      </c>
      <c r="E6545" s="4" t="s">
        <v>633</v>
      </c>
    </row>
    <row r="6546" spans="1:5" hidden="1" x14ac:dyDescent="0.15">
      <c r="A6546" s="1" t="s">
        <v>62</v>
      </c>
      <c r="B6546" s="2">
        <v>47485</v>
      </c>
      <c r="C6546" s="3">
        <v>5.5999999999999994E-2</v>
      </c>
      <c r="D6546" s="4" t="s">
        <v>632</v>
      </c>
      <c r="E6546" s="4" t="s">
        <v>633</v>
      </c>
    </row>
    <row r="6547" spans="1:5" ht="26" hidden="1" x14ac:dyDescent="0.15">
      <c r="A6547" s="1" t="s">
        <v>63</v>
      </c>
      <c r="B6547" s="2">
        <v>215668</v>
      </c>
      <c r="C6547" s="3">
        <v>0.255</v>
      </c>
      <c r="D6547" s="4" t="s">
        <v>632</v>
      </c>
      <c r="E6547" s="4" t="s">
        <v>633</v>
      </c>
    </row>
    <row r="6548" spans="1:5" ht="26" hidden="1" x14ac:dyDescent="0.15">
      <c r="A6548" s="1" t="s">
        <v>64</v>
      </c>
      <c r="B6548" s="2">
        <v>84078</v>
      </c>
      <c r="C6548" s="3">
        <v>9.9000000000000005E-2</v>
      </c>
      <c r="D6548" s="4" t="s">
        <v>632</v>
      </c>
      <c r="E6548" s="4" t="s">
        <v>633</v>
      </c>
    </row>
    <row r="6549" spans="1:5" hidden="1" x14ac:dyDescent="0.15">
      <c r="A6549" s="1" t="s">
        <v>65</v>
      </c>
      <c r="B6549" s="2">
        <v>151325</v>
      </c>
      <c r="C6549" s="3">
        <v>0.17899999999999999</v>
      </c>
      <c r="D6549" s="4" t="s">
        <v>632</v>
      </c>
      <c r="E6549" s="4" t="s">
        <v>633</v>
      </c>
    </row>
    <row r="6550" spans="1:5" hidden="1" x14ac:dyDescent="0.15">
      <c r="A6550" s="1" t="s">
        <v>66</v>
      </c>
      <c r="B6550" s="2">
        <v>83855</v>
      </c>
      <c r="C6550" s="3">
        <v>9.9000000000000005E-2</v>
      </c>
      <c r="D6550" s="4" t="s">
        <v>632</v>
      </c>
      <c r="E6550" s="4" t="s">
        <v>633</v>
      </c>
    </row>
    <row r="6551" spans="1:5" hidden="1" x14ac:dyDescent="0.15">
      <c r="A6551" s="1" t="s">
        <v>67</v>
      </c>
      <c r="B6551" s="2">
        <v>295071</v>
      </c>
      <c r="C6551" s="3">
        <v>0.34899999999999998</v>
      </c>
      <c r="D6551" s="4" t="s">
        <v>632</v>
      </c>
      <c r="E6551" s="4" t="s">
        <v>633</v>
      </c>
    </row>
    <row r="6552" spans="1:5" hidden="1" x14ac:dyDescent="0.15">
      <c r="A6552" s="1" t="s">
        <v>68</v>
      </c>
      <c r="B6552" s="2">
        <v>241839</v>
      </c>
      <c r="C6552" s="3">
        <v>0.28600000000000003</v>
      </c>
      <c r="D6552" s="4" t="s">
        <v>632</v>
      </c>
      <c r="E6552" s="4" t="s">
        <v>633</v>
      </c>
    </row>
    <row r="6553" spans="1:5" hidden="1" x14ac:dyDescent="0.15">
      <c r="A6553" s="1" t="s">
        <v>69</v>
      </c>
      <c r="B6553" s="2">
        <v>514457</v>
      </c>
      <c r="C6553" s="3">
        <v>0.60799999999999998</v>
      </c>
      <c r="D6553" s="4" t="s">
        <v>632</v>
      </c>
      <c r="E6553" s="4" t="s">
        <v>633</v>
      </c>
    </row>
    <row r="6554" spans="1:5" hidden="1" x14ac:dyDescent="0.15">
      <c r="A6554" s="1" t="s">
        <v>70</v>
      </c>
      <c r="B6554" s="2">
        <v>153129</v>
      </c>
      <c r="C6554" s="3">
        <v>0.18100000000000002</v>
      </c>
      <c r="D6554" s="4" t="s">
        <v>632</v>
      </c>
      <c r="E6554" s="4" t="s">
        <v>633</v>
      </c>
    </row>
    <row r="6555" spans="1:5" ht="26" hidden="1" x14ac:dyDescent="0.15">
      <c r="A6555" s="1" t="s">
        <v>71</v>
      </c>
      <c r="B6555" s="2">
        <v>71922</v>
      </c>
      <c r="C6555" s="3">
        <v>8.5000000000000006E-2</v>
      </c>
      <c r="D6555" s="4" t="s">
        <v>632</v>
      </c>
      <c r="E6555" s="4" t="s">
        <v>633</v>
      </c>
    </row>
    <row r="6556" spans="1:5" hidden="1" x14ac:dyDescent="0.15">
      <c r="A6556" s="1" t="s">
        <v>72</v>
      </c>
      <c r="B6556" s="2">
        <v>161232</v>
      </c>
      <c r="C6556" s="3">
        <v>0.191</v>
      </c>
      <c r="D6556" s="4" t="s">
        <v>632</v>
      </c>
      <c r="E6556" s="4" t="s">
        <v>633</v>
      </c>
    </row>
    <row r="6557" spans="1:5" hidden="1" x14ac:dyDescent="0.15">
      <c r="A6557" s="1" t="s">
        <v>73</v>
      </c>
      <c r="B6557" s="2">
        <v>538945</v>
      </c>
      <c r="C6557" s="3">
        <v>0.63700000000000001</v>
      </c>
      <c r="D6557" s="4" t="s">
        <v>632</v>
      </c>
      <c r="E6557" s="4" t="s">
        <v>633</v>
      </c>
    </row>
    <row r="6558" spans="1:5" hidden="1" x14ac:dyDescent="0.15">
      <c r="A6558" s="1" t="s">
        <v>74</v>
      </c>
      <c r="B6558" s="2">
        <v>259526</v>
      </c>
      <c r="C6558" s="3">
        <v>0.307</v>
      </c>
      <c r="D6558" s="4" t="s">
        <v>632</v>
      </c>
      <c r="E6558" s="4" t="s">
        <v>633</v>
      </c>
    </row>
    <row r="6559" spans="1:5" hidden="1" x14ac:dyDescent="0.15">
      <c r="A6559" s="1" t="s">
        <v>75</v>
      </c>
      <c r="B6559" s="2">
        <v>139676</v>
      </c>
      <c r="C6559" s="3">
        <v>0.16500000000000001</v>
      </c>
      <c r="D6559" s="4" t="s">
        <v>632</v>
      </c>
      <c r="E6559" s="4" t="s">
        <v>633</v>
      </c>
    </row>
    <row r="6560" spans="1:5" hidden="1" x14ac:dyDescent="0.15">
      <c r="A6560" s="1" t="s">
        <v>76</v>
      </c>
      <c r="B6560" s="2">
        <v>169873</v>
      </c>
      <c r="C6560" s="3">
        <v>0.20100000000000001</v>
      </c>
      <c r="D6560" s="4" t="s">
        <v>632</v>
      </c>
      <c r="E6560" s="4" t="s">
        <v>633</v>
      </c>
    </row>
    <row r="6561" spans="1:5" hidden="1" x14ac:dyDescent="0.15">
      <c r="A6561" s="1" t="s">
        <v>77</v>
      </c>
      <c r="B6561" s="2">
        <v>149957</v>
      </c>
      <c r="C6561" s="3">
        <v>0.17699999999999999</v>
      </c>
      <c r="D6561" s="4" t="s">
        <v>632</v>
      </c>
      <c r="E6561" s="4" t="s">
        <v>633</v>
      </c>
    </row>
    <row r="6562" spans="1:5" ht="26" hidden="1" x14ac:dyDescent="0.15">
      <c r="A6562" s="1" t="s">
        <v>78</v>
      </c>
      <c r="B6562" s="2">
        <v>113277</v>
      </c>
      <c r="C6562" s="3">
        <v>0.13400000000000001</v>
      </c>
      <c r="D6562" s="4" t="s">
        <v>632</v>
      </c>
      <c r="E6562" s="4" t="s">
        <v>633</v>
      </c>
    </row>
    <row r="6563" spans="1:5" hidden="1" x14ac:dyDescent="0.15">
      <c r="A6563" s="1" t="s">
        <v>79</v>
      </c>
      <c r="B6563" s="2">
        <v>144737</v>
      </c>
      <c r="C6563" s="3">
        <v>0.17100000000000001</v>
      </c>
      <c r="D6563" s="4" t="s">
        <v>632</v>
      </c>
      <c r="E6563" s="4" t="s">
        <v>633</v>
      </c>
    </row>
    <row r="6564" spans="1:5" hidden="1" x14ac:dyDescent="0.15">
      <c r="A6564" s="1" t="s">
        <v>80</v>
      </c>
      <c r="B6564" s="2">
        <v>80984</v>
      </c>
      <c r="C6564" s="3">
        <v>9.6000000000000002E-2</v>
      </c>
      <c r="D6564" s="4" t="s">
        <v>632</v>
      </c>
      <c r="E6564" s="4" t="s">
        <v>633</v>
      </c>
    </row>
    <row r="6565" spans="1:5" ht="26" hidden="1" x14ac:dyDescent="0.15">
      <c r="A6565" s="1" t="s">
        <v>81</v>
      </c>
      <c r="B6565" s="2">
        <v>108429</v>
      </c>
      <c r="C6565" s="3">
        <v>0.128</v>
      </c>
      <c r="D6565" s="4" t="s">
        <v>632</v>
      </c>
      <c r="E6565" s="4" t="s">
        <v>633</v>
      </c>
    </row>
    <row r="6566" spans="1:5" hidden="1" x14ac:dyDescent="0.15">
      <c r="A6566" s="1" t="s">
        <v>82</v>
      </c>
      <c r="B6566" s="2">
        <v>99827</v>
      </c>
      <c r="C6566" s="3">
        <v>0.11800000000000001</v>
      </c>
      <c r="D6566" s="4" t="s">
        <v>632</v>
      </c>
      <c r="E6566" s="4" t="s">
        <v>633</v>
      </c>
    </row>
    <row r="6567" spans="1:5" hidden="1" x14ac:dyDescent="0.15">
      <c r="A6567" s="4"/>
      <c r="B6567" s="4"/>
      <c r="C6567" s="4"/>
      <c r="D6567" s="4" t="s">
        <v>632</v>
      </c>
      <c r="E6567" s="4" t="s">
        <v>633</v>
      </c>
    </row>
    <row r="6568" spans="1:5" hidden="1" x14ac:dyDescent="0.15">
      <c r="A6568" s="1" t="s">
        <v>452</v>
      </c>
      <c r="B6568" s="2">
        <v>206002</v>
      </c>
      <c r="C6568" s="3">
        <v>0.24299999999999999</v>
      </c>
      <c r="D6568" s="4" t="s">
        <v>632</v>
      </c>
      <c r="E6568" s="4" t="s">
        <v>633</v>
      </c>
    </row>
    <row r="6569" spans="1:5" ht="26" hidden="1" x14ac:dyDescent="0.15">
      <c r="A6569" s="1" t="s">
        <v>443</v>
      </c>
      <c r="B6569" s="2">
        <v>257530</v>
      </c>
      <c r="C6569" s="3">
        <v>0.30399999999999999</v>
      </c>
      <c r="D6569" s="4" t="s">
        <v>632</v>
      </c>
      <c r="E6569" s="4" t="s">
        <v>633</v>
      </c>
    </row>
    <row r="6570" spans="1:5" ht="26" hidden="1" x14ac:dyDescent="0.15">
      <c r="A6570" s="1" t="s">
        <v>98</v>
      </c>
      <c r="B6570" s="2">
        <v>184738</v>
      </c>
      <c r="C6570" s="3">
        <v>0.218</v>
      </c>
      <c r="D6570" s="4" t="s">
        <v>632</v>
      </c>
      <c r="E6570" s="4" t="s">
        <v>633</v>
      </c>
    </row>
    <row r="6571" spans="1:5" ht="39" hidden="1" x14ac:dyDescent="0.15">
      <c r="A6571" s="1" t="s">
        <v>634</v>
      </c>
      <c r="B6571" s="2">
        <v>227188</v>
      </c>
      <c r="C6571" s="3">
        <v>0.26899999999999996</v>
      </c>
      <c r="D6571" s="4" t="s">
        <v>632</v>
      </c>
      <c r="E6571" s="4" t="s">
        <v>633</v>
      </c>
    </row>
    <row r="6572" spans="1:5" ht="39" hidden="1" x14ac:dyDescent="0.15">
      <c r="A6572" s="1" t="s">
        <v>635</v>
      </c>
      <c r="B6572" s="2">
        <v>69787</v>
      </c>
      <c r="C6572" s="3">
        <v>8.199999999999999E-2</v>
      </c>
      <c r="D6572" s="4" t="s">
        <v>632</v>
      </c>
      <c r="E6572" s="4" t="s">
        <v>633</v>
      </c>
    </row>
    <row r="6573" spans="1:5" ht="26" hidden="1" x14ac:dyDescent="0.15">
      <c r="A6573" s="1" t="s">
        <v>636</v>
      </c>
      <c r="B6573" s="2">
        <v>442046</v>
      </c>
      <c r="C6573" s="3">
        <v>0.52200000000000002</v>
      </c>
      <c r="D6573" s="4" t="s">
        <v>632</v>
      </c>
      <c r="E6573" s="4" t="s">
        <v>633</v>
      </c>
    </row>
    <row r="6574" spans="1:5" ht="39" hidden="1" x14ac:dyDescent="0.15">
      <c r="A6574" s="1" t="s">
        <v>637</v>
      </c>
      <c r="B6574" s="2">
        <v>281737</v>
      </c>
      <c r="C6574" s="3">
        <v>0.33299999999999996</v>
      </c>
      <c r="D6574" s="4" t="s">
        <v>632</v>
      </c>
      <c r="E6574" s="4" t="s">
        <v>633</v>
      </c>
    </row>
    <row r="6575" spans="1:5" ht="26" hidden="1" x14ac:dyDescent="0.15">
      <c r="A6575" s="1" t="s">
        <v>638</v>
      </c>
      <c r="B6575" s="2">
        <v>436474</v>
      </c>
      <c r="C6575" s="3">
        <v>0.51600000000000001</v>
      </c>
      <c r="D6575" s="4" t="s">
        <v>632</v>
      </c>
      <c r="E6575" s="4" t="s">
        <v>633</v>
      </c>
    </row>
    <row r="6576" spans="1:5" ht="39" hidden="1" x14ac:dyDescent="0.15">
      <c r="A6576" s="1" t="s">
        <v>639</v>
      </c>
      <c r="B6576" s="2">
        <v>102136</v>
      </c>
      <c r="C6576" s="3">
        <v>0.121</v>
      </c>
      <c r="D6576" s="4" t="s">
        <v>632</v>
      </c>
      <c r="E6576" s="4" t="s">
        <v>633</v>
      </c>
    </row>
    <row r="6577" spans="1:5" ht="26" hidden="1" x14ac:dyDescent="0.15">
      <c r="A6577" s="1" t="s">
        <v>96</v>
      </c>
      <c r="B6577" s="2">
        <v>58725</v>
      </c>
      <c r="C6577" s="3">
        <v>6.9000000000000006E-2</v>
      </c>
      <c r="D6577" s="4" t="s">
        <v>632</v>
      </c>
      <c r="E6577" s="4" t="s">
        <v>633</v>
      </c>
    </row>
    <row r="6578" spans="1:5" ht="26" hidden="1" x14ac:dyDescent="0.15">
      <c r="A6578" s="1" t="s">
        <v>640</v>
      </c>
      <c r="B6578" s="2">
        <v>64966</v>
      </c>
      <c r="C6578" s="3">
        <v>7.6999999999999999E-2</v>
      </c>
      <c r="D6578" s="4" t="s">
        <v>632</v>
      </c>
      <c r="E6578" s="4" t="s">
        <v>633</v>
      </c>
    </row>
    <row r="6579" spans="1:5" ht="39" hidden="1" x14ac:dyDescent="0.15">
      <c r="A6579" s="1" t="s">
        <v>641</v>
      </c>
      <c r="B6579" s="2">
        <v>66347</v>
      </c>
      <c r="C6579" s="3">
        <v>7.8E-2</v>
      </c>
      <c r="D6579" s="4" t="s">
        <v>632</v>
      </c>
      <c r="E6579" s="4" t="s">
        <v>633</v>
      </c>
    </row>
    <row r="6580" spans="1:5" ht="26" hidden="1" x14ac:dyDescent="0.15">
      <c r="A6580" s="1" t="s">
        <v>642</v>
      </c>
      <c r="B6580" s="2">
        <v>109959</v>
      </c>
      <c r="C6580" s="3">
        <v>0.13</v>
      </c>
      <c r="D6580" s="4" t="s">
        <v>632</v>
      </c>
      <c r="E6580" s="4" t="s">
        <v>633</v>
      </c>
    </row>
    <row r="6581" spans="1:5" hidden="1" x14ac:dyDescent="0.15">
      <c r="A6581" s="1" t="s">
        <v>0</v>
      </c>
      <c r="B6581" s="2">
        <v>3142518</v>
      </c>
      <c r="C6581" s="3">
        <v>1</v>
      </c>
      <c r="D6581" s="4" t="s">
        <v>643</v>
      </c>
      <c r="E6581" s="4" t="s">
        <v>644</v>
      </c>
    </row>
    <row r="6582" spans="1:5" ht="26" hidden="1" x14ac:dyDescent="0.15">
      <c r="A6582" s="1" t="s">
        <v>3</v>
      </c>
      <c r="B6582" s="2">
        <v>55338</v>
      </c>
      <c r="C6582" s="3">
        <v>1.8000000000000002E-2</v>
      </c>
      <c r="D6582" s="4" t="s">
        <v>643</v>
      </c>
      <c r="E6582" s="4" t="s">
        <v>644</v>
      </c>
    </row>
    <row r="6583" spans="1:5" hidden="1" x14ac:dyDescent="0.15">
      <c r="A6583" s="1" t="s">
        <v>4</v>
      </c>
      <c r="B6583" s="2">
        <v>29410</v>
      </c>
      <c r="C6583" s="3">
        <v>9.0000000000000011E-3</v>
      </c>
      <c r="D6583" s="4" t="s">
        <v>643</v>
      </c>
      <c r="E6583" s="4" t="s">
        <v>644</v>
      </c>
    </row>
    <row r="6584" spans="1:5" ht="26" hidden="1" x14ac:dyDescent="0.15">
      <c r="A6584" s="1" t="s">
        <v>5</v>
      </c>
      <c r="B6584" s="2">
        <v>31885</v>
      </c>
      <c r="C6584" s="3">
        <v>0.01</v>
      </c>
      <c r="D6584" s="4" t="s">
        <v>643</v>
      </c>
      <c r="E6584" s="4" t="s">
        <v>644</v>
      </c>
    </row>
    <row r="6585" spans="1:5" ht="26" hidden="1" x14ac:dyDescent="0.15">
      <c r="A6585" s="1" t="s">
        <v>6</v>
      </c>
      <c r="B6585" s="2">
        <v>213052</v>
      </c>
      <c r="C6585" s="3">
        <v>6.8000000000000005E-2</v>
      </c>
      <c r="D6585" s="4" t="s">
        <v>643</v>
      </c>
      <c r="E6585" s="4" t="s">
        <v>644</v>
      </c>
    </row>
    <row r="6586" spans="1:5" ht="26" hidden="1" x14ac:dyDescent="0.15">
      <c r="A6586" s="1" t="s">
        <v>7</v>
      </c>
      <c r="B6586" s="2">
        <v>486906</v>
      </c>
      <c r="C6586" s="3">
        <v>0.155</v>
      </c>
      <c r="D6586" s="4" t="s">
        <v>643</v>
      </c>
      <c r="E6586" s="4" t="s">
        <v>644</v>
      </c>
    </row>
    <row r="6587" spans="1:5" ht="26" hidden="1" x14ac:dyDescent="0.15">
      <c r="A6587" s="1" t="s">
        <v>8</v>
      </c>
      <c r="B6587" s="2">
        <v>75805</v>
      </c>
      <c r="C6587" s="3">
        <v>2.4E-2</v>
      </c>
      <c r="D6587" s="4" t="s">
        <v>643</v>
      </c>
      <c r="E6587" s="4" t="s">
        <v>644</v>
      </c>
    </row>
    <row r="6588" spans="1:5" ht="26" hidden="1" x14ac:dyDescent="0.15">
      <c r="A6588" s="1" t="s">
        <v>9</v>
      </c>
      <c r="B6588" s="2">
        <v>98317</v>
      </c>
      <c r="C6588" s="3">
        <v>3.1E-2</v>
      </c>
      <c r="D6588" s="4" t="s">
        <v>643</v>
      </c>
      <c r="E6588" s="4" t="s">
        <v>644</v>
      </c>
    </row>
    <row r="6589" spans="1:5" ht="26" hidden="1" x14ac:dyDescent="0.15">
      <c r="A6589" s="1" t="s">
        <v>10</v>
      </c>
      <c r="B6589" s="2">
        <v>115447</v>
      </c>
      <c r="C6589" s="3">
        <v>3.7000000000000005E-2</v>
      </c>
      <c r="D6589" s="4" t="s">
        <v>643</v>
      </c>
      <c r="E6589" s="4" t="s">
        <v>644</v>
      </c>
    </row>
    <row r="6590" spans="1:5" ht="26" hidden="1" x14ac:dyDescent="0.15">
      <c r="A6590" s="1" t="s">
        <v>11</v>
      </c>
      <c r="B6590" s="2">
        <v>186543</v>
      </c>
      <c r="C6590" s="3">
        <v>5.9000000000000004E-2</v>
      </c>
      <c r="D6590" s="4" t="s">
        <v>643</v>
      </c>
      <c r="E6590" s="4" t="s">
        <v>644</v>
      </c>
    </row>
    <row r="6591" spans="1:5" ht="26" hidden="1" x14ac:dyDescent="0.15">
      <c r="A6591" s="1" t="s">
        <v>12</v>
      </c>
      <c r="B6591" s="2">
        <v>49661</v>
      </c>
      <c r="C6591" s="3">
        <v>1.6E-2</v>
      </c>
      <c r="D6591" s="4" t="s">
        <v>643</v>
      </c>
      <c r="E6591" s="4" t="s">
        <v>644</v>
      </c>
    </row>
    <row r="6592" spans="1:5" ht="26" hidden="1" x14ac:dyDescent="0.15">
      <c r="A6592" s="1" t="s">
        <v>13</v>
      </c>
      <c r="B6592" s="2">
        <v>31146</v>
      </c>
      <c r="C6592" s="3">
        <v>0.01</v>
      </c>
      <c r="D6592" s="4" t="s">
        <v>643</v>
      </c>
      <c r="E6592" s="4" t="s">
        <v>644</v>
      </c>
    </row>
    <row r="6593" spans="1:5" hidden="1" x14ac:dyDescent="0.15">
      <c r="A6593" s="1" t="s">
        <v>14</v>
      </c>
      <c r="B6593" s="2">
        <v>212178</v>
      </c>
      <c r="C6593" s="3">
        <v>6.8000000000000005E-2</v>
      </c>
      <c r="D6593" s="4" t="s">
        <v>643</v>
      </c>
      <c r="E6593" s="4" t="s">
        <v>644</v>
      </c>
    </row>
    <row r="6594" spans="1:5" ht="26" hidden="1" x14ac:dyDescent="0.15">
      <c r="A6594" s="1" t="s">
        <v>15</v>
      </c>
      <c r="B6594" s="2">
        <v>177294</v>
      </c>
      <c r="C6594" s="3">
        <v>5.5999999999999994E-2</v>
      </c>
      <c r="D6594" s="4" t="s">
        <v>643</v>
      </c>
      <c r="E6594" s="4" t="s">
        <v>644</v>
      </c>
    </row>
    <row r="6595" spans="1:5" ht="26" hidden="1" x14ac:dyDescent="0.15">
      <c r="A6595" s="1" t="s">
        <v>16</v>
      </c>
      <c r="B6595" s="2">
        <v>67253</v>
      </c>
      <c r="C6595" s="3">
        <v>2.1000000000000001E-2</v>
      </c>
      <c r="D6595" s="4" t="s">
        <v>643</v>
      </c>
      <c r="E6595" s="4" t="s">
        <v>644</v>
      </c>
    </row>
    <row r="6596" spans="1:5" ht="26" hidden="1" x14ac:dyDescent="0.15">
      <c r="A6596" s="1" t="s">
        <v>17</v>
      </c>
      <c r="B6596" s="2">
        <v>44306</v>
      </c>
      <c r="C6596" s="3">
        <v>1.3999999999999999E-2</v>
      </c>
      <c r="D6596" s="4" t="s">
        <v>643</v>
      </c>
      <c r="E6596" s="4" t="s">
        <v>644</v>
      </c>
    </row>
    <row r="6597" spans="1:5" hidden="1" x14ac:dyDescent="0.15">
      <c r="A6597" s="1" t="s">
        <v>18</v>
      </c>
      <c r="B6597" s="2">
        <v>45782</v>
      </c>
      <c r="C6597" s="3">
        <v>1.4999999999999999E-2</v>
      </c>
      <c r="D6597" s="4" t="s">
        <v>643</v>
      </c>
      <c r="E6597" s="4" t="s">
        <v>644</v>
      </c>
    </row>
    <row r="6598" spans="1:5" hidden="1" x14ac:dyDescent="0.15">
      <c r="A6598" s="1" t="s">
        <v>19</v>
      </c>
      <c r="B6598" s="2">
        <v>345686</v>
      </c>
      <c r="C6598" s="3">
        <v>0.11</v>
      </c>
      <c r="D6598" s="4" t="s">
        <v>643</v>
      </c>
      <c r="E6598" s="4" t="s">
        <v>644</v>
      </c>
    </row>
    <row r="6599" spans="1:5" hidden="1" x14ac:dyDescent="0.15">
      <c r="A6599" s="1" t="s">
        <v>20</v>
      </c>
      <c r="B6599" s="2">
        <v>72777</v>
      </c>
      <c r="C6599" s="3">
        <v>2.3E-2</v>
      </c>
      <c r="D6599" s="4" t="s">
        <v>643</v>
      </c>
      <c r="E6599" s="4" t="s">
        <v>644</v>
      </c>
    </row>
    <row r="6600" spans="1:5" ht="26" hidden="1" x14ac:dyDescent="0.15">
      <c r="A6600" s="1" t="s">
        <v>21</v>
      </c>
      <c r="B6600" s="2">
        <v>75528</v>
      </c>
      <c r="C6600" s="3">
        <v>2.4E-2</v>
      </c>
      <c r="D6600" s="4" t="s">
        <v>643</v>
      </c>
      <c r="E6600" s="4" t="s">
        <v>644</v>
      </c>
    </row>
    <row r="6601" spans="1:5" ht="26" hidden="1" x14ac:dyDescent="0.15">
      <c r="A6601" s="1" t="s">
        <v>22</v>
      </c>
      <c r="B6601" s="2">
        <v>64334</v>
      </c>
      <c r="C6601" s="3">
        <v>0.02</v>
      </c>
      <c r="D6601" s="4" t="s">
        <v>643</v>
      </c>
      <c r="E6601" s="4" t="s">
        <v>644</v>
      </c>
    </row>
    <row r="6602" spans="1:5" ht="26" hidden="1" x14ac:dyDescent="0.15">
      <c r="A6602" s="1" t="s">
        <v>23</v>
      </c>
      <c r="B6602" s="2">
        <v>21041</v>
      </c>
      <c r="C6602" s="3">
        <v>6.9999999999999993E-3</v>
      </c>
      <c r="D6602" s="4" t="s">
        <v>643</v>
      </c>
      <c r="E6602" s="4" t="s">
        <v>644</v>
      </c>
    </row>
    <row r="6603" spans="1:5" ht="26" hidden="1" x14ac:dyDescent="0.15">
      <c r="A6603" s="1" t="s">
        <v>24</v>
      </c>
      <c r="B6603" s="2">
        <v>31910</v>
      </c>
      <c r="C6603" s="3">
        <v>0.01</v>
      </c>
      <c r="D6603" s="4" t="s">
        <v>643</v>
      </c>
      <c r="E6603" s="4" t="s">
        <v>644</v>
      </c>
    </row>
    <row r="6604" spans="1:5" ht="26" hidden="1" x14ac:dyDescent="0.15">
      <c r="A6604" s="1" t="s">
        <v>25</v>
      </c>
      <c r="B6604" s="2">
        <v>67598</v>
      </c>
      <c r="C6604" s="3">
        <v>2.2000000000000002E-2</v>
      </c>
      <c r="D6604" s="4" t="s">
        <v>643</v>
      </c>
      <c r="E6604" s="4" t="s">
        <v>644</v>
      </c>
    </row>
    <row r="6605" spans="1:5" hidden="1" x14ac:dyDescent="0.15">
      <c r="A6605" s="1" t="s">
        <v>26</v>
      </c>
      <c r="B6605" s="2">
        <v>37296</v>
      </c>
      <c r="C6605" s="3">
        <v>1.2E-2</v>
      </c>
      <c r="D6605" s="4" t="s">
        <v>643</v>
      </c>
      <c r="E6605" s="4" t="s">
        <v>644</v>
      </c>
    </row>
    <row r="6606" spans="1:5" hidden="1" x14ac:dyDescent="0.15">
      <c r="A6606" s="1" t="s">
        <v>27</v>
      </c>
      <c r="B6606" s="2">
        <v>142917</v>
      </c>
      <c r="C6606" s="3">
        <v>4.4999999999999998E-2</v>
      </c>
      <c r="D6606" s="4" t="s">
        <v>643</v>
      </c>
      <c r="E6606" s="4" t="s">
        <v>644</v>
      </c>
    </row>
    <row r="6607" spans="1:5" hidden="1" x14ac:dyDescent="0.15">
      <c r="A6607" s="1" t="s">
        <v>28</v>
      </c>
      <c r="B6607" s="2">
        <v>270310</v>
      </c>
      <c r="C6607" s="3">
        <v>8.5999999999999993E-2</v>
      </c>
      <c r="D6607" s="4" t="s">
        <v>643</v>
      </c>
      <c r="E6607" s="4" t="s">
        <v>644</v>
      </c>
    </row>
    <row r="6608" spans="1:5" hidden="1" x14ac:dyDescent="0.15">
      <c r="A6608" s="1" t="s">
        <v>29</v>
      </c>
      <c r="B6608" s="2">
        <v>1059659</v>
      </c>
      <c r="C6608" s="3">
        <v>0.33700000000000002</v>
      </c>
      <c r="D6608" s="4" t="s">
        <v>643</v>
      </c>
      <c r="E6608" s="4" t="s">
        <v>644</v>
      </c>
    </row>
    <row r="6609" spans="1:5" hidden="1" x14ac:dyDescent="0.15">
      <c r="A6609" s="1" t="s">
        <v>30</v>
      </c>
      <c r="B6609" s="2">
        <v>191001</v>
      </c>
      <c r="C6609" s="3">
        <v>6.0999999999999999E-2</v>
      </c>
      <c r="D6609" s="4" t="s">
        <v>643</v>
      </c>
      <c r="E6609" s="4" t="s">
        <v>644</v>
      </c>
    </row>
    <row r="6610" spans="1:5" ht="39" hidden="1" x14ac:dyDescent="0.15">
      <c r="A6610" s="1" t="s">
        <v>31</v>
      </c>
      <c r="B6610" s="2">
        <v>9241</v>
      </c>
      <c r="C6610" s="3">
        <v>3.0000000000000001E-3</v>
      </c>
      <c r="D6610" s="4" t="s">
        <v>643</v>
      </c>
      <c r="E6610" s="4" t="s">
        <v>644</v>
      </c>
    </row>
    <row r="6611" spans="1:5" hidden="1" x14ac:dyDescent="0.15">
      <c r="A6611" s="1" t="s">
        <v>32</v>
      </c>
      <c r="B6611" s="2">
        <v>66625</v>
      </c>
      <c r="C6611" s="3">
        <v>2.1000000000000001E-2</v>
      </c>
      <c r="D6611" s="4" t="s">
        <v>643</v>
      </c>
      <c r="E6611" s="4" t="s">
        <v>644</v>
      </c>
    </row>
    <row r="6612" spans="1:5" hidden="1" x14ac:dyDescent="0.15">
      <c r="A6612" s="1" t="s">
        <v>33</v>
      </c>
      <c r="B6612" s="2">
        <v>921595</v>
      </c>
      <c r="C6612" s="3">
        <v>0.29299999999999998</v>
      </c>
      <c r="D6612" s="4" t="s">
        <v>643</v>
      </c>
      <c r="E6612" s="4" t="s">
        <v>644</v>
      </c>
    </row>
    <row r="6613" spans="1:5" hidden="1" x14ac:dyDescent="0.15">
      <c r="A6613" s="1" t="s">
        <v>34</v>
      </c>
      <c r="B6613" s="2">
        <v>177118</v>
      </c>
      <c r="C6613" s="3">
        <v>5.5999999999999994E-2</v>
      </c>
      <c r="D6613" s="4" t="s">
        <v>643</v>
      </c>
      <c r="E6613" s="4" t="s">
        <v>644</v>
      </c>
    </row>
    <row r="6614" spans="1:5" hidden="1" x14ac:dyDescent="0.15">
      <c r="A6614" s="1" t="s">
        <v>35</v>
      </c>
      <c r="B6614" s="2">
        <v>129605</v>
      </c>
      <c r="C6614" s="3">
        <v>4.0999999999999995E-2</v>
      </c>
      <c r="D6614" s="4" t="s">
        <v>643</v>
      </c>
      <c r="E6614" s="4" t="s">
        <v>644</v>
      </c>
    </row>
    <row r="6615" spans="1:5" ht="26" hidden="1" x14ac:dyDescent="0.15">
      <c r="A6615" s="1" t="s">
        <v>36</v>
      </c>
      <c r="B6615" s="2">
        <v>112979</v>
      </c>
      <c r="C6615" s="3">
        <v>3.6000000000000004E-2</v>
      </c>
      <c r="D6615" s="4" t="s">
        <v>643</v>
      </c>
      <c r="E6615" s="4" t="s">
        <v>644</v>
      </c>
    </row>
    <row r="6616" spans="1:5" hidden="1" x14ac:dyDescent="0.15">
      <c r="A6616" s="1" t="s">
        <v>37</v>
      </c>
      <c r="B6616" s="2">
        <v>117693</v>
      </c>
      <c r="C6616" s="3">
        <v>3.7000000000000005E-2</v>
      </c>
      <c r="D6616" s="4" t="s">
        <v>643</v>
      </c>
      <c r="E6616" s="4" t="s">
        <v>644</v>
      </c>
    </row>
    <row r="6617" spans="1:5" ht="39" hidden="1" x14ac:dyDescent="0.15">
      <c r="A6617" s="1" t="s">
        <v>38</v>
      </c>
      <c r="B6617" s="2">
        <v>54292</v>
      </c>
      <c r="C6617" s="3">
        <v>1.7000000000000001E-2</v>
      </c>
      <c r="D6617" s="4" t="s">
        <v>643</v>
      </c>
      <c r="E6617" s="4" t="s">
        <v>644</v>
      </c>
    </row>
    <row r="6618" spans="1:5" hidden="1" x14ac:dyDescent="0.15">
      <c r="A6618" s="1" t="s">
        <v>39</v>
      </c>
      <c r="B6618" s="2">
        <v>141131</v>
      </c>
      <c r="C6618" s="3">
        <v>4.4999999999999998E-2</v>
      </c>
      <c r="D6618" s="4" t="s">
        <v>643</v>
      </c>
      <c r="E6618" s="4" t="s">
        <v>644</v>
      </c>
    </row>
    <row r="6619" spans="1:5" hidden="1" x14ac:dyDescent="0.15">
      <c r="A6619" s="1" t="s">
        <v>40</v>
      </c>
      <c r="B6619" s="2">
        <v>33150</v>
      </c>
      <c r="C6619" s="3">
        <v>1.1000000000000001E-2</v>
      </c>
      <c r="D6619" s="4" t="s">
        <v>643</v>
      </c>
      <c r="E6619" s="4" t="s">
        <v>644</v>
      </c>
    </row>
    <row r="6620" spans="1:5" hidden="1" x14ac:dyDescent="0.15">
      <c r="A6620" s="1" t="s">
        <v>41</v>
      </c>
      <c r="B6620" s="2">
        <v>80025</v>
      </c>
      <c r="C6620" s="3">
        <v>2.5000000000000001E-2</v>
      </c>
      <c r="D6620" s="4" t="s">
        <v>643</v>
      </c>
      <c r="E6620" s="4" t="s">
        <v>644</v>
      </c>
    </row>
    <row r="6621" spans="1:5" hidden="1" x14ac:dyDescent="0.15">
      <c r="A6621" s="1" t="s">
        <v>42</v>
      </c>
      <c r="B6621" s="2">
        <v>88637</v>
      </c>
      <c r="C6621" s="3">
        <v>2.7999999999999997E-2</v>
      </c>
      <c r="D6621" s="4" t="s">
        <v>643</v>
      </c>
      <c r="E6621" s="4" t="s">
        <v>644</v>
      </c>
    </row>
    <row r="6622" spans="1:5" hidden="1" x14ac:dyDescent="0.15">
      <c r="A6622" s="1" t="s">
        <v>43</v>
      </c>
      <c r="B6622" s="2">
        <v>222480</v>
      </c>
      <c r="C6622" s="3">
        <v>7.0999999999999994E-2</v>
      </c>
      <c r="D6622" s="4" t="s">
        <v>643</v>
      </c>
      <c r="E6622" s="4" t="s">
        <v>644</v>
      </c>
    </row>
    <row r="6623" spans="1:5" ht="26" hidden="1" x14ac:dyDescent="0.15">
      <c r="A6623" s="1" t="s">
        <v>44</v>
      </c>
      <c r="B6623" s="2">
        <v>271889</v>
      </c>
      <c r="C6623" s="3">
        <v>8.6999999999999994E-2</v>
      </c>
      <c r="D6623" s="4" t="s">
        <v>643</v>
      </c>
      <c r="E6623" s="4" t="s">
        <v>644</v>
      </c>
    </row>
    <row r="6624" spans="1:5" hidden="1" x14ac:dyDescent="0.15">
      <c r="A6624" s="1" t="s">
        <v>45</v>
      </c>
      <c r="B6624" s="2">
        <v>428847</v>
      </c>
      <c r="C6624" s="3">
        <v>0.13600000000000001</v>
      </c>
      <c r="D6624" s="4" t="s">
        <v>643</v>
      </c>
      <c r="E6624" s="4" t="s">
        <v>644</v>
      </c>
    </row>
    <row r="6625" spans="1:5" ht="26" hidden="1" x14ac:dyDescent="0.15">
      <c r="A6625" s="1" t="s">
        <v>46</v>
      </c>
      <c r="B6625" s="2">
        <v>893013</v>
      </c>
      <c r="C6625" s="3">
        <v>0.28399999999999997</v>
      </c>
      <c r="D6625" s="4" t="s">
        <v>643</v>
      </c>
      <c r="E6625" s="4" t="s">
        <v>644</v>
      </c>
    </row>
    <row r="6626" spans="1:5" hidden="1" x14ac:dyDescent="0.15">
      <c r="A6626" s="1" t="s">
        <v>47</v>
      </c>
      <c r="B6626" s="2">
        <v>1442549</v>
      </c>
      <c r="C6626" s="3">
        <v>0.45899999999999996</v>
      </c>
      <c r="D6626" s="4" t="s">
        <v>643</v>
      </c>
      <c r="E6626" s="4" t="s">
        <v>644</v>
      </c>
    </row>
    <row r="6627" spans="1:5" hidden="1" x14ac:dyDescent="0.15">
      <c r="A6627" s="1" t="s">
        <v>48</v>
      </c>
      <c r="B6627" s="2">
        <v>471213</v>
      </c>
      <c r="C6627" s="3">
        <v>0.15</v>
      </c>
      <c r="D6627" s="4" t="s">
        <v>643</v>
      </c>
      <c r="E6627" s="4" t="s">
        <v>644</v>
      </c>
    </row>
    <row r="6628" spans="1:5" hidden="1" x14ac:dyDescent="0.15">
      <c r="A6628" s="1" t="s">
        <v>49</v>
      </c>
      <c r="B6628" s="2">
        <v>433609</v>
      </c>
      <c r="C6628" s="3">
        <v>0.13800000000000001</v>
      </c>
      <c r="D6628" s="4" t="s">
        <v>643</v>
      </c>
      <c r="E6628" s="4" t="s">
        <v>644</v>
      </c>
    </row>
    <row r="6629" spans="1:5" ht="26" hidden="1" x14ac:dyDescent="0.15">
      <c r="A6629" s="1" t="s">
        <v>50</v>
      </c>
      <c r="B6629" s="2">
        <v>587931</v>
      </c>
      <c r="C6629" s="3">
        <v>0.187</v>
      </c>
      <c r="D6629" s="4" t="s">
        <v>643</v>
      </c>
      <c r="E6629" s="4" t="s">
        <v>644</v>
      </c>
    </row>
    <row r="6630" spans="1:5" hidden="1" x14ac:dyDescent="0.15">
      <c r="A6630" s="1" t="s">
        <v>51</v>
      </c>
      <c r="B6630" s="2">
        <v>1000434</v>
      </c>
      <c r="C6630" s="3">
        <v>0.318</v>
      </c>
      <c r="D6630" s="4" t="s">
        <v>643</v>
      </c>
      <c r="E6630" s="4" t="s">
        <v>644</v>
      </c>
    </row>
    <row r="6631" spans="1:5" hidden="1" x14ac:dyDescent="0.15">
      <c r="A6631" s="1" t="s">
        <v>52</v>
      </c>
      <c r="B6631" s="2">
        <v>354431</v>
      </c>
      <c r="C6631" s="3">
        <v>0.113</v>
      </c>
      <c r="D6631" s="4" t="s">
        <v>643</v>
      </c>
      <c r="E6631" s="4" t="s">
        <v>644</v>
      </c>
    </row>
    <row r="6632" spans="1:5" ht="26" hidden="1" x14ac:dyDescent="0.15">
      <c r="A6632" s="1" t="s">
        <v>53</v>
      </c>
      <c r="B6632" s="2">
        <v>219107</v>
      </c>
      <c r="C6632" s="3">
        <v>7.0000000000000007E-2</v>
      </c>
      <c r="D6632" s="4" t="s">
        <v>643</v>
      </c>
      <c r="E6632" s="4" t="s">
        <v>644</v>
      </c>
    </row>
    <row r="6633" spans="1:5" hidden="1" x14ac:dyDescent="0.15">
      <c r="A6633" s="1" t="s">
        <v>54</v>
      </c>
      <c r="B6633" s="2">
        <v>1106787</v>
      </c>
      <c r="C6633" s="3">
        <v>0.35200000000000004</v>
      </c>
      <c r="D6633" s="4" t="s">
        <v>643</v>
      </c>
      <c r="E6633" s="4" t="s">
        <v>644</v>
      </c>
    </row>
    <row r="6634" spans="1:5" ht="26" hidden="1" x14ac:dyDescent="0.15">
      <c r="A6634" s="1" t="s">
        <v>55</v>
      </c>
      <c r="B6634" s="2">
        <v>845979</v>
      </c>
      <c r="C6634" s="3">
        <v>0.26899999999999996</v>
      </c>
      <c r="D6634" s="4" t="s">
        <v>643</v>
      </c>
      <c r="E6634" s="4" t="s">
        <v>644</v>
      </c>
    </row>
    <row r="6635" spans="1:5" hidden="1" x14ac:dyDescent="0.15">
      <c r="A6635" s="1" t="s">
        <v>56</v>
      </c>
      <c r="B6635" s="2">
        <v>659884</v>
      </c>
      <c r="C6635" s="3">
        <v>0.21</v>
      </c>
      <c r="D6635" s="4" t="s">
        <v>643</v>
      </c>
      <c r="E6635" s="4" t="s">
        <v>644</v>
      </c>
    </row>
    <row r="6636" spans="1:5" hidden="1" x14ac:dyDescent="0.15">
      <c r="A6636" s="1" t="s">
        <v>57</v>
      </c>
      <c r="B6636" s="2">
        <v>383959</v>
      </c>
      <c r="C6636" s="3">
        <v>0.122</v>
      </c>
      <c r="D6636" s="4" t="s">
        <v>643</v>
      </c>
      <c r="E6636" s="4" t="s">
        <v>644</v>
      </c>
    </row>
    <row r="6637" spans="1:5" hidden="1" x14ac:dyDescent="0.15">
      <c r="A6637" s="1" t="s">
        <v>58</v>
      </c>
      <c r="B6637" s="2">
        <v>359517</v>
      </c>
      <c r="C6637" s="3">
        <v>0.114</v>
      </c>
      <c r="D6637" s="4" t="s">
        <v>643</v>
      </c>
      <c r="E6637" s="4" t="s">
        <v>644</v>
      </c>
    </row>
    <row r="6638" spans="1:5" hidden="1" x14ac:dyDescent="0.15">
      <c r="A6638" s="1" t="s">
        <v>59</v>
      </c>
      <c r="B6638" s="2">
        <v>1612691</v>
      </c>
      <c r="C6638" s="3">
        <v>0.51300000000000001</v>
      </c>
      <c r="D6638" s="4" t="s">
        <v>643</v>
      </c>
      <c r="E6638" s="4" t="s">
        <v>644</v>
      </c>
    </row>
    <row r="6639" spans="1:5" hidden="1" x14ac:dyDescent="0.15">
      <c r="A6639" s="1" t="s">
        <v>60</v>
      </c>
      <c r="B6639" s="2">
        <v>567207</v>
      </c>
      <c r="C6639" s="3">
        <v>0.18</v>
      </c>
      <c r="D6639" s="4" t="s">
        <v>643</v>
      </c>
      <c r="E6639" s="4" t="s">
        <v>644</v>
      </c>
    </row>
    <row r="6640" spans="1:5" ht="26" hidden="1" x14ac:dyDescent="0.15">
      <c r="A6640" s="1" t="s">
        <v>61</v>
      </c>
      <c r="B6640" s="2">
        <v>568010</v>
      </c>
      <c r="C6640" s="3">
        <v>0.18100000000000002</v>
      </c>
      <c r="D6640" s="4" t="s">
        <v>643</v>
      </c>
      <c r="E6640" s="4" t="s">
        <v>644</v>
      </c>
    </row>
    <row r="6641" spans="1:5" hidden="1" x14ac:dyDescent="0.15">
      <c r="A6641" s="1" t="s">
        <v>62</v>
      </c>
      <c r="B6641" s="2">
        <v>295075</v>
      </c>
      <c r="C6641" s="3">
        <v>9.4E-2</v>
      </c>
      <c r="D6641" s="4" t="s">
        <v>643</v>
      </c>
      <c r="E6641" s="4" t="s">
        <v>644</v>
      </c>
    </row>
    <row r="6642" spans="1:5" ht="26" hidden="1" x14ac:dyDescent="0.15">
      <c r="A6642" s="1" t="s">
        <v>63</v>
      </c>
      <c r="B6642" s="2">
        <v>291776</v>
      </c>
      <c r="C6642" s="3">
        <v>9.3000000000000013E-2</v>
      </c>
      <c r="D6642" s="4" t="s">
        <v>643</v>
      </c>
      <c r="E6642" s="4" t="s">
        <v>644</v>
      </c>
    </row>
    <row r="6643" spans="1:5" ht="26" hidden="1" x14ac:dyDescent="0.15">
      <c r="A6643" s="1" t="s">
        <v>64</v>
      </c>
      <c r="B6643" s="2">
        <v>213795</v>
      </c>
      <c r="C6643" s="3">
        <v>6.8000000000000005E-2</v>
      </c>
      <c r="D6643" s="4" t="s">
        <v>643</v>
      </c>
      <c r="E6643" s="4" t="s">
        <v>644</v>
      </c>
    </row>
    <row r="6644" spans="1:5" hidden="1" x14ac:dyDescent="0.15">
      <c r="A6644" s="1" t="s">
        <v>65</v>
      </c>
      <c r="B6644" s="2">
        <v>383827</v>
      </c>
      <c r="C6644" s="3">
        <v>0.122</v>
      </c>
      <c r="D6644" s="4" t="s">
        <v>643</v>
      </c>
      <c r="E6644" s="4" t="s">
        <v>644</v>
      </c>
    </row>
    <row r="6645" spans="1:5" hidden="1" x14ac:dyDescent="0.15">
      <c r="A6645" s="1" t="s">
        <v>66</v>
      </c>
      <c r="B6645" s="2">
        <v>237156</v>
      </c>
      <c r="C6645" s="3">
        <v>7.4999999999999997E-2</v>
      </c>
      <c r="D6645" s="4" t="s">
        <v>643</v>
      </c>
      <c r="E6645" s="4" t="s">
        <v>644</v>
      </c>
    </row>
    <row r="6646" spans="1:5" hidden="1" x14ac:dyDescent="0.15">
      <c r="A6646" s="1" t="s">
        <v>67</v>
      </c>
      <c r="B6646" s="2">
        <v>667943</v>
      </c>
      <c r="C6646" s="3">
        <v>0.21299999999999999</v>
      </c>
      <c r="D6646" s="4" t="s">
        <v>643</v>
      </c>
      <c r="E6646" s="4" t="s">
        <v>644</v>
      </c>
    </row>
    <row r="6647" spans="1:5" hidden="1" x14ac:dyDescent="0.15">
      <c r="A6647" s="1" t="s">
        <v>68</v>
      </c>
      <c r="B6647" s="2">
        <v>1216846</v>
      </c>
      <c r="C6647" s="3">
        <v>0.38700000000000001</v>
      </c>
      <c r="D6647" s="4" t="s">
        <v>643</v>
      </c>
      <c r="E6647" s="4" t="s">
        <v>644</v>
      </c>
    </row>
    <row r="6648" spans="1:5" hidden="1" x14ac:dyDescent="0.15">
      <c r="A6648" s="1" t="s">
        <v>69</v>
      </c>
      <c r="B6648" s="2">
        <v>2221116</v>
      </c>
      <c r="C6648" s="3">
        <v>0.70700000000000007</v>
      </c>
      <c r="D6648" s="4" t="s">
        <v>643</v>
      </c>
      <c r="E6648" s="4" t="s">
        <v>644</v>
      </c>
    </row>
    <row r="6649" spans="1:5" hidden="1" x14ac:dyDescent="0.15">
      <c r="A6649" s="1" t="s">
        <v>70</v>
      </c>
      <c r="B6649" s="2">
        <v>1082637</v>
      </c>
      <c r="C6649" s="3">
        <v>0.34499999999999997</v>
      </c>
      <c r="D6649" s="4" t="s">
        <v>643</v>
      </c>
      <c r="E6649" s="4" t="s">
        <v>644</v>
      </c>
    </row>
    <row r="6650" spans="1:5" ht="26" hidden="1" x14ac:dyDescent="0.15">
      <c r="A6650" s="1" t="s">
        <v>71</v>
      </c>
      <c r="B6650" s="2">
        <v>117287</v>
      </c>
      <c r="C6650" s="3">
        <v>3.7000000000000005E-2</v>
      </c>
      <c r="D6650" s="4" t="s">
        <v>643</v>
      </c>
      <c r="E6650" s="4" t="s">
        <v>644</v>
      </c>
    </row>
    <row r="6651" spans="1:5" hidden="1" x14ac:dyDescent="0.15">
      <c r="A6651" s="1" t="s">
        <v>72</v>
      </c>
      <c r="B6651" s="2">
        <v>379915</v>
      </c>
      <c r="C6651" s="3">
        <v>0.121</v>
      </c>
      <c r="D6651" s="4" t="s">
        <v>643</v>
      </c>
      <c r="E6651" s="4" t="s">
        <v>644</v>
      </c>
    </row>
    <row r="6652" spans="1:5" hidden="1" x14ac:dyDescent="0.15">
      <c r="A6652" s="1" t="s">
        <v>73</v>
      </c>
      <c r="B6652" s="2">
        <v>2083932</v>
      </c>
      <c r="C6652" s="3">
        <v>0.66299999999999992</v>
      </c>
      <c r="D6652" s="4" t="s">
        <v>643</v>
      </c>
      <c r="E6652" s="4" t="s">
        <v>644</v>
      </c>
    </row>
    <row r="6653" spans="1:5" hidden="1" x14ac:dyDescent="0.15">
      <c r="A6653" s="1" t="s">
        <v>74</v>
      </c>
      <c r="B6653" s="2">
        <v>847862</v>
      </c>
      <c r="C6653" s="3">
        <v>0.27</v>
      </c>
      <c r="D6653" s="4" t="s">
        <v>643</v>
      </c>
      <c r="E6653" s="4" t="s">
        <v>644</v>
      </c>
    </row>
    <row r="6654" spans="1:5" hidden="1" x14ac:dyDescent="0.15">
      <c r="A6654" s="1" t="s">
        <v>75</v>
      </c>
      <c r="B6654" s="2">
        <v>590948</v>
      </c>
      <c r="C6654" s="3">
        <v>0.188</v>
      </c>
      <c r="D6654" s="4" t="s">
        <v>643</v>
      </c>
      <c r="E6654" s="4" t="s">
        <v>644</v>
      </c>
    </row>
    <row r="6655" spans="1:5" hidden="1" x14ac:dyDescent="0.15">
      <c r="A6655" s="1" t="s">
        <v>76</v>
      </c>
      <c r="B6655" s="2">
        <v>525527</v>
      </c>
      <c r="C6655" s="3">
        <v>0.16699999999999998</v>
      </c>
      <c r="D6655" s="4" t="s">
        <v>643</v>
      </c>
      <c r="E6655" s="4" t="s">
        <v>644</v>
      </c>
    </row>
    <row r="6656" spans="1:5" hidden="1" x14ac:dyDescent="0.15">
      <c r="A6656" s="1" t="s">
        <v>77</v>
      </c>
      <c r="B6656" s="2">
        <v>541515</v>
      </c>
      <c r="C6656" s="3">
        <v>0.17199999999999999</v>
      </c>
      <c r="D6656" s="4" t="s">
        <v>643</v>
      </c>
      <c r="E6656" s="4" t="s">
        <v>644</v>
      </c>
    </row>
    <row r="6657" spans="1:5" ht="26" hidden="1" x14ac:dyDescent="0.15">
      <c r="A6657" s="1" t="s">
        <v>78</v>
      </c>
      <c r="B6657" s="2">
        <v>331970</v>
      </c>
      <c r="C6657" s="3">
        <v>0.106</v>
      </c>
      <c r="D6657" s="4" t="s">
        <v>643</v>
      </c>
      <c r="E6657" s="4" t="s">
        <v>644</v>
      </c>
    </row>
    <row r="6658" spans="1:5" hidden="1" x14ac:dyDescent="0.15">
      <c r="A6658" s="1" t="s">
        <v>79</v>
      </c>
      <c r="B6658" s="2">
        <v>514872</v>
      </c>
      <c r="C6658" s="3">
        <v>0.16399999999999998</v>
      </c>
      <c r="D6658" s="4" t="s">
        <v>643</v>
      </c>
      <c r="E6658" s="4" t="s">
        <v>644</v>
      </c>
    </row>
    <row r="6659" spans="1:5" hidden="1" x14ac:dyDescent="0.15">
      <c r="A6659" s="1" t="s">
        <v>80</v>
      </c>
      <c r="B6659" s="2">
        <v>394349</v>
      </c>
      <c r="C6659" s="3">
        <v>0.125</v>
      </c>
      <c r="D6659" s="4" t="s">
        <v>643</v>
      </c>
      <c r="E6659" s="4" t="s">
        <v>644</v>
      </c>
    </row>
    <row r="6660" spans="1:5" ht="26" hidden="1" x14ac:dyDescent="0.15">
      <c r="A6660" s="1" t="s">
        <v>81</v>
      </c>
      <c r="B6660" s="2">
        <v>539861</v>
      </c>
      <c r="C6660" s="3">
        <v>0.17199999999999999</v>
      </c>
      <c r="D6660" s="4" t="s">
        <v>643</v>
      </c>
      <c r="E6660" s="4" t="s">
        <v>644</v>
      </c>
    </row>
    <row r="6661" spans="1:5" hidden="1" x14ac:dyDescent="0.15">
      <c r="A6661" s="1" t="s">
        <v>82</v>
      </c>
      <c r="B6661" s="2">
        <v>213922</v>
      </c>
      <c r="C6661" s="3">
        <v>6.8000000000000005E-2</v>
      </c>
      <c r="D6661" s="4" t="s">
        <v>643</v>
      </c>
      <c r="E6661" s="4" t="s">
        <v>644</v>
      </c>
    </row>
    <row r="6662" spans="1:5" hidden="1" x14ac:dyDescent="0.15">
      <c r="A6662" s="4"/>
      <c r="B6662" s="4"/>
      <c r="C6662" s="4"/>
      <c r="D6662" s="4" t="s">
        <v>643</v>
      </c>
      <c r="E6662" s="4" t="s">
        <v>644</v>
      </c>
    </row>
    <row r="6663" spans="1:5" hidden="1" x14ac:dyDescent="0.15">
      <c r="A6663" s="4"/>
      <c r="B6663" s="4"/>
      <c r="C6663" s="4"/>
      <c r="D6663" s="4" t="s">
        <v>643</v>
      </c>
      <c r="E6663" s="4" t="s">
        <v>644</v>
      </c>
    </row>
    <row r="6664" spans="1:5" hidden="1" x14ac:dyDescent="0.15">
      <c r="A6664" s="16"/>
      <c r="B6664" s="16"/>
      <c r="C6664" s="16"/>
      <c r="D6664" s="4" t="s">
        <v>643</v>
      </c>
      <c r="E6664" s="4" t="s">
        <v>644</v>
      </c>
    </row>
    <row r="6665" spans="1:5" ht="26" hidden="1" x14ac:dyDescent="0.15">
      <c r="A6665" s="1" t="s">
        <v>645</v>
      </c>
      <c r="B6665" s="2">
        <v>1580998</v>
      </c>
      <c r="C6665" s="3">
        <v>0.503</v>
      </c>
      <c r="D6665" s="4" t="s">
        <v>643</v>
      </c>
      <c r="E6665" s="4" t="s">
        <v>644</v>
      </c>
    </row>
    <row r="6666" spans="1:5" hidden="1" x14ac:dyDescent="0.15">
      <c r="A6666" s="4"/>
      <c r="B6666" s="4"/>
      <c r="C6666" s="4"/>
      <c r="D6666" s="4" t="s">
        <v>643</v>
      </c>
      <c r="E6666" s="4" t="s">
        <v>644</v>
      </c>
    </row>
    <row r="6667" spans="1:5" hidden="1" x14ac:dyDescent="0.15">
      <c r="A6667" s="16"/>
      <c r="B6667" s="16"/>
      <c r="C6667" s="16"/>
      <c r="D6667" s="4" t="s">
        <v>643</v>
      </c>
      <c r="E6667" s="4" t="s">
        <v>644</v>
      </c>
    </row>
    <row r="6668" spans="1:5" hidden="1" x14ac:dyDescent="0.15">
      <c r="A6668" s="1" t="s">
        <v>646</v>
      </c>
      <c r="B6668" s="2">
        <v>200822</v>
      </c>
      <c r="C6668" s="3">
        <v>6.4000000000000001E-2</v>
      </c>
      <c r="D6668" s="4" t="s">
        <v>643</v>
      </c>
      <c r="E6668" s="4" t="s">
        <v>644</v>
      </c>
    </row>
    <row r="6669" spans="1:5" hidden="1" x14ac:dyDescent="0.15">
      <c r="A6669" s="4"/>
      <c r="B6669" s="4"/>
      <c r="C6669" s="4"/>
      <c r="D6669" s="4" t="s">
        <v>643</v>
      </c>
      <c r="E6669" s="4" t="s">
        <v>644</v>
      </c>
    </row>
    <row r="6670" spans="1:5" hidden="1" x14ac:dyDescent="0.15">
      <c r="A6670" s="16"/>
      <c r="B6670" s="16"/>
      <c r="C6670" s="16"/>
      <c r="D6670" s="4" t="s">
        <v>643</v>
      </c>
      <c r="E6670" s="4" t="s">
        <v>644</v>
      </c>
    </row>
    <row r="6671" spans="1:5" hidden="1" x14ac:dyDescent="0.15">
      <c r="A6671" s="1" t="s">
        <v>647</v>
      </c>
      <c r="B6671" s="2">
        <v>929700</v>
      </c>
      <c r="C6671" s="3">
        <v>0.29600000000000004</v>
      </c>
      <c r="D6671" s="4" t="s">
        <v>643</v>
      </c>
      <c r="E6671" s="4" t="s">
        <v>644</v>
      </c>
    </row>
    <row r="6672" spans="1:5" hidden="1" x14ac:dyDescent="0.15">
      <c r="A6672" s="4"/>
      <c r="B6672" s="4"/>
      <c r="C6672" s="4"/>
      <c r="D6672" s="4" t="s">
        <v>643</v>
      </c>
      <c r="E6672" s="4" t="s">
        <v>644</v>
      </c>
    </row>
    <row r="6673" spans="1:5" hidden="1" x14ac:dyDescent="0.15">
      <c r="A6673" s="16"/>
      <c r="B6673" s="16"/>
      <c r="C6673" s="16"/>
      <c r="D6673" s="4" t="s">
        <v>643</v>
      </c>
      <c r="E6673" s="4" t="s">
        <v>644</v>
      </c>
    </row>
    <row r="6674" spans="1:5" hidden="1" x14ac:dyDescent="0.15">
      <c r="A6674" s="1" t="s">
        <v>648</v>
      </c>
      <c r="B6674" s="2">
        <v>2108139</v>
      </c>
      <c r="C6674" s="3">
        <v>0.67099999999999993</v>
      </c>
      <c r="D6674" s="4" t="s">
        <v>643</v>
      </c>
      <c r="E6674" s="4" t="s">
        <v>644</v>
      </c>
    </row>
    <row r="6675" spans="1:5" hidden="1" x14ac:dyDescent="0.15">
      <c r="A6675" s="4"/>
      <c r="B6675" s="4"/>
      <c r="C6675" s="4"/>
      <c r="D6675" s="4" t="s">
        <v>643</v>
      </c>
      <c r="E6675" s="4" t="s">
        <v>644</v>
      </c>
    </row>
    <row r="6676" spans="1:5" hidden="1" x14ac:dyDescent="0.15">
      <c r="A6676" s="16"/>
      <c r="B6676" s="16"/>
      <c r="C6676" s="16"/>
      <c r="D6676" s="4" t="s">
        <v>643</v>
      </c>
      <c r="E6676" s="4" t="s">
        <v>644</v>
      </c>
    </row>
    <row r="6677" spans="1:5" ht="26" hidden="1" x14ac:dyDescent="0.15">
      <c r="A6677" s="1" t="s">
        <v>649</v>
      </c>
      <c r="B6677" s="2">
        <v>637764</v>
      </c>
      <c r="C6677" s="3">
        <v>0.20300000000000001</v>
      </c>
      <c r="D6677" s="4" t="s">
        <v>643</v>
      </c>
      <c r="E6677" s="4" t="s">
        <v>644</v>
      </c>
    </row>
    <row r="6678" spans="1:5" hidden="1" x14ac:dyDescent="0.15">
      <c r="A6678" s="4"/>
      <c r="B6678" s="4"/>
      <c r="C6678" s="4"/>
      <c r="D6678" s="4" t="s">
        <v>643</v>
      </c>
      <c r="E6678" s="4" t="s">
        <v>644</v>
      </c>
    </row>
    <row r="6679" spans="1:5" hidden="1" x14ac:dyDescent="0.15">
      <c r="A6679" s="16"/>
      <c r="B6679" s="16"/>
      <c r="C6679" s="16"/>
      <c r="D6679" s="4" t="s">
        <v>643</v>
      </c>
      <c r="E6679" s="4" t="s">
        <v>644</v>
      </c>
    </row>
    <row r="6680" spans="1:5" ht="26" hidden="1" x14ac:dyDescent="0.15">
      <c r="A6680" s="1" t="s">
        <v>650</v>
      </c>
      <c r="B6680" s="2">
        <v>306257</v>
      </c>
      <c r="C6680" s="3">
        <v>9.6999999999999989E-2</v>
      </c>
      <c r="D6680" s="4" t="s">
        <v>643</v>
      </c>
      <c r="E6680" s="4" t="s">
        <v>644</v>
      </c>
    </row>
    <row r="6681" spans="1:5" ht="39" hidden="1" x14ac:dyDescent="0.15">
      <c r="A6681" s="1" t="s">
        <v>651</v>
      </c>
      <c r="B6681" s="2">
        <v>114332</v>
      </c>
      <c r="C6681" s="3">
        <v>3.6000000000000004E-2</v>
      </c>
      <c r="D6681" s="4" t="s">
        <v>643</v>
      </c>
      <c r="E6681" s="4" t="s">
        <v>644</v>
      </c>
    </row>
    <row r="6682" spans="1:5" ht="26" hidden="1" x14ac:dyDescent="0.15">
      <c r="A6682" s="1" t="s">
        <v>652</v>
      </c>
      <c r="B6682" s="2">
        <v>610999</v>
      </c>
      <c r="C6682" s="3">
        <v>0.19399999999999998</v>
      </c>
      <c r="D6682" s="4" t="s">
        <v>643</v>
      </c>
      <c r="E6682" s="4" t="s">
        <v>644</v>
      </c>
    </row>
    <row r="6683" spans="1:5" ht="26" hidden="1" x14ac:dyDescent="0.15">
      <c r="A6683" s="1" t="s">
        <v>653</v>
      </c>
      <c r="B6683" s="2">
        <v>113364</v>
      </c>
      <c r="C6683" s="3">
        <v>3.6000000000000004E-2</v>
      </c>
      <c r="D6683" s="4" t="s">
        <v>643</v>
      </c>
      <c r="E6683" s="4" t="s">
        <v>644</v>
      </c>
    </row>
    <row r="6684" spans="1:5" ht="26" hidden="1" x14ac:dyDescent="0.15">
      <c r="A6684" s="1" t="s">
        <v>654</v>
      </c>
      <c r="B6684" s="2">
        <v>393396</v>
      </c>
      <c r="C6684" s="3">
        <v>0.125</v>
      </c>
      <c r="D6684" s="4" t="s">
        <v>643</v>
      </c>
      <c r="E6684" s="4" t="s">
        <v>644</v>
      </c>
    </row>
    <row r="6685" spans="1:5" ht="26" hidden="1" x14ac:dyDescent="0.15">
      <c r="A6685" s="1" t="s">
        <v>655</v>
      </c>
      <c r="B6685" s="2">
        <v>83334</v>
      </c>
      <c r="C6685" s="3">
        <v>2.7000000000000003E-2</v>
      </c>
      <c r="D6685" s="4" t="s">
        <v>643</v>
      </c>
      <c r="E6685" s="4" t="s">
        <v>644</v>
      </c>
    </row>
    <row r="6686" spans="1:5" ht="26" hidden="1" x14ac:dyDescent="0.15">
      <c r="A6686" s="1" t="s">
        <v>656</v>
      </c>
      <c r="B6686" s="2">
        <v>122734</v>
      </c>
      <c r="C6686" s="3">
        <v>3.9E-2</v>
      </c>
      <c r="D6686" s="4" t="s">
        <v>643</v>
      </c>
      <c r="E6686" s="4" t="s">
        <v>644</v>
      </c>
    </row>
    <row r="6687" spans="1:5" hidden="1" x14ac:dyDescent="0.15">
      <c r="A6687" s="1" t="s">
        <v>0</v>
      </c>
      <c r="B6687" s="2">
        <v>962953</v>
      </c>
      <c r="C6687" s="3">
        <v>1</v>
      </c>
      <c r="D6687" s="4" t="s">
        <v>657</v>
      </c>
      <c r="E6687" s="4" t="s">
        <v>168</v>
      </c>
    </row>
    <row r="6688" spans="1:5" ht="26" hidden="1" x14ac:dyDescent="0.15">
      <c r="A6688" s="1" t="s">
        <v>3</v>
      </c>
      <c r="B6688" s="2">
        <v>9229</v>
      </c>
      <c r="C6688" s="3">
        <v>0.01</v>
      </c>
      <c r="D6688" s="4" t="s">
        <v>657</v>
      </c>
      <c r="E6688" s="4" t="s">
        <v>168</v>
      </c>
    </row>
    <row r="6689" spans="1:5" hidden="1" x14ac:dyDescent="0.15">
      <c r="A6689" s="1" t="s">
        <v>4</v>
      </c>
      <c r="B6689" s="2">
        <v>20860</v>
      </c>
      <c r="C6689" s="3">
        <v>2.2000000000000002E-2</v>
      </c>
      <c r="D6689" s="4" t="s">
        <v>657</v>
      </c>
      <c r="E6689" s="4" t="s">
        <v>168</v>
      </c>
    </row>
    <row r="6690" spans="1:5" ht="26" hidden="1" x14ac:dyDescent="0.15">
      <c r="A6690" s="1" t="s">
        <v>5</v>
      </c>
      <c r="B6690" s="2">
        <v>22713</v>
      </c>
      <c r="C6690" s="3">
        <v>2.4E-2</v>
      </c>
      <c r="D6690" s="4" t="s">
        <v>657</v>
      </c>
      <c r="E6690" s="4" t="s">
        <v>168</v>
      </c>
    </row>
    <row r="6691" spans="1:5" ht="26" hidden="1" x14ac:dyDescent="0.15">
      <c r="A6691" s="1" t="s">
        <v>6</v>
      </c>
      <c r="B6691" s="2">
        <v>167860</v>
      </c>
      <c r="C6691" s="3">
        <v>0.17399999999999999</v>
      </c>
      <c r="D6691" s="4" t="s">
        <v>657</v>
      </c>
      <c r="E6691" s="4" t="s">
        <v>168</v>
      </c>
    </row>
    <row r="6692" spans="1:5" ht="26" hidden="1" x14ac:dyDescent="0.15">
      <c r="A6692" s="1" t="s">
        <v>7</v>
      </c>
      <c r="B6692" s="2">
        <v>260040</v>
      </c>
      <c r="C6692" s="3">
        <v>0.27</v>
      </c>
      <c r="D6692" s="4" t="s">
        <v>657</v>
      </c>
      <c r="E6692" s="4" t="s">
        <v>168</v>
      </c>
    </row>
    <row r="6693" spans="1:5" ht="26" hidden="1" x14ac:dyDescent="0.15">
      <c r="A6693" s="1" t="s">
        <v>8</v>
      </c>
      <c r="B6693" s="2">
        <v>9767</v>
      </c>
      <c r="C6693" s="3">
        <v>0.01</v>
      </c>
      <c r="D6693" s="4" t="s">
        <v>657</v>
      </c>
      <c r="E6693" s="4" t="s">
        <v>168</v>
      </c>
    </row>
    <row r="6694" spans="1:5" ht="26" hidden="1" x14ac:dyDescent="0.15">
      <c r="A6694" s="1" t="s">
        <v>9</v>
      </c>
      <c r="B6694" s="2">
        <v>43284</v>
      </c>
      <c r="C6694" s="3">
        <v>4.4999999999999998E-2</v>
      </c>
      <c r="D6694" s="4" t="s">
        <v>657</v>
      </c>
      <c r="E6694" s="4" t="s">
        <v>168</v>
      </c>
    </row>
    <row r="6695" spans="1:5" ht="26" hidden="1" x14ac:dyDescent="0.15">
      <c r="A6695" s="1" t="s">
        <v>10</v>
      </c>
      <c r="B6695" s="2">
        <v>24691</v>
      </c>
      <c r="C6695" s="3">
        <v>2.6000000000000002E-2</v>
      </c>
      <c r="D6695" s="4" t="s">
        <v>657</v>
      </c>
      <c r="E6695" s="4" t="s">
        <v>168</v>
      </c>
    </row>
    <row r="6696" spans="1:5" ht="26" hidden="1" x14ac:dyDescent="0.15">
      <c r="A6696" s="1" t="s">
        <v>11</v>
      </c>
      <c r="B6696" s="2">
        <v>68240</v>
      </c>
      <c r="C6696" s="3">
        <v>7.0999999999999994E-2</v>
      </c>
      <c r="D6696" s="4" t="s">
        <v>657</v>
      </c>
      <c r="E6696" s="4" t="s">
        <v>168</v>
      </c>
    </row>
    <row r="6697" spans="1:5" ht="26" hidden="1" x14ac:dyDescent="0.15">
      <c r="A6697" s="1" t="s">
        <v>12</v>
      </c>
      <c r="B6697" s="2">
        <v>10628</v>
      </c>
      <c r="C6697" s="3">
        <v>1.1000000000000001E-2</v>
      </c>
      <c r="D6697" s="4" t="s">
        <v>657</v>
      </c>
      <c r="E6697" s="4" t="s">
        <v>168</v>
      </c>
    </row>
    <row r="6698" spans="1:5" ht="26" hidden="1" x14ac:dyDescent="0.15">
      <c r="A6698" s="1" t="s">
        <v>13</v>
      </c>
      <c r="B6698" s="2">
        <v>9772</v>
      </c>
      <c r="C6698" s="3">
        <v>0.01</v>
      </c>
      <c r="D6698" s="4" t="s">
        <v>657</v>
      </c>
      <c r="E6698" s="4" t="s">
        <v>168</v>
      </c>
    </row>
    <row r="6699" spans="1:5" hidden="1" x14ac:dyDescent="0.15">
      <c r="A6699" s="1" t="s">
        <v>14</v>
      </c>
      <c r="B6699" s="2">
        <v>62455</v>
      </c>
      <c r="C6699" s="3">
        <v>6.5000000000000002E-2</v>
      </c>
      <c r="D6699" s="4" t="s">
        <v>657</v>
      </c>
      <c r="E6699" s="4" t="s">
        <v>168</v>
      </c>
    </row>
    <row r="6700" spans="1:5" ht="26" hidden="1" x14ac:dyDescent="0.15">
      <c r="A6700" s="1" t="s">
        <v>15</v>
      </c>
      <c r="B6700" s="2">
        <v>94686</v>
      </c>
      <c r="C6700" s="3">
        <v>9.8000000000000004E-2</v>
      </c>
      <c r="D6700" s="4" t="s">
        <v>657</v>
      </c>
      <c r="E6700" s="4" t="s">
        <v>168</v>
      </c>
    </row>
    <row r="6701" spans="1:5" ht="26" hidden="1" x14ac:dyDescent="0.15">
      <c r="A6701" s="1" t="s">
        <v>16</v>
      </c>
      <c r="B6701" s="2">
        <v>31391</v>
      </c>
      <c r="C6701" s="3">
        <v>3.3000000000000002E-2</v>
      </c>
      <c r="D6701" s="4" t="s">
        <v>657</v>
      </c>
      <c r="E6701" s="4" t="s">
        <v>168</v>
      </c>
    </row>
    <row r="6702" spans="1:5" ht="26" hidden="1" x14ac:dyDescent="0.15">
      <c r="A6702" s="1" t="s">
        <v>17</v>
      </c>
      <c r="B6702" s="2">
        <v>38071</v>
      </c>
      <c r="C6702" s="3">
        <v>0.04</v>
      </c>
      <c r="D6702" s="4" t="s">
        <v>657</v>
      </c>
      <c r="E6702" s="4" t="s">
        <v>168</v>
      </c>
    </row>
    <row r="6703" spans="1:5" hidden="1" x14ac:dyDescent="0.15">
      <c r="A6703" s="1" t="s">
        <v>18</v>
      </c>
      <c r="B6703" s="2">
        <v>28642</v>
      </c>
      <c r="C6703" s="3">
        <v>0.03</v>
      </c>
      <c r="D6703" s="4" t="s">
        <v>657</v>
      </c>
      <c r="E6703" s="4" t="s">
        <v>168</v>
      </c>
    </row>
    <row r="6704" spans="1:5" hidden="1" x14ac:dyDescent="0.15">
      <c r="A6704" s="1" t="s">
        <v>19</v>
      </c>
      <c r="B6704" s="2">
        <v>140942</v>
      </c>
      <c r="C6704" s="3">
        <v>0.14599999999999999</v>
      </c>
      <c r="D6704" s="4" t="s">
        <v>657</v>
      </c>
      <c r="E6704" s="4" t="s">
        <v>168</v>
      </c>
    </row>
    <row r="6705" spans="1:5" hidden="1" x14ac:dyDescent="0.15">
      <c r="A6705" s="1" t="s">
        <v>20</v>
      </c>
      <c r="B6705" s="2">
        <v>14834</v>
      </c>
      <c r="C6705" s="3">
        <v>1.4999999999999999E-2</v>
      </c>
      <c r="D6705" s="4" t="s">
        <v>657</v>
      </c>
      <c r="E6705" s="4" t="s">
        <v>168</v>
      </c>
    </row>
    <row r="6706" spans="1:5" ht="26" hidden="1" x14ac:dyDescent="0.15">
      <c r="A6706" s="1" t="s">
        <v>21</v>
      </c>
      <c r="B6706" s="2">
        <v>21939</v>
      </c>
      <c r="C6706" s="3">
        <v>2.3E-2</v>
      </c>
      <c r="D6706" s="4" t="s">
        <v>657</v>
      </c>
      <c r="E6706" s="4" t="s">
        <v>168</v>
      </c>
    </row>
    <row r="6707" spans="1:5" ht="26" hidden="1" x14ac:dyDescent="0.15">
      <c r="A6707" s="1" t="s">
        <v>22</v>
      </c>
      <c r="B6707" s="2">
        <v>5407</v>
      </c>
      <c r="C6707" s="3">
        <v>6.0000000000000001E-3</v>
      </c>
      <c r="D6707" s="4" t="s">
        <v>657</v>
      </c>
      <c r="E6707" s="4" t="s">
        <v>168</v>
      </c>
    </row>
    <row r="6708" spans="1:5" ht="26" hidden="1" x14ac:dyDescent="0.15">
      <c r="A6708" s="1" t="s">
        <v>23</v>
      </c>
      <c r="B6708" s="2">
        <v>23184</v>
      </c>
      <c r="C6708" s="3">
        <v>2.4E-2</v>
      </c>
      <c r="D6708" s="4" t="s">
        <v>657</v>
      </c>
      <c r="E6708" s="4" t="s">
        <v>168</v>
      </c>
    </row>
    <row r="6709" spans="1:5" ht="26" hidden="1" x14ac:dyDescent="0.15">
      <c r="A6709" s="1" t="s">
        <v>24</v>
      </c>
      <c r="B6709" s="2">
        <v>4854</v>
      </c>
      <c r="C6709" s="3">
        <v>5.0000000000000001E-3</v>
      </c>
      <c r="D6709" s="4" t="s">
        <v>657</v>
      </c>
      <c r="E6709" s="4" t="s">
        <v>168</v>
      </c>
    </row>
    <row r="6710" spans="1:5" ht="26" hidden="1" x14ac:dyDescent="0.15">
      <c r="A6710" s="1" t="s">
        <v>25</v>
      </c>
      <c r="B6710" s="2">
        <v>13902</v>
      </c>
      <c r="C6710" s="3">
        <v>1.3999999999999999E-2</v>
      </c>
      <c r="D6710" s="4" t="s">
        <v>657</v>
      </c>
      <c r="E6710" s="4" t="s">
        <v>168</v>
      </c>
    </row>
    <row r="6711" spans="1:5" hidden="1" x14ac:dyDescent="0.15">
      <c r="A6711" s="1" t="s">
        <v>26</v>
      </c>
      <c r="B6711" s="2">
        <v>11092</v>
      </c>
      <c r="C6711" s="3">
        <v>1.2E-2</v>
      </c>
      <c r="D6711" s="4" t="s">
        <v>657</v>
      </c>
      <c r="E6711" s="4" t="s">
        <v>168</v>
      </c>
    </row>
    <row r="6712" spans="1:5" hidden="1" x14ac:dyDescent="0.15">
      <c r="A6712" s="1" t="s">
        <v>27</v>
      </c>
      <c r="B6712" s="2">
        <v>137489</v>
      </c>
      <c r="C6712" s="3">
        <v>0.14300000000000002</v>
      </c>
      <c r="D6712" s="4" t="s">
        <v>657</v>
      </c>
      <c r="E6712" s="4" t="s">
        <v>168</v>
      </c>
    </row>
    <row r="6713" spans="1:5" hidden="1" x14ac:dyDescent="0.15">
      <c r="A6713" s="1" t="s">
        <v>28</v>
      </c>
      <c r="B6713" s="2">
        <v>53610</v>
      </c>
      <c r="C6713" s="3">
        <v>5.5999999999999994E-2</v>
      </c>
      <c r="D6713" s="4" t="s">
        <v>657</v>
      </c>
      <c r="E6713" s="4" t="s">
        <v>168</v>
      </c>
    </row>
    <row r="6714" spans="1:5" hidden="1" x14ac:dyDescent="0.15">
      <c r="A6714" s="1" t="s">
        <v>29</v>
      </c>
      <c r="B6714" s="2">
        <v>249323</v>
      </c>
      <c r="C6714" s="3">
        <v>0.25900000000000001</v>
      </c>
      <c r="D6714" s="4" t="s">
        <v>657</v>
      </c>
      <c r="E6714" s="4" t="s">
        <v>168</v>
      </c>
    </row>
    <row r="6715" spans="1:5" hidden="1" x14ac:dyDescent="0.15">
      <c r="A6715" s="1" t="s">
        <v>30</v>
      </c>
      <c r="B6715" s="2">
        <v>33205</v>
      </c>
      <c r="C6715" s="3">
        <v>3.4000000000000002E-2</v>
      </c>
      <c r="D6715" s="4" t="s">
        <v>657</v>
      </c>
      <c r="E6715" s="4" t="s">
        <v>168</v>
      </c>
    </row>
    <row r="6716" spans="1:5" ht="39" hidden="1" x14ac:dyDescent="0.15">
      <c r="A6716" s="1" t="s">
        <v>31</v>
      </c>
      <c r="B6716" s="2">
        <v>3459</v>
      </c>
      <c r="C6716" s="3">
        <v>4.0000000000000001E-3</v>
      </c>
      <c r="D6716" s="4" t="s">
        <v>657</v>
      </c>
      <c r="E6716" s="4" t="s">
        <v>168</v>
      </c>
    </row>
    <row r="6717" spans="1:5" hidden="1" x14ac:dyDescent="0.15">
      <c r="A6717" s="1" t="s">
        <v>32</v>
      </c>
      <c r="B6717" s="2">
        <v>25667</v>
      </c>
      <c r="C6717" s="3">
        <v>2.7000000000000003E-2</v>
      </c>
      <c r="D6717" s="4" t="s">
        <v>657</v>
      </c>
      <c r="E6717" s="4" t="s">
        <v>168</v>
      </c>
    </row>
    <row r="6718" spans="1:5" hidden="1" x14ac:dyDescent="0.15">
      <c r="A6718" s="1" t="s">
        <v>33</v>
      </c>
      <c r="B6718" s="2">
        <v>312031</v>
      </c>
      <c r="C6718" s="3">
        <v>0.32400000000000001</v>
      </c>
      <c r="D6718" s="4" t="s">
        <v>657</v>
      </c>
      <c r="E6718" s="4" t="s">
        <v>168</v>
      </c>
    </row>
    <row r="6719" spans="1:5" hidden="1" x14ac:dyDescent="0.15">
      <c r="A6719" s="1" t="s">
        <v>34</v>
      </c>
      <c r="B6719" s="2">
        <v>91144</v>
      </c>
      <c r="C6719" s="3">
        <v>9.5000000000000001E-2</v>
      </c>
      <c r="D6719" s="4" t="s">
        <v>657</v>
      </c>
      <c r="E6719" s="4" t="s">
        <v>168</v>
      </c>
    </row>
    <row r="6720" spans="1:5" hidden="1" x14ac:dyDescent="0.15">
      <c r="A6720" s="1" t="s">
        <v>35</v>
      </c>
      <c r="B6720" s="2">
        <v>23146</v>
      </c>
      <c r="C6720" s="3">
        <v>2.4E-2</v>
      </c>
      <c r="D6720" s="4" t="s">
        <v>657</v>
      </c>
      <c r="E6720" s="4" t="s">
        <v>168</v>
      </c>
    </row>
    <row r="6721" spans="1:5" ht="26" hidden="1" x14ac:dyDescent="0.15">
      <c r="A6721" s="1" t="s">
        <v>36</v>
      </c>
      <c r="B6721" s="2">
        <v>15063</v>
      </c>
      <c r="C6721" s="3">
        <v>1.6E-2</v>
      </c>
      <c r="D6721" s="4" t="s">
        <v>657</v>
      </c>
      <c r="E6721" s="4" t="s">
        <v>168</v>
      </c>
    </row>
    <row r="6722" spans="1:5" hidden="1" x14ac:dyDescent="0.15">
      <c r="A6722" s="1" t="s">
        <v>37</v>
      </c>
      <c r="B6722" s="2">
        <v>6658</v>
      </c>
      <c r="C6722" s="3">
        <v>6.9999999999999993E-3</v>
      </c>
      <c r="D6722" s="4" t="s">
        <v>657</v>
      </c>
      <c r="E6722" s="4" t="s">
        <v>168</v>
      </c>
    </row>
    <row r="6723" spans="1:5" ht="39" hidden="1" x14ac:dyDescent="0.15">
      <c r="A6723" s="1" t="s">
        <v>38</v>
      </c>
      <c r="B6723" s="2">
        <v>12143</v>
      </c>
      <c r="C6723" s="3">
        <v>1.3000000000000001E-2</v>
      </c>
      <c r="D6723" s="4" t="s">
        <v>657</v>
      </c>
      <c r="E6723" s="4" t="s">
        <v>168</v>
      </c>
    </row>
    <row r="6724" spans="1:5" hidden="1" x14ac:dyDescent="0.15">
      <c r="A6724" s="1" t="s">
        <v>39</v>
      </c>
      <c r="B6724" s="2">
        <v>27878</v>
      </c>
      <c r="C6724" s="3">
        <v>2.8999999999999998E-2</v>
      </c>
      <c r="D6724" s="4" t="s">
        <v>657</v>
      </c>
      <c r="E6724" s="4" t="s">
        <v>168</v>
      </c>
    </row>
    <row r="6725" spans="1:5" hidden="1" x14ac:dyDescent="0.15">
      <c r="A6725" s="1" t="s">
        <v>40</v>
      </c>
      <c r="B6725" s="2">
        <v>13197</v>
      </c>
      <c r="C6725" s="3">
        <v>1.3999999999999999E-2</v>
      </c>
      <c r="D6725" s="4" t="s">
        <v>657</v>
      </c>
      <c r="E6725" s="4" t="s">
        <v>168</v>
      </c>
    </row>
    <row r="6726" spans="1:5" hidden="1" x14ac:dyDescent="0.15">
      <c r="A6726" s="1" t="s">
        <v>41</v>
      </c>
      <c r="B6726" s="2">
        <v>29241</v>
      </c>
      <c r="C6726" s="3">
        <v>0.03</v>
      </c>
      <c r="D6726" s="4" t="s">
        <v>657</v>
      </c>
      <c r="E6726" s="4" t="s">
        <v>168</v>
      </c>
    </row>
    <row r="6727" spans="1:5" hidden="1" x14ac:dyDescent="0.15">
      <c r="A6727" s="1" t="s">
        <v>42</v>
      </c>
      <c r="B6727" s="2">
        <v>42619</v>
      </c>
      <c r="C6727" s="3">
        <v>4.4000000000000004E-2</v>
      </c>
      <c r="D6727" s="4" t="s">
        <v>657</v>
      </c>
      <c r="E6727" s="4" t="s">
        <v>168</v>
      </c>
    </row>
    <row r="6728" spans="1:5" hidden="1" x14ac:dyDescent="0.15">
      <c r="A6728" s="1" t="s">
        <v>43</v>
      </c>
      <c r="B6728" s="2">
        <v>89149</v>
      </c>
      <c r="C6728" s="3">
        <v>9.3000000000000013E-2</v>
      </c>
      <c r="D6728" s="4" t="s">
        <v>657</v>
      </c>
      <c r="E6728" s="4" t="s">
        <v>168</v>
      </c>
    </row>
    <row r="6729" spans="1:5" ht="26" hidden="1" x14ac:dyDescent="0.15">
      <c r="A6729" s="1" t="s">
        <v>44</v>
      </c>
      <c r="B6729" s="2">
        <v>130797</v>
      </c>
      <c r="C6729" s="3">
        <v>0.13600000000000001</v>
      </c>
      <c r="D6729" s="4" t="s">
        <v>657</v>
      </c>
      <c r="E6729" s="4" t="s">
        <v>168</v>
      </c>
    </row>
    <row r="6730" spans="1:5" hidden="1" x14ac:dyDescent="0.15">
      <c r="A6730" s="1" t="s">
        <v>45</v>
      </c>
      <c r="B6730" s="2">
        <v>212007</v>
      </c>
      <c r="C6730" s="3">
        <v>0.22</v>
      </c>
      <c r="D6730" s="4" t="s">
        <v>657</v>
      </c>
      <c r="E6730" s="4" t="s">
        <v>168</v>
      </c>
    </row>
    <row r="6731" spans="1:5" ht="26" hidden="1" x14ac:dyDescent="0.15">
      <c r="A6731" s="1" t="s">
        <v>46</v>
      </c>
      <c r="B6731" s="2">
        <v>420943</v>
      </c>
      <c r="C6731" s="3">
        <v>0.43700000000000006</v>
      </c>
      <c r="D6731" s="4" t="s">
        <v>657</v>
      </c>
      <c r="E6731" s="4" t="s">
        <v>168</v>
      </c>
    </row>
    <row r="6732" spans="1:5" hidden="1" x14ac:dyDescent="0.15">
      <c r="A6732" s="1" t="s">
        <v>47</v>
      </c>
      <c r="B6732" s="2">
        <v>534801</v>
      </c>
      <c r="C6732" s="3">
        <v>0.55500000000000005</v>
      </c>
      <c r="D6732" s="4" t="s">
        <v>657</v>
      </c>
      <c r="E6732" s="4" t="s">
        <v>168</v>
      </c>
    </row>
    <row r="6733" spans="1:5" hidden="1" x14ac:dyDescent="0.15">
      <c r="A6733" s="1" t="s">
        <v>48</v>
      </c>
      <c r="B6733" s="2">
        <v>100642</v>
      </c>
      <c r="C6733" s="3">
        <v>0.105</v>
      </c>
      <c r="D6733" s="4" t="s">
        <v>657</v>
      </c>
      <c r="E6733" s="4" t="s">
        <v>168</v>
      </c>
    </row>
    <row r="6734" spans="1:5" hidden="1" x14ac:dyDescent="0.15">
      <c r="A6734" s="1" t="s">
        <v>49</v>
      </c>
      <c r="B6734" s="2">
        <v>137523</v>
      </c>
      <c r="C6734" s="3">
        <v>0.14300000000000002</v>
      </c>
      <c r="D6734" s="4" t="s">
        <v>657</v>
      </c>
      <c r="E6734" s="4" t="s">
        <v>168</v>
      </c>
    </row>
    <row r="6735" spans="1:5" ht="26" hidden="1" x14ac:dyDescent="0.15">
      <c r="A6735" s="1" t="s">
        <v>50</v>
      </c>
      <c r="B6735" s="2">
        <v>202123</v>
      </c>
      <c r="C6735" s="3">
        <v>0.21</v>
      </c>
      <c r="D6735" s="4" t="s">
        <v>657</v>
      </c>
      <c r="E6735" s="4" t="s">
        <v>168</v>
      </c>
    </row>
    <row r="6736" spans="1:5" hidden="1" x14ac:dyDescent="0.15">
      <c r="A6736" s="1" t="s">
        <v>51</v>
      </c>
      <c r="B6736" s="2">
        <v>375094</v>
      </c>
      <c r="C6736" s="3">
        <v>0.39</v>
      </c>
      <c r="D6736" s="4" t="s">
        <v>657</v>
      </c>
      <c r="E6736" s="4" t="s">
        <v>168</v>
      </c>
    </row>
    <row r="6737" spans="1:5" hidden="1" x14ac:dyDescent="0.15">
      <c r="A6737" s="1" t="s">
        <v>52</v>
      </c>
      <c r="B6737" s="2">
        <v>105178</v>
      </c>
      <c r="C6737" s="3">
        <v>0.109</v>
      </c>
      <c r="D6737" s="4" t="s">
        <v>657</v>
      </c>
      <c r="E6737" s="4" t="s">
        <v>168</v>
      </c>
    </row>
    <row r="6738" spans="1:5" ht="26" hidden="1" x14ac:dyDescent="0.15">
      <c r="A6738" s="1" t="s">
        <v>53</v>
      </c>
      <c r="B6738" s="2">
        <v>78877</v>
      </c>
      <c r="C6738" s="3">
        <v>8.199999999999999E-2</v>
      </c>
      <c r="D6738" s="4" t="s">
        <v>657</v>
      </c>
      <c r="E6738" s="4" t="s">
        <v>168</v>
      </c>
    </row>
    <row r="6739" spans="1:5" hidden="1" x14ac:dyDescent="0.15">
      <c r="A6739" s="1" t="s">
        <v>54</v>
      </c>
      <c r="B6739" s="2">
        <v>398106</v>
      </c>
      <c r="C6739" s="3">
        <v>0.41299999999999998</v>
      </c>
      <c r="D6739" s="4" t="s">
        <v>657</v>
      </c>
      <c r="E6739" s="4" t="s">
        <v>168</v>
      </c>
    </row>
    <row r="6740" spans="1:5" ht="26" hidden="1" x14ac:dyDescent="0.15">
      <c r="A6740" s="1" t="s">
        <v>55</v>
      </c>
      <c r="B6740" s="2">
        <v>415804</v>
      </c>
      <c r="C6740" s="3">
        <v>0.43200000000000005</v>
      </c>
      <c r="D6740" s="4" t="s">
        <v>657</v>
      </c>
      <c r="E6740" s="4" t="s">
        <v>168</v>
      </c>
    </row>
    <row r="6741" spans="1:5" hidden="1" x14ac:dyDescent="0.15">
      <c r="A6741" s="1" t="s">
        <v>56</v>
      </c>
      <c r="B6741" s="2">
        <v>292539</v>
      </c>
      <c r="C6741" s="3">
        <v>0.30399999999999999</v>
      </c>
      <c r="D6741" s="4" t="s">
        <v>657</v>
      </c>
      <c r="E6741" s="4" t="s">
        <v>168</v>
      </c>
    </row>
    <row r="6742" spans="1:5" hidden="1" x14ac:dyDescent="0.15">
      <c r="A6742" s="1" t="s">
        <v>57</v>
      </c>
      <c r="B6742" s="2">
        <v>213387</v>
      </c>
      <c r="C6742" s="3">
        <v>0.222</v>
      </c>
      <c r="D6742" s="4" t="s">
        <v>657</v>
      </c>
      <c r="E6742" s="4" t="s">
        <v>168</v>
      </c>
    </row>
    <row r="6743" spans="1:5" hidden="1" x14ac:dyDescent="0.15">
      <c r="A6743" s="1" t="s">
        <v>58</v>
      </c>
      <c r="B6743" s="2">
        <v>182487</v>
      </c>
      <c r="C6743" s="3">
        <v>0.19</v>
      </c>
      <c r="D6743" s="4" t="s">
        <v>657</v>
      </c>
      <c r="E6743" s="4" t="s">
        <v>168</v>
      </c>
    </row>
    <row r="6744" spans="1:5" hidden="1" x14ac:dyDescent="0.15">
      <c r="A6744" s="1" t="s">
        <v>59</v>
      </c>
      <c r="B6744" s="2">
        <v>475476</v>
      </c>
      <c r="C6744" s="3">
        <v>0.49399999999999999</v>
      </c>
      <c r="D6744" s="4" t="s">
        <v>657</v>
      </c>
      <c r="E6744" s="4" t="s">
        <v>168</v>
      </c>
    </row>
    <row r="6745" spans="1:5" hidden="1" x14ac:dyDescent="0.15">
      <c r="A6745" s="1" t="s">
        <v>60</v>
      </c>
      <c r="B6745" s="2">
        <v>191438</v>
      </c>
      <c r="C6745" s="3">
        <v>0.19899999999999998</v>
      </c>
      <c r="D6745" s="4" t="s">
        <v>657</v>
      </c>
      <c r="E6745" s="4" t="s">
        <v>168</v>
      </c>
    </row>
    <row r="6746" spans="1:5" ht="26" hidden="1" x14ac:dyDescent="0.15">
      <c r="A6746" s="1" t="s">
        <v>61</v>
      </c>
      <c r="B6746" s="2">
        <v>191917</v>
      </c>
      <c r="C6746" s="3">
        <v>0.19899999999999998</v>
      </c>
      <c r="D6746" s="4" t="s">
        <v>657</v>
      </c>
      <c r="E6746" s="4" t="s">
        <v>168</v>
      </c>
    </row>
    <row r="6747" spans="1:5" hidden="1" x14ac:dyDescent="0.15">
      <c r="A6747" s="1" t="s">
        <v>62</v>
      </c>
      <c r="B6747" s="2">
        <v>76095</v>
      </c>
      <c r="C6747" s="3">
        <v>7.9000000000000001E-2</v>
      </c>
      <c r="D6747" s="4" t="s">
        <v>657</v>
      </c>
      <c r="E6747" s="4" t="s">
        <v>168</v>
      </c>
    </row>
    <row r="6748" spans="1:5" ht="26" hidden="1" x14ac:dyDescent="0.15">
      <c r="A6748" s="1" t="s">
        <v>63</v>
      </c>
      <c r="B6748" s="2">
        <v>248198</v>
      </c>
      <c r="C6748" s="3">
        <v>0.25800000000000001</v>
      </c>
      <c r="D6748" s="4" t="s">
        <v>657</v>
      </c>
      <c r="E6748" s="4" t="s">
        <v>168</v>
      </c>
    </row>
    <row r="6749" spans="1:5" ht="26" hidden="1" x14ac:dyDescent="0.15">
      <c r="A6749" s="1" t="s">
        <v>64</v>
      </c>
      <c r="B6749" s="2">
        <v>46545</v>
      </c>
      <c r="C6749" s="3">
        <v>4.8000000000000001E-2</v>
      </c>
      <c r="D6749" s="4" t="s">
        <v>657</v>
      </c>
      <c r="E6749" s="4" t="s">
        <v>168</v>
      </c>
    </row>
    <row r="6750" spans="1:5" hidden="1" x14ac:dyDescent="0.15">
      <c r="A6750" s="1" t="s">
        <v>65</v>
      </c>
      <c r="B6750" s="2">
        <v>134591</v>
      </c>
      <c r="C6750" s="3">
        <v>0.14000000000000001</v>
      </c>
      <c r="D6750" s="4" t="s">
        <v>657</v>
      </c>
      <c r="E6750" s="4" t="s">
        <v>168</v>
      </c>
    </row>
    <row r="6751" spans="1:5" hidden="1" x14ac:dyDescent="0.15">
      <c r="A6751" s="1" t="s">
        <v>66</v>
      </c>
      <c r="B6751" s="2">
        <v>86956</v>
      </c>
      <c r="C6751" s="3">
        <v>0.09</v>
      </c>
      <c r="D6751" s="4" t="s">
        <v>657</v>
      </c>
      <c r="E6751" s="4" t="s">
        <v>168</v>
      </c>
    </row>
    <row r="6752" spans="1:5" hidden="1" x14ac:dyDescent="0.15">
      <c r="A6752" s="1" t="s">
        <v>67</v>
      </c>
      <c r="B6752" s="2">
        <v>344263</v>
      </c>
      <c r="C6752" s="3">
        <v>0.35799999999999998</v>
      </c>
      <c r="D6752" s="4" t="s">
        <v>657</v>
      </c>
      <c r="E6752" s="4" t="s">
        <v>168</v>
      </c>
    </row>
    <row r="6753" spans="1:5" hidden="1" x14ac:dyDescent="0.15">
      <c r="A6753" s="1" t="s">
        <v>68</v>
      </c>
      <c r="B6753" s="2">
        <v>336167</v>
      </c>
      <c r="C6753" s="3">
        <v>0.34899999999999998</v>
      </c>
      <c r="D6753" s="4" t="s">
        <v>657</v>
      </c>
      <c r="E6753" s="4" t="s">
        <v>168</v>
      </c>
    </row>
    <row r="6754" spans="1:5" hidden="1" x14ac:dyDescent="0.15">
      <c r="A6754" s="1" t="s">
        <v>69</v>
      </c>
      <c r="B6754" s="2">
        <v>606309</v>
      </c>
      <c r="C6754" s="3">
        <v>0.63</v>
      </c>
      <c r="D6754" s="4" t="s">
        <v>657</v>
      </c>
      <c r="E6754" s="4" t="s">
        <v>168</v>
      </c>
    </row>
    <row r="6755" spans="1:5" hidden="1" x14ac:dyDescent="0.15">
      <c r="A6755" s="1" t="s">
        <v>70</v>
      </c>
      <c r="B6755" s="2">
        <v>170459</v>
      </c>
      <c r="C6755" s="3">
        <v>0.17699999999999999</v>
      </c>
      <c r="D6755" s="4" t="s">
        <v>657</v>
      </c>
      <c r="E6755" s="4" t="s">
        <v>168</v>
      </c>
    </row>
    <row r="6756" spans="1:5" ht="26" hidden="1" x14ac:dyDescent="0.15">
      <c r="A6756" s="1" t="s">
        <v>71</v>
      </c>
      <c r="B6756" s="2">
        <v>64701</v>
      </c>
      <c r="C6756" s="3">
        <v>6.7000000000000004E-2</v>
      </c>
      <c r="D6756" s="4" t="s">
        <v>657</v>
      </c>
      <c r="E6756" s="4" t="s">
        <v>168</v>
      </c>
    </row>
    <row r="6757" spans="1:5" hidden="1" x14ac:dyDescent="0.15">
      <c r="A6757" s="1" t="s">
        <v>72</v>
      </c>
      <c r="B6757" s="2">
        <v>144914</v>
      </c>
      <c r="C6757" s="3">
        <v>0.15</v>
      </c>
      <c r="D6757" s="4" t="s">
        <v>657</v>
      </c>
      <c r="E6757" s="4" t="s">
        <v>168</v>
      </c>
    </row>
    <row r="6758" spans="1:5" hidden="1" x14ac:dyDescent="0.15">
      <c r="A6758" s="1" t="s">
        <v>73</v>
      </c>
      <c r="B6758" s="2">
        <v>643643</v>
      </c>
      <c r="C6758" s="3">
        <v>0.66799999999999993</v>
      </c>
      <c r="D6758" s="4" t="s">
        <v>657</v>
      </c>
      <c r="E6758" s="4" t="s">
        <v>168</v>
      </c>
    </row>
    <row r="6759" spans="1:5" hidden="1" x14ac:dyDescent="0.15">
      <c r="A6759" s="1" t="s">
        <v>74</v>
      </c>
      <c r="B6759" s="2">
        <v>273117</v>
      </c>
      <c r="C6759" s="3">
        <v>0.28399999999999997</v>
      </c>
      <c r="D6759" s="4" t="s">
        <v>657</v>
      </c>
      <c r="E6759" s="4" t="s">
        <v>168</v>
      </c>
    </row>
    <row r="6760" spans="1:5" hidden="1" x14ac:dyDescent="0.15">
      <c r="A6760" s="1" t="s">
        <v>75</v>
      </c>
      <c r="B6760" s="2">
        <v>185148</v>
      </c>
      <c r="C6760" s="3">
        <v>0.192</v>
      </c>
      <c r="D6760" s="4" t="s">
        <v>657</v>
      </c>
      <c r="E6760" s="4" t="s">
        <v>168</v>
      </c>
    </row>
    <row r="6761" spans="1:5" hidden="1" x14ac:dyDescent="0.15">
      <c r="A6761" s="1" t="s">
        <v>76</v>
      </c>
      <c r="B6761" s="2">
        <v>123292</v>
      </c>
      <c r="C6761" s="3">
        <v>0.128</v>
      </c>
      <c r="D6761" s="4" t="s">
        <v>657</v>
      </c>
      <c r="E6761" s="4" t="s">
        <v>168</v>
      </c>
    </row>
    <row r="6762" spans="1:5" hidden="1" x14ac:dyDescent="0.15">
      <c r="A6762" s="1" t="s">
        <v>77</v>
      </c>
      <c r="B6762" s="2">
        <v>117624</v>
      </c>
      <c r="C6762" s="3">
        <v>0.122</v>
      </c>
      <c r="D6762" s="4" t="s">
        <v>657</v>
      </c>
      <c r="E6762" s="4" t="s">
        <v>168</v>
      </c>
    </row>
    <row r="6763" spans="1:5" ht="26" hidden="1" x14ac:dyDescent="0.15">
      <c r="A6763" s="1" t="s">
        <v>78</v>
      </c>
      <c r="B6763" s="2">
        <v>102114</v>
      </c>
      <c r="C6763" s="3">
        <v>0.106</v>
      </c>
      <c r="D6763" s="4" t="s">
        <v>657</v>
      </c>
      <c r="E6763" s="4" t="s">
        <v>168</v>
      </c>
    </row>
    <row r="6764" spans="1:5" hidden="1" x14ac:dyDescent="0.15">
      <c r="A6764" s="1" t="s">
        <v>79</v>
      </c>
      <c r="B6764" s="2">
        <v>148812</v>
      </c>
      <c r="C6764" s="3">
        <v>0.155</v>
      </c>
      <c r="D6764" s="4" t="s">
        <v>657</v>
      </c>
      <c r="E6764" s="4" t="s">
        <v>168</v>
      </c>
    </row>
    <row r="6765" spans="1:5" hidden="1" x14ac:dyDescent="0.15">
      <c r="A6765" s="1" t="s">
        <v>80</v>
      </c>
      <c r="B6765" s="2">
        <v>153068</v>
      </c>
      <c r="C6765" s="3">
        <v>0.159</v>
      </c>
      <c r="D6765" s="4" t="s">
        <v>657</v>
      </c>
      <c r="E6765" s="4" t="s">
        <v>168</v>
      </c>
    </row>
    <row r="6766" spans="1:5" ht="26" hidden="1" x14ac:dyDescent="0.15">
      <c r="A6766" s="1" t="s">
        <v>81</v>
      </c>
      <c r="B6766" s="2">
        <v>232953</v>
      </c>
      <c r="C6766" s="3">
        <v>0.24199999999999999</v>
      </c>
      <c r="D6766" s="4" t="s">
        <v>657</v>
      </c>
      <c r="E6766" s="4" t="s">
        <v>168</v>
      </c>
    </row>
    <row r="6767" spans="1:5" hidden="1" x14ac:dyDescent="0.15">
      <c r="A6767" s="1" t="s">
        <v>82</v>
      </c>
      <c r="B6767" s="2">
        <v>136265</v>
      </c>
      <c r="C6767" s="3">
        <v>0.14199999999999999</v>
      </c>
      <c r="D6767" s="4" t="s">
        <v>657</v>
      </c>
      <c r="E6767" s="4" t="s">
        <v>168</v>
      </c>
    </row>
    <row r="6768" spans="1:5" hidden="1" x14ac:dyDescent="0.15">
      <c r="A6768" s="4"/>
      <c r="B6768" s="4"/>
      <c r="C6768" s="4"/>
      <c r="D6768" s="4" t="s">
        <v>657</v>
      </c>
      <c r="E6768" s="4" t="s">
        <v>168</v>
      </c>
    </row>
    <row r="6769" spans="1:5" hidden="1" x14ac:dyDescent="0.15">
      <c r="A6769" s="5"/>
      <c r="B6769" s="5"/>
      <c r="C6769" s="5"/>
      <c r="D6769" s="4" t="s">
        <v>657</v>
      </c>
      <c r="E6769" s="4" t="s">
        <v>168</v>
      </c>
    </row>
    <row r="6770" spans="1:5" ht="26" hidden="1" x14ac:dyDescent="0.15">
      <c r="A6770" s="1" t="s">
        <v>658</v>
      </c>
      <c r="B6770" s="2">
        <v>224731</v>
      </c>
      <c r="C6770" s="3">
        <v>0.23300000000000001</v>
      </c>
      <c r="D6770" s="4" t="s">
        <v>657</v>
      </c>
      <c r="E6770" s="4" t="s">
        <v>168</v>
      </c>
    </row>
    <row r="6771" spans="1:5" ht="26" hidden="1" x14ac:dyDescent="0.15">
      <c r="A6771" s="1" t="s">
        <v>659</v>
      </c>
      <c r="B6771" s="2">
        <v>497803</v>
      </c>
      <c r="C6771" s="3">
        <v>0.51700000000000002</v>
      </c>
      <c r="D6771" s="4" t="s">
        <v>657</v>
      </c>
      <c r="E6771" s="4" t="s">
        <v>168</v>
      </c>
    </row>
    <row r="6772" spans="1:5" hidden="1" x14ac:dyDescent="0.15">
      <c r="A6772" s="4"/>
      <c r="B6772" s="4"/>
      <c r="C6772" s="4"/>
      <c r="D6772" s="4" t="s">
        <v>657</v>
      </c>
      <c r="E6772" s="4" t="s">
        <v>168</v>
      </c>
    </row>
    <row r="6773" spans="1:5" hidden="1" x14ac:dyDescent="0.15">
      <c r="A6773" s="5" t="s">
        <v>397</v>
      </c>
      <c r="B6773" s="5"/>
      <c r="C6773" s="5"/>
      <c r="D6773" s="4" t="s">
        <v>657</v>
      </c>
      <c r="E6773" s="4" t="s">
        <v>168</v>
      </c>
    </row>
    <row r="6774" spans="1:5" hidden="1" x14ac:dyDescent="0.15">
      <c r="A6774" s="1" t="s">
        <v>660</v>
      </c>
      <c r="B6774" s="2">
        <v>284911</v>
      </c>
      <c r="C6774" s="3">
        <v>0.29600000000000004</v>
      </c>
      <c r="D6774" s="4" t="s">
        <v>657</v>
      </c>
      <c r="E6774" s="4" t="s">
        <v>168</v>
      </c>
    </row>
    <row r="6775" spans="1:5" hidden="1" x14ac:dyDescent="0.15">
      <c r="A6775" s="4"/>
      <c r="B6775" s="4"/>
      <c r="C6775" s="4"/>
      <c r="D6775" s="4" t="s">
        <v>657</v>
      </c>
      <c r="E6775" s="4" t="s">
        <v>168</v>
      </c>
    </row>
    <row r="6776" spans="1:5" hidden="1" x14ac:dyDescent="0.15">
      <c r="A6776" s="5"/>
      <c r="B6776" s="5"/>
      <c r="C6776" s="5"/>
      <c r="D6776" s="4" t="s">
        <v>657</v>
      </c>
      <c r="E6776" s="4" t="s">
        <v>168</v>
      </c>
    </row>
    <row r="6777" spans="1:5" ht="26" hidden="1" x14ac:dyDescent="0.15">
      <c r="A6777" s="1" t="s">
        <v>661</v>
      </c>
      <c r="B6777" s="2">
        <v>228918</v>
      </c>
      <c r="C6777" s="3">
        <v>0.23800000000000002</v>
      </c>
      <c r="D6777" s="4" t="s">
        <v>657</v>
      </c>
      <c r="E6777" s="4" t="s">
        <v>168</v>
      </c>
    </row>
    <row r="6778" spans="1:5" ht="26" hidden="1" x14ac:dyDescent="0.15">
      <c r="A6778" s="1" t="s">
        <v>662</v>
      </c>
      <c r="B6778" s="2">
        <v>89462</v>
      </c>
      <c r="C6778" s="3">
        <v>9.3000000000000013E-2</v>
      </c>
      <c r="D6778" s="4" t="s">
        <v>657</v>
      </c>
      <c r="E6778" s="4" t="s">
        <v>168</v>
      </c>
    </row>
    <row r="6779" spans="1:5" ht="26" hidden="1" x14ac:dyDescent="0.15">
      <c r="A6779" s="1" t="s">
        <v>663</v>
      </c>
      <c r="B6779" s="2">
        <v>32836</v>
      </c>
      <c r="C6779" s="3">
        <v>3.4000000000000002E-2</v>
      </c>
      <c r="D6779" s="4" t="s">
        <v>657</v>
      </c>
      <c r="E6779" s="4" t="s">
        <v>168</v>
      </c>
    </row>
    <row r="6780" spans="1:5" ht="26" hidden="1" x14ac:dyDescent="0.15">
      <c r="A6780" s="1" t="s">
        <v>664</v>
      </c>
      <c r="B6780" s="2">
        <v>26985</v>
      </c>
      <c r="C6780" s="3">
        <v>2.7999999999999997E-2</v>
      </c>
      <c r="D6780" s="4" t="s">
        <v>657</v>
      </c>
      <c r="E6780" s="4" t="s">
        <v>168</v>
      </c>
    </row>
    <row r="6781" spans="1:5" ht="26" hidden="1" x14ac:dyDescent="0.15">
      <c r="A6781" s="1" t="s">
        <v>665</v>
      </c>
      <c r="B6781" s="2">
        <v>89406</v>
      </c>
      <c r="C6781" s="3">
        <v>9.3000000000000013E-2</v>
      </c>
      <c r="D6781" s="4" t="s">
        <v>657</v>
      </c>
      <c r="E6781" s="4" t="s">
        <v>168</v>
      </c>
    </row>
    <row r="6782" spans="1:5" ht="26" hidden="1" x14ac:dyDescent="0.15">
      <c r="A6782" s="1" t="s">
        <v>181</v>
      </c>
      <c r="B6782" s="2">
        <v>144876</v>
      </c>
      <c r="C6782" s="3">
        <v>0.15</v>
      </c>
      <c r="D6782" s="4" t="s">
        <v>657</v>
      </c>
      <c r="E6782" s="4" t="s">
        <v>168</v>
      </c>
    </row>
    <row r="6783" spans="1:5" hidden="1" x14ac:dyDescent="0.15">
      <c r="A6783" s="4"/>
      <c r="B6783" s="4"/>
      <c r="C6783" s="4"/>
      <c r="D6783" s="4" t="s">
        <v>657</v>
      </c>
      <c r="E6783" s="4" t="s">
        <v>168</v>
      </c>
    </row>
    <row r="6784" spans="1:5" hidden="1" x14ac:dyDescent="0.15">
      <c r="A6784" s="5"/>
      <c r="B6784" s="5"/>
      <c r="C6784" s="5"/>
      <c r="D6784" s="4" t="s">
        <v>657</v>
      </c>
      <c r="E6784" s="4" t="s">
        <v>168</v>
      </c>
    </row>
    <row r="6785" spans="1:5" hidden="1" x14ac:dyDescent="0.15">
      <c r="A6785" s="1" t="s">
        <v>478</v>
      </c>
      <c r="B6785" s="2">
        <v>455304</v>
      </c>
      <c r="C6785" s="3">
        <v>0.47299999999999998</v>
      </c>
      <c r="D6785" s="4" t="s">
        <v>657</v>
      </c>
      <c r="E6785" s="4" t="s">
        <v>168</v>
      </c>
    </row>
    <row r="6786" spans="1:5" ht="26" hidden="1" x14ac:dyDescent="0.15">
      <c r="A6786" s="1" t="s">
        <v>169</v>
      </c>
      <c r="B6786" s="2">
        <v>66167</v>
      </c>
      <c r="C6786" s="3">
        <v>6.9000000000000006E-2</v>
      </c>
      <c r="D6786" s="4" t="s">
        <v>657</v>
      </c>
      <c r="E6786" s="4" t="s">
        <v>168</v>
      </c>
    </row>
    <row r="6787" spans="1:5" hidden="1" x14ac:dyDescent="0.15">
      <c r="A6787" s="4"/>
      <c r="B6787" s="4"/>
      <c r="C6787" s="4"/>
      <c r="D6787" s="4" t="s">
        <v>657</v>
      </c>
      <c r="E6787" s="4" t="s">
        <v>168</v>
      </c>
    </row>
    <row r="6788" spans="1:5" hidden="1" x14ac:dyDescent="0.15">
      <c r="A6788" s="5"/>
      <c r="B6788" s="5"/>
      <c r="C6788" s="5"/>
      <c r="D6788" s="4" t="s">
        <v>657</v>
      </c>
      <c r="E6788" s="4" t="s">
        <v>168</v>
      </c>
    </row>
    <row r="6789" spans="1:5" ht="26" hidden="1" x14ac:dyDescent="0.15">
      <c r="A6789" s="1" t="s">
        <v>666</v>
      </c>
      <c r="B6789" s="2">
        <v>77289</v>
      </c>
      <c r="C6789" s="3">
        <v>0.08</v>
      </c>
      <c r="D6789" s="4" t="s">
        <v>657</v>
      </c>
      <c r="E6789" s="4" t="s">
        <v>168</v>
      </c>
    </row>
    <row r="6790" spans="1:5" hidden="1" x14ac:dyDescent="0.15">
      <c r="A6790" s="4"/>
      <c r="B6790" s="4"/>
      <c r="C6790" s="4"/>
      <c r="D6790" s="4" t="s">
        <v>657</v>
      </c>
      <c r="E6790" s="4" t="s">
        <v>168</v>
      </c>
    </row>
    <row r="6791" spans="1:5" hidden="1" x14ac:dyDescent="0.15">
      <c r="A6791" s="5"/>
      <c r="B6791" s="5"/>
      <c r="C6791" s="5"/>
      <c r="D6791" s="4" t="s">
        <v>657</v>
      </c>
      <c r="E6791" s="4" t="s">
        <v>168</v>
      </c>
    </row>
    <row r="6792" spans="1:5" ht="26" hidden="1" x14ac:dyDescent="0.15">
      <c r="A6792" s="1" t="s">
        <v>480</v>
      </c>
      <c r="B6792" s="2">
        <v>453014</v>
      </c>
      <c r="C6792" s="3">
        <v>0.47</v>
      </c>
      <c r="D6792" s="4" t="s">
        <v>657</v>
      </c>
      <c r="E6792" s="4" t="s">
        <v>168</v>
      </c>
    </row>
    <row r="6793" spans="1:5" ht="26" hidden="1" x14ac:dyDescent="0.15">
      <c r="A6793" s="1" t="s">
        <v>172</v>
      </c>
      <c r="B6793" s="2">
        <v>277821</v>
      </c>
      <c r="C6793" s="3">
        <v>0.28899999999999998</v>
      </c>
      <c r="D6793" s="4" t="s">
        <v>657</v>
      </c>
      <c r="E6793" s="4" t="s">
        <v>168</v>
      </c>
    </row>
    <row r="6794" spans="1:5" hidden="1" x14ac:dyDescent="0.15">
      <c r="A6794" s="4"/>
      <c r="B6794" s="4"/>
      <c r="C6794" s="4"/>
      <c r="D6794" s="4" t="s">
        <v>657</v>
      </c>
      <c r="E6794" s="4" t="s">
        <v>168</v>
      </c>
    </row>
    <row r="6795" spans="1:5" hidden="1" x14ac:dyDescent="0.15">
      <c r="A6795" s="5"/>
      <c r="B6795" s="5"/>
      <c r="C6795" s="5"/>
      <c r="D6795" s="4" t="s">
        <v>657</v>
      </c>
      <c r="E6795" s="4" t="s">
        <v>168</v>
      </c>
    </row>
    <row r="6796" spans="1:5" ht="26" hidden="1" x14ac:dyDescent="0.15">
      <c r="A6796" s="1" t="s">
        <v>174</v>
      </c>
      <c r="B6796" s="2">
        <v>74609</v>
      </c>
      <c r="C6796" s="3">
        <v>7.6999999999999999E-2</v>
      </c>
      <c r="D6796" s="4" t="s">
        <v>657</v>
      </c>
      <c r="E6796" s="4" t="s">
        <v>168</v>
      </c>
    </row>
    <row r="6797" spans="1:5" hidden="1" x14ac:dyDescent="0.15">
      <c r="A6797" s="1" t="s">
        <v>0</v>
      </c>
      <c r="B6797" s="2">
        <v>5301261</v>
      </c>
      <c r="C6797" s="3">
        <v>1</v>
      </c>
      <c r="D6797" s="4" t="s">
        <v>667</v>
      </c>
      <c r="E6797" s="4" t="s">
        <v>272</v>
      </c>
    </row>
    <row r="6798" spans="1:5" ht="26" hidden="1" x14ac:dyDescent="0.15">
      <c r="A6798" s="1" t="s">
        <v>3</v>
      </c>
      <c r="B6798" s="2">
        <v>58268</v>
      </c>
      <c r="C6798" s="3">
        <v>1.1000000000000001E-2</v>
      </c>
      <c r="D6798" s="4" t="s">
        <v>667</v>
      </c>
      <c r="E6798" s="4" t="s">
        <v>272</v>
      </c>
    </row>
    <row r="6799" spans="1:5" hidden="1" x14ac:dyDescent="0.15">
      <c r="A6799" s="1" t="s">
        <v>4</v>
      </c>
      <c r="B6799" s="2">
        <v>120517</v>
      </c>
      <c r="C6799" s="3">
        <v>2.3E-2</v>
      </c>
      <c r="D6799" s="4" t="s">
        <v>667</v>
      </c>
      <c r="E6799" s="4" t="s">
        <v>272</v>
      </c>
    </row>
    <row r="6800" spans="1:5" ht="26" hidden="1" x14ac:dyDescent="0.15">
      <c r="A6800" s="1" t="s">
        <v>5</v>
      </c>
      <c r="B6800" s="2">
        <v>193417</v>
      </c>
      <c r="C6800" s="3">
        <v>3.6000000000000004E-2</v>
      </c>
      <c r="D6800" s="4" t="s">
        <v>667</v>
      </c>
      <c r="E6800" s="4" t="s">
        <v>272</v>
      </c>
    </row>
    <row r="6801" spans="1:5" ht="26" hidden="1" x14ac:dyDescent="0.15">
      <c r="A6801" s="1" t="s">
        <v>6</v>
      </c>
      <c r="B6801" s="2">
        <v>421655</v>
      </c>
      <c r="C6801" s="3">
        <v>0.08</v>
      </c>
      <c r="D6801" s="4" t="s">
        <v>667</v>
      </c>
      <c r="E6801" s="4" t="s">
        <v>272</v>
      </c>
    </row>
    <row r="6802" spans="1:5" ht="26" hidden="1" x14ac:dyDescent="0.15">
      <c r="A6802" s="1" t="s">
        <v>7</v>
      </c>
      <c r="B6802" s="2">
        <v>1082147</v>
      </c>
      <c r="C6802" s="3">
        <v>0.20399999999999999</v>
      </c>
      <c r="D6802" s="4" t="s">
        <v>667</v>
      </c>
      <c r="E6802" s="4" t="s">
        <v>272</v>
      </c>
    </row>
    <row r="6803" spans="1:5" ht="26" hidden="1" x14ac:dyDescent="0.15">
      <c r="A6803" s="1" t="s">
        <v>8</v>
      </c>
      <c r="B6803" s="2">
        <v>23759</v>
      </c>
      <c r="C6803" s="3">
        <v>4.0000000000000001E-3</v>
      </c>
      <c r="D6803" s="4" t="s">
        <v>667</v>
      </c>
      <c r="E6803" s="4" t="s">
        <v>272</v>
      </c>
    </row>
    <row r="6804" spans="1:5" ht="26" hidden="1" x14ac:dyDescent="0.15">
      <c r="A6804" s="1" t="s">
        <v>9</v>
      </c>
      <c r="B6804" s="2">
        <v>219005</v>
      </c>
      <c r="C6804" s="3">
        <v>4.0999999999999995E-2</v>
      </c>
      <c r="D6804" s="4" t="s">
        <v>667</v>
      </c>
      <c r="E6804" s="4" t="s">
        <v>272</v>
      </c>
    </row>
    <row r="6805" spans="1:5" ht="26" hidden="1" x14ac:dyDescent="0.15">
      <c r="A6805" s="1" t="s">
        <v>10</v>
      </c>
      <c r="B6805" s="2">
        <v>149122</v>
      </c>
      <c r="C6805" s="3">
        <v>2.7999999999999997E-2</v>
      </c>
      <c r="D6805" s="4" t="s">
        <v>667</v>
      </c>
      <c r="E6805" s="4" t="s">
        <v>272</v>
      </c>
    </row>
    <row r="6806" spans="1:5" ht="26" hidden="1" x14ac:dyDescent="0.15">
      <c r="A6806" s="1" t="s">
        <v>11</v>
      </c>
      <c r="B6806" s="2">
        <v>242241</v>
      </c>
      <c r="C6806" s="3">
        <v>4.5999999999999999E-2</v>
      </c>
      <c r="D6806" s="4" t="s">
        <v>667</v>
      </c>
      <c r="E6806" s="4" t="s">
        <v>272</v>
      </c>
    </row>
    <row r="6807" spans="1:5" ht="26" hidden="1" x14ac:dyDescent="0.15">
      <c r="A6807" s="1" t="s">
        <v>12</v>
      </c>
      <c r="B6807" s="2">
        <v>68429</v>
      </c>
      <c r="C6807" s="3">
        <v>1.3000000000000001E-2</v>
      </c>
      <c r="D6807" s="4" t="s">
        <v>667</v>
      </c>
      <c r="E6807" s="4" t="s">
        <v>272</v>
      </c>
    </row>
    <row r="6808" spans="1:5" ht="26" hidden="1" x14ac:dyDescent="0.15">
      <c r="A6808" s="1" t="s">
        <v>13</v>
      </c>
      <c r="B6808" s="2">
        <v>47896</v>
      </c>
      <c r="C6808" s="3">
        <v>9.0000000000000011E-3</v>
      </c>
      <c r="D6808" s="4" t="s">
        <v>667</v>
      </c>
      <c r="E6808" s="4" t="s">
        <v>272</v>
      </c>
    </row>
    <row r="6809" spans="1:5" hidden="1" x14ac:dyDescent="0.15">
      <c r="A6809" s="1" t="s">
        <v>14</v>
      </c>
      <c r="B6809" s="2">
        <v>428326</v>
      </c>
      <c r="C6809" s="3">
        <v>8.1000000000000003E-2</v>
      </c>
      <c r="D6809" s="4" t="s">
        <v>667</v>
      </c>
      <c r="E6809" s="4" t="s">
        <v>272</v>
      </c>
    </row>
    <row r="6810" spans="1:5" ht="26" hidden="1" x14ac:dyDescent="0.15">
      <c r="A6810" s="1" t="s">
        <v>15</v>
      </c>
      <c r="B6810" s="2">
        <v>300749</v>
      </c>
      <c r="C6810" s="3">
        <v>5.7000000000000002E-2</v>
      </c>
      <c r="D6810" s="4" t="s">
        <v>667</v>
      </c>
      <c r="E6810" s="4" t="s">
        <v>272</v>
      </c>
    </row>
    <row r="6811" spans="1:5" ht="26" hidden="1" x14ac:dyDescent="0.15">
      <c r="A6811" s="1" t="s">
        <v>16</v>
      </c>
      <c r="B6811" s="2">
        <v>188978</v>
      </c>
      <c r="C6811" s="3">
        <v>3.6000000000000004E-2</v>
      </c>
      <c r="D6811" s="4" t="s">
        <v>667</v>
      </c>
      <c r="E6811" s="4" t="s">
        <v>272</v>
      </c>
    </row>
    <row r="6812" spans="1:5" ht="26" hidden="1" x14ac:dyDescent="0.15">
      <c r="A6812" s="1" t="s">
        <v>17</v>
      </c>
      <c r="B6812" s="2">
        <v>88946</v>
      </c>
      <c r="C6812" s="3">
        <v>1.7000000000000001E-2</v>
      </c>
      <c r="D6812" s="4" t="s">
        <v>667</v>
      </c>
      <c r="E6812" s="4" t="s">
        <v>272</v>
      </c>
    </row>
    <row r="6813" spans="1:5" hidden="1" x14ac:dyDescent="0.15">
      <c r="A6813" s="1" t="s">
        <v>18</v>
      </c>
      <c r="B6813" s="2">
        <v>48722</v>
      </c>
      <c r="C6813" s="3">
        <v>9.0000000000000011E-3</v>
      </c>
      <c r="D6813" s="4" t="s">
        <v>667</v>
      </c>
      <c r="E6813" s="4" t="s">
        <v>272</v>
      </c>
    </row>
    <row r="6814" spans="1:5" hidden="1" x14ac:dyDescent="0.15">
      <c r="A6814" s="1" t="s">
        <v>19</v>
      </c>
      <c r="B6814" s="2">
        <v>953831</v>
      </c>
      <c r="C6814" s="3">
        <v>0.18</v>
      </c>
      <c r="D6814" s="4" t="s">
        <v>667</v>
      </c>
      <c r="E6814" s="4" t="s">
        <v>272</v>
      </c>
    </row>
    <row r="6815" spans="1:5" hidden="1" x14ac:dyDescent="0.15">
      <c r="A6815" s="1" t="s">
        <v>20</v>
      </c>
      <c r="B6815" s="2">
        <v>209760</v>
      </c>
      <c r="C6815" s="3">
        <v>0.04</v>
      </c>
      <c r="D6815" s="4" t="s">
        <v>667</v>
      </c>
      <c r="E6815" s="4" t="s">
        <v>272</v>
      </c>
    </row>
    <row r="6816" spans="1:5" ht="26" hidden="1" x14ac:dyDescent="0.15">
      <c r="A6816" s="1" t="s">
        <v>21</v>
      </c>
      <c r="B6816" s="2">
        <v>139051</v>
      </c>
      <c r="C6816" s="3">
        <v>2.6000000000000002E-2</v>
      </c>
      <c r="D6816" s="4" t="s">
        <v>667</v>
      </c>
      <c r="E6816" s="4" t="s">
        <v>272</v>
      </c>
    </row>
    <row r="6817" spans="1:5" ht="26" hidden="1" x14ac:dyDescent="0.15">
      <c r="A6817" s="1" t="s">
        <v>22</v>
      </c>
      <c r="B6817" s="2">
        <v>296490</v>
      </c>
      <c r="C6817" s="3">
        <v>5.5999999999999994E-2</v>
      </c>
      <c r="D6817" s="4" t="s">
        <v>667</v>
      </c>
      <c r="E6817" s="4" t="s">
        <v>272</v>
      </c>
    </row>
    <row r="6818" spans="1:5" ht="26" hidden="1" x14ac:dyDescent="0.15">
      <c r="A6818" s="1" t="s">
        <v>23</v>
      </c>
      <c r="B6818" s="2">
        <v>133074</v>
      </c>
      <c r="C6818" s="3">
        <v>2.5000000000000001E-2</v>
      </c>
      <c r="D6818" s="4" t="s">
        <v>667</v>
      </c>
      <c r="E6818" s="4" t="s">
        <v>272</v>
      </c>
    </row>
    <row r="6819" spans="1:5" ht="26" hidden="1" x14ac:dyDescent="0.15">
      <c r="A6819" s="1" t="s">
        <v>24</v>
      </c>
      <c r="B6819" s="2">
        <v>42984</v>
      </c>
      <c r="C6819" s="3">
        <v>8.0000000000000002E-3</v>
      </c>
      <c r="D6819" s="4" t="s">
        <v>667</v>
      </c>
      <c r="E6819" s="4" t="s">
        <v>272</v>
      </c>
    </row>
    <row r="6820" spans="1:5" ht="26" hidden="1" x14ac:dyDescent="0.15">
      <c r="A6820" s="1" t="s">
        <v>25</v>
      </c>
      <c r="B6820" s="2">
        <v>100107</v>
      </c>
      <c r="C6820" s="3">
        <v>1.9E-2</v>
      </c>
      <c r="D6820" s="4" t="s">
        <v>667</v>
      </c>
      <c r="E6820" s="4" t="s">
        <v>272</v>
      </c>
    </row>
    <row r="6821" spans="1:5" hidden="1" x14ac:dyDescent="0.15">
      <c r="A6821" s="1" t="s">
        <v>26</v>
      </c>
      <c r="B6821" s="2">
        <v>46146</v>
      </c>
      <c r="C6821" s="3">
        <v>9.0000000000000011E-3</v>
      </c>
      <c r="D6821" s="4" t="s">
        <v>667</v>
      </c>
      <c r="E6821" s="4" t="s">
        <v>272</v>
      </c>
    </row>
    <row r="6822" spans="1:5" hidden="1" x14ac:dyDescent="0.15">
      <c r="A6822" s="1" t="s">
        <v>27</v>
      </c>
      <c r="B6822" s="2">
        <v>406856</v>
      </c>
      <c r="C6822" s="3">
        <v>7.6999999999999999E-2</v>
      </c>
      <c r="D6822" s="4" t="s">
        <v>667</v>
      </c>
      <c r="E6822" s="4" t="s">
        <v>272</v>
      </c>
    </row>
    <row r="6823" spans="1:5" hidden="1" x14ac:dyDescent="0.15">
      <c r="A6823" s="1" t="s">
        <v>28</v>
      </c>
      <c r="B6823" s="2">
        <v>736528</v>
      </c>
      <c r="C6823" s="3">
        <v>0.13900000000000001</v>
      </c>
      <c r="D6823" s="4" t="s">
        <v>667</v>
      </c>
      <c r="E6823" s="4" t="s">
        <v>272</v>
      </c>
    </row>
    <row r="6824" spans="1:5" hidden="1" x14ac:dyDescent="0.15">
      <c r="A6824" s="1" t="s">
        <v>29</v>
      </c>
      <c r="B6824" s="2">
        <v>1690604</v>
      </c>
      <c r="C6824" s="3">
        <v>0.31900000000000001</v>
      </c>
      <c r="D6824" s="4" t="s">
        <v>667</v>
      </c>
      <c r="E6824" s="4" t="s">
        <v>272</v>
      </c>
    </row>
    <row r="6825" spans="1:5" hidden="1" x14ac:dyDescent="0.15">
      <c r="A6825" s="1" t="s">
        <v>30</v>
      </c>
      <c r="B6825" s="2">
        <v>204426</v>
      </c>
      <c r="C6825" s="3">
        <v>3.9E-2</v>
      </c>
      <c r="D6825" s="4" t="s">
        <v>667</v>
      </c>
      <c r="E6825" s="4" t="s">
        <v>272</v>
      </c>
    </row>
    <row r="6826" spans="1:5" ht="39" hidden="1" x14ac:dyDescent="0.15">
      <c r="A6826" s="1" t="s">
        <v>31</v>
      </c>
      <c r="B6826" s="2">
        <v>106375</v>
      </c>
      <c r="C6826" s="3">
        <v>0.02</v>
      </c>
      <c r="D6826" s="4" t="s">
        <v>667</v>
      </c>
      <c r="E6826" s="4" t="s">
        <v>272</v>
      </c>
    </row>
    <row r="6827" spans="1:5" hidden="1" x14ac:dyDescent="0.15">
      <c r="A6827" s="1" t="s">
        <v>32</v>
      </c>
      <c r="B6827" s="2">
        <v>136668</v>
      </c>
      <c r="C6827" s="3">
        <v>2.6000000000000002E-2</v>
      </c>
      <c r="D6827" s="4" t="s">
        <v>667</v>
      </c>
      <c r="E6827" s="4" t="s">
        <v>272</v>
      </c>
    </row>
    <row r="6828" spans="1:5" hidden="1" x14ac:dyDescent="0.15">
      <c r="A6828" s="1" t="s">
        <v>33</v>
      </c>
      <c r="B6828" s="2">
        <v>1385519</v>
      </c>
      <c r="C6828" s="3">
        <v>0.26100000000000001</v>
      </c>
      <c r="D6828" s="4" t="s">
        <v>667</v>
      </c>
      <c r="E6828" s="4" t="s">
        <v>272</v>
      </c>
    </row>
    <row r="6829" spans="1:5" hidden="1" x14ac:dyDescent="0.15">
      <c r="A6829" s="1" t="s">
        <v>34</v>
      </c>
      <c r="B6829" s="2">
        <v>301794</v>
      </c>
      <c r="C6829" s="3">
        <v>5.7000000000000002E-2</v>
      </c>
      <c r="D6829" s="4" t="s">
        <v>667</v>
      </c>
      <c r="E6829" s="4" t="s">
        <v>272</v>
      </c>
    </row>
    <row r="6830" spans="1:5" hidden="1" x14ac:dyDescent="0.15">
      <c r="A6830" s="1" t="s">
        <v>35</v>
      </c>
      <c r="B6830" s="2">
        <v>360855</v>
      </c>
      <c r="C6830" s="3">
        <v>6.8000000000000005E-2</v>
      </c>
      <c r="D6830" s="4" t="s">
        <v>667</v>
      </c>
      <c r="E6830" s="4" t="s">
        <v>272</v>
      </c>
    </row>
    <row r="6831" spans="1:5" ht="26" hidden="1" x14ac:dyDescent="0.15">
      <c r="A6831" s="1" t="s">
        <v>36</v>
      </c>
      <c r="B6831" s="2">
        <v>196365</v>
      </c>
      <c r="C6831" s="3">
        <v>3.7000000000000005E-2</v>
      </c>
      <c r="D6831" s="4" t="s">
        <v>667</v>
      </c>
      <c r="E6831" s="4" t="s">
        <v>272</v>
      </c>
    </row>
    <row r="6832" spans="1:5" hidden="1" x14ac:dyDescent="0.15">
      <c r="A6832" s="1" t="s">
        <v>37</v>
      </c>
      <c r="B6832" s="2">
        <v>191706</v>
      </c>
      <c r="C6832" s="3">
        <v>3.6000000000000004E-2</v>
      </c>
      <c r="D6832" s="4" t="s">
        <v>667</v>
      </c>
      <c r="E6832" s="4" t="s">
        <v>272</v>
      </c>
    </row>
    <row r="6833" spans="1:5" ht="39" hidden="1" x14ac:dyDescent="0.15">
      <c r="A6833" s="1" t="s">
        <v>38</v>
      </c>
      <c r="B6833" s="2">
        <v>128383</v>
      </c>
      <c r="C6833" s="3">
        <v>2.4E-2</v>
      </c>
      <c r="D6833" s="4" t="s">
        <v>667</v>
      </c>
      <c r="E6833" s="4" t="s">
        <v>272</v>
      </c>
    </row>
    <row r="6834" spans="1:5" hidden="1" x14ac:dyDescent="0.15">
      <c r="A6834" s="1" t="s">
        <v>39</v>
      </c>
      <c r="B6834" s="2">
        <v>271866</v>
      </c>
      <c r="C6834" s="3">
        <v>5.0999999999999997E-2</v>
      </c>
      <c r="D6834" s="4" t="s">
        <v>667</v>
      </c>
      <c r="E6834" s="4" t="s">
        <v>272</v>
      </c>
    </row>
    <row r="6835" spans="1:5" hidden="1" x14ac:dyDescent="0.15">
      <c r="A6835" s="1" t="s">
        <v>40</v>
      </c>
      <c r="B6835" s="2">
        <v>66856</v>
      </c>
      <c r="C6835" s="3">
        <v>1.3000000000000001E-2</v>
      </c>
      <c r="D6835" s="4" t="s">
        <v>667</v>
      </c>
      <c r="E6835" s="4" t="s">
        <v>272</v>
      </c>
    </row>
    <row r="6836" spans="1:5" hidden="1" x14ac:dyDescent="0.15">
      <c r="A6836" s="1" t="s">
        <v>41</v>
      </c>
      <c r="B6836" s="2">
        <v>140520</v>
      </c>
      <c r="C6836" s="3">
        <v>2.7000000000000003E-2</v>
      </c>
      <c r="D6836" s="4" t="s">
        <v>667</v>
      </c>
      <c r="E6836" s="4" t="s">
        <v>272</v>
      </c>
    </row>
    <row r="6837" spans="1:5" hidden="1" x14ac:dyDescent="0.15">
      <c r="A6837" s="1" t="s">
        <v>42</v>
      </c>
      <c r="B6837" s="2">
        <v>135709</v>
      </c>
      <c r="C6837" s="3">
        <v>2.6000000000000002E-2</v>
      </c>
      <c r="D6837" s="4" t="s">
        <v>667</v>
      </c>
      <c r="E6837" s="4" t="s">
        <v>272</v>
      </c>
    </row>
    <row r="6838" spans="1:5" hidden="1" x14ac:dyDescent="0.15">
      <c r="A6838" s="1" t="s">
        <v>43</v>
      </c>
      <c r="B6838" s="2">
        <v>466585</v>
      </c>
      <c r="C6838" s="3">
        <v>8.8000000000000009E-2</v>
      </c>
      <c r="D6838" s="4" t="s">
        <v>667</v>
      </c>
      <c r="E6838" s="4" t="s">
        <v>272</v>
      </c>
    </row>
    <row r="6839" spans="1:5" ht="26" hidden="1" x14ac:dyDescent="0.15">
      <c r="A6839" s="1" t="s">
        <v>44</v>
      </c>
      <c r="B6839" s="2">
        <v>678122</v>
      </c>
      <c r="C6839" s="3">
        <v>0.128</v>
      </c>
      <c r="D6839" s="4" t="s">
        <v>667</v>
      </c>
      <c r="E6839" s="4" t="s">
        <v>272</v>
      </c>
    </row>
    <row r="6840" spans="1:5" hidden="1" x14ac:dyDescent="0.15">
      <c r="A6840" s="1" t="s">
        <v>45</v>
      </c>
      <c r="B6840" s="2">
        <v>1100120</v>
      </c>
      <c r="C6840" s="3">
        <v>0.20800000000000002</v>
      </c>
      <c r="D6840" s="4" t="s">
        <v>667</v>
      </c>
      <c r="E6840" s="4" t="s">
        <v>272</v>
      </c>
    </row>
    <row r="6841" spans="1:5" ht="26" hidden="1" x14ac:dyDescent="0.15">
      <c r="A6841" s="1" t="s">
        <v>46</v>
      </c>
      <c r="B6841" s="2">
        <v>1617545</v>
      </c>
      <c r="C6841" s="3">
        <v>0.30499999999999999</v>
      </c>
      <c r="D6841" s="4" t="s">
        <v>667</v>
      </c>
      <c r="E6841" s="4" t="s">
        <v>272</v>
      </c>
    </row>
    <row r="6842" spans="1:5" hidden="1" x14ac:dyDescent="0.15">
      <c r="A6842" s="1" t="s">
        <v>47</v>
      </c>
      <c r="B6842" s="2">
        <v>2466829</v>
      </c>
      <c r="C6842" s="3">
        <v>0.46500000000000002</v>
      </c>
      <c r="D6842" s="4" t="s">
        <v>667</v>
      </c>
      <c r="E6842" s="4" t="s">
        <v>272</v>
      </c>
    </row>
    <row r="6843" spans="1:5" hidden="1" x14ac:dyDescent="0.15">
      <c r="A6843" s="1" t="s">
        <v>48</v>
      </c>
      <c r="B6843" s="2">
        <v>320208</v>
      </c>
      <c r="C6843" s="3">
        <v>0.06</v>
      </c>
      <c r="D6843" s="4" t="s">
        <v>667</v>
      </c>
      <c r="E6843" s="4" t="s">
        <v>272</v>
      </c>
    </row>
    <row r="6844" spans="1:5" hidden="1" x14ac:dyDescent="0.15">
      <c r="A6844" s="1" t="s">
        <v>49</v>
      </c>
      <c r="B6844" s="2">
        <v>864947</v>
      </c>
      <c r="C6844" s="3">
        <v>0.16300000000000001</v>
      </c>
      <c r="D6844" s="4" t="s">
        <v>667</v>
      </c>
      <c r="E6844" s="4" t="s">
        <v>272</v>
      </c>
    </row>
    <row r="6845" spans="1:5" ht="26" hidden="1" x14ac:dyDescent="0.15">
      <c r="A6845" s="1" t="s">
        <v>50</v>
      </c>
      <c r="B6845" s="2">
        <v>945396</v>
      </c>
      <c r="C6845" s="3">
        <v>0.17800000000000002</v>
      </c>
      <c r="D6845" s="4" t="s">
        <v>667</v>
      </c>
      <c r="E6845" s="4" t="s">
        <v>272</v>
      </c>
    </row>
    <row r="6846" spans="1:5" hidden="1" x14ac:dyDescent="0.15">
      <c r="A6846" s="1" t="s">
        <v>51</v>
      </c>
      <c r="B6846" s="2">
        <v>1549932</v>
      </c>
      <c r="C6846" s="3">
        <v>0.29199999999999998</v>
      </c>
      <c r="D6846" s="4" t="s">
        <v>667</v>
      </c>
      <c r="E6846" s="4" t="s">
        <v>272</v>
      </c>
    </row>
    <row r="6847" spans="1:5" hidden="1" x14ac:dyDescent="0.15">
      <c r="A6847" s="1" t="s">
        <v>52</v>
      </c>
      <c r="B6847" s="2">
        <v>693034</v>
      </c>
      <c r="C6847" s="3">
        <v>0.13100000000000001</v>
      </c>
      <c r="D6847" s="4" t="s">
        <v>667</v>
      </c>
      <c r="E6847" s="4" t="s">
        <v>272</v>
      </c>
    </row>
    <row r="6848" spans="1:5" ht="26" hidden="1" x14ac:dyDescent="0.15">
      <c r="A6848" s="1" t="s">
        <v>53</v>
      </c>
      <c r="B6848" s="2">
        <v>458683</v>
      </c>
      <c r="C6848" s="3">
        <v>8.6999999999999994E-2</v>
      </c>
      <c r="D6848" s="4" t="s">
        <v>667</v>
      </c>
      <c r="E6848" s="4" t="s">
        <v>272</v>
      </c>
    </row>
    <row r="6849" spans="1:5" hidden="1" x14ac:dyDescent="0.15">
      <c r="A6849" s="1" t="s">
        <v>54</v>
      </c>
      <c r="B6849" s="2">
        <v>2037879</v>
      </c>
      <c r="C6849" s="3">
        <v>0.38400000000000001</v>
      </c>
      <c r="D6849" s="4" t="s">
        <v>667</v>
      </c>
      <c r="E6849" s="4" t="s">
        <v>272</v>
      </c>
    </row>
    <row r="6850" spans="1:5" ht="26" hidden="1" x14ac:dyDescent="0.15">
      <c r="A6850" s="1" t="s">
        <v>55</v>
      </c>
      <c r="B6850" s="2">
        <v>1524018</v>
      </c>
      <c r="C6850" s="3">
        <v>0.28699999999999998</v>
      </c>
      <c r="D6850" s="4" t="s">
        <v>667</v>
      </c>
      <c r="E6850" s="4" t="s">
        <v>272</v>
      </c>
    </row>
    <row r="6851" spans="1:5" hidden="1" x14ac:dyDescent="0.15">
      <c r="A6851" s="1" t="s">
        <v>56</v>
      </c>
      <c r="B6851" s="2">
        <v>1444948</v>
      </c>
      <c r="C6851" s="3">
        <v>0.27300000000000002</v>
      </c>
      <c r="D6851" s="4" t="s">
        <v>667</v>
      </c>
      <c r="E6851" s="4" t="s">
        <v>272</v>
      </c>
    </row>
    <row r="6852" spans="1:5" hidden="1" x14ac:dyDescent="0.15">
      <c r="A6852" s="1" t="s">
        <v>57</v>
      </c>
      <c r="B6852" s="2">
        <v>782582</v>
      </c>
      <c r="C6852" s="3">
        <v>0.14800000000000002</v>
      </c>
      <c r="D6852" s="4" t="s">
        <v>667</v>
      </c>
      <c r="E6852" s="4" t="s">
        <v>272</v>
      </c>
    </row>
    <row r="6853" spans="1:5" hidden="1" x14ac:dyDescent="0.15">
      <c r="A6853" s="1" t="s">
        <v>58</v>
      </c>
      <c r="B6853" s="2">
        <v>506571</v>
      </c>
      <c r="C6853" s="3">
        <v>9.6000000000000002E-2</v>
      </c>
      <c r="D6853" s="4" t="s">
        <v>667</v>
      </c>
      <c r="E6853" s="4" t="s">
        <v>272</v>
      </c>
    </row>
    <row r="6854" spans="1:5" hidden="1" x14ac:dyDescent="0.15">
      <c r="A6854" s="1" t="s">
        <v>59</v>
      </c>
      <c r="B6854" s="2">
        <v>2956308</v>
      </c>
      <c r="C6854" s="3">
        <v>0.55799999999999994</v>
      </c>
      <c r="D6854" s="4" t="s">
        <v>667</v>
      </c>
      <c r="E6854" s="4" t="s">
        <v>272</v>
      </c>
    </row>
    <row r="6855" spans="1:5" hidden="1" x14ac:dyDescent="0.15">
      <c r="A6855" s="1" t="s">
        <v>60</v>
      </c>
      <c r="B6855" s="2">
        <v>1019086</v>
      </c>
      <c r="C6855" s="3">
        <v>0.192</v>
      </c>
      <c r="D6855" s="4" t="s">
        <v>667</v>
      </c>
      <c r="E6855" s="4" t="s">
        <v>272</v>
      </c>
    </row>
    <row r="6856" spans="1:5" ht="26" hidden="1" x14ac:dyDescent="0.15">
      <c r="A6856" s="1" t="s">
        <v>61</v>
      </c>
      <c r="B6856" s="2">
        <v>872091</v>
      </c>
      <c r="C6856" s="3">
        <v>0.16500000000000001</v>
      </c>
      <c r="D6856" s="4" t="s">
        <v>667</v>
      </c>
      <c r="E6856" s="4" t="s">
        <v>272</v>
      </c>
    </row>
    <row r="6857" spans="1:5" hidden="1" x14ac:dyDescent="0.15">
      <c r="A6857" s="1" t="s">
        <v>62</v>
      </c>
      <c r="B6857" s="2">
        <v>868197</v>
      </c>
      <c r="C6857" s="3">
        <v>0.16399999999999998</v>
      </c>
      <c r="D6857" s="4" t="s">
        <v>667</v>
      </c>
      <c r="E6857" s="4" t="s">
        <v>272</v>
      </c>
    </row>
    <row r="6858" spans="1:5" ht="26" hidden="1" x14ac:dyDescent="0.15">
      <c r="A6858" s="1" t="s">
        <v>63</v>
      </c>
      <c r="B6858" s="2">
        <v>780795</v>
      </c>
      <c r="C6858" s="3">
        <v>0.14699999999999999</v>
      </c>
      <c r="D6858" s="4" t="s">
        <v>667</v>
      </c>
      <c r="E6858" s="4" t="s">
        <v>272</v>
      </c>
    </row>
    <row r="6859" spans="1:5" ht="26" hidden="1" x14ac:dyDescent="0.15">
      <c r="A6859" s="1" t="s">
        <v>64</v>
      </c>
      <c r="B6859" s="2">
        <v>285452</v>
      </c>
      <c r="C6859" s="3">
        <v>5.4000000000000006E-2</v>
      </c>
      <c r="D6859" s="4" t="s">
        <v>667</v>
      </c>
      <c r="E6859" s="4" t="s">
        <v>272</v>
      </c>
    </row>
    <row r="6860" spans="1:5" hidden="1" x14ac:dyDescent="0.15">
      <c r="A6860" s="1" t="s">
        <v>65</v>
      </c>
      <c r="B6860" s="2">
        <v>757851</v>
      </c>
      <c r="C6860" s="3">
        <v>0.14300000000000002</v>
      </c>
      <c r="D6860" s="4" t="s">
        <v>667</v>
      </c>
      <c r="E6860" s="4" t="s">
        <v>272</v>
      </c>
    </row>
    <row r="6861" spans="1:5" hidden="1" x14ac:dyDescent="0.15">
      <c r="A6861" s="1" t="s">
        <v>66</v>
      </c>
      <c r="B6861" s="2">
        <v>474062</v>
      </c>
      <c r="C6861" s="3">
        <v>8.900000000000001E-2</v>
      </c>
      <c r="D6861" s="4" t="s">
        <v>667</v>
      </c>
      <c r="E6861" s="4" t="s">
        <v>272</v>
      </c>
    </row>
    <row r="6862" spans="1:5" hidden="1" x14ac:dyDescent="0.15">
      <c r="A6862" s="1" t="s">
        <v>67</v>
      </c>
      <c r="B6862" s="2">
        <v>1278196</v>
      </c>
      <c r="C6862" s="3">
        <v>0.24100000000000002</v>
      </c>
      <c r="D6862" s="4" t="s">
        <v>667</v>
      </c>
      <c r="E6862" s="4" t="s">
        <v>272</v>
      </c>
    </row>
    <row r="6863" spans="1:5" hidden="1" x14ac:dyDescent="0.15">
      <c r="A6863" s="1" t="s">
        <v>68</v>
      </c>
      <c r="B6863" s="2">
        <v>2417473</v>
      </c>
      <c r="C6863" s="3">
        <v>0.45600000000000002</v>
      </c>
      <c r="D6863" s="4" t="s">
        <v>667</v>
      </c>
      <c r="E6863" s="4" t="s">
        <v>272</v>
      </c>
    </row>
    <row r="6864" spans="1:5" hidden="1" x14ac:dyDescent="0.15">
      <c r="A6864" s="1" t="s">
        <v>69</v>
      </c>
      <c r="B6864" s="2">
        <v>3592339</v>
      </c>
      <c r="C6864" s="3">
        <v>0.67799999999999994</v>
      </c>
      <c r="D6864" s="4" t="s">
        <v>667</v>
      </c>
      <c r="E6864" s="4" t="s">
        <v>272</v>
      </c>
    </row>
    <row r="6865" spans="1:5" hidden="1" x14ac:dyDescent="0.15">
      <c r="A6865" s="1" t="s">
        <v>70</v>
      </c>
      <c r="B6865" s="2">
        <v>1306538</v>
      </c>
      <c r="C6865" s="3">
        <v>0.24600000000000002</v>
      </c>
      <c r="D6865" s="4" t="s">
        <v>667</v>
      </c>
      <c r="E6865" s="4" t="s">
        <v>272</v>
      </c>
    </row>
    <row r="6866" spans="1:5" ht="26" hidden="1" x14ac:dyDescent="0.15">
      <c r="A6866" s="1" t="s">
        <v>71</v>
      </c>
      <c r="B6866" s="2">
        <v>358433</v>
      </c>
      <c r="C6866" s="3">
        <v>6.8000000000000005E-2</v>
      </c>
      <c r="D6866" s="4" t="s">
        <v>667</v>
      </c>
      <c r="E6866" s="4" t="s">
        <v>272</v>
      </c>
    </row>
    <row r="6867" spans="1:5" hidden="1" x14ac:dyDescent="0.15">
      <c r="A6867" s="1" t="s">
        <v>72</v>
      </c>
      <c r="B6867" s="2">
        <v>720954</v>
      </c>
      <c r="C6867" s="3">
        <v>0.13600000000000001</v>
      </c>
      <c r="D6867" s="4" t="s">
        <v>667</v>
      </c>
      <c r="E6867" s="4" t="s">
        <v>272</v>
      </c>
    </row>
    <row r="6868" spans="1:5" hidden="1" x14ac:dyDescent="0.15">
      <c r="A6868" s="1" t="s">
        <v>73</v>
      </c>
      <c r="B6868" s="2">
        <v>3212276</v>
      </c>
      <c r="C6868" s="3">
        <v>0.60599999999999998</v>
      </c>
      <c r="D6868" s="4" t="s">
        <v>667</v>
      </c>
      <c r="E6868" s="4" t="s">
        <v>272</v>
      </c>
    </row>
    <row r="6869" spans="1:5" hidden="1" x14ac:dyDescent="0.15">
      <c r="A6869" s="1" t="s">
        <v>74</v>
      </c>
      <c r="B6869" s="2">
        <v>1300620</v>
      </c>
      <c r="C6869" s="3">
        <v>0.245</v>
      </c>
      <c r="D6869" s="4" t="s">
        <v>667</v>
      </c>
      <c r="E6869" s="4" t="s">
        <v>272</v>
      </c>
    </row>
    <row r="6870" spans="1:5" hidden="1" x14ac:dyDescent="0.15">
      <c r="A6870" s="1" t="s">
        <v>75</v>
      </c>
      <c r="B6870" s="2">
        <v>1176910</v>
      </c>
      <c r="C6870" s="3">
        <v>0.222</v>
      </c>
      <c r="D6870" s="4" t="s">
        <v>667</v>
      </c>
      <c r="E6870" s="4" t="s">
        <v>272</v>
      </c>
    </row>
    <row r="6871" spans="1:5" hidden="1" x14ac:dyDescent="0.15">
      <c r="A6871" s="1" t="s">
        <v>76</v>
      </c>
      <c r="B6871" s="2">
        <v>1100691</v>
      </c>
      <c r="C6871" s="3">
        <v>0.20800000000000002</v>
      </c>
      <c r="D6871" s="4" t="s">
        <v>667</v>
      </c>
      <c r="E6871" s="4" t="s">
        <v>272</v>
      </c>
    </row>
    <row r="6872" spans="1:5" hidden="1" x14ac:dyDescent="0.15">
      <c r="A6872" s="1" t="s">
        <v>77</v>
      </c>
      <c r="B6872" s="2">
        <v>1113917</v>
      </c>
      <c r="C6872" s="3">
        <v>0.21</v>
      </c>
      <c r="D6872" s="4" t="s">
        <v>667</v>
      </c>
      <c r="E6872" s="4" t="s">
        <v>272</v>
      </c>
    </row>
    <row r="6873" spans="1:5" ht="26" hidden="1" x14ac:dyDescent="0.15">
      <c r="A6873" s="1" t="s">
        <v>78</v>
      </c>
      <c r="B6873" s="2">
        <v>605920</v>
      </c>
      <c r="C6873" s="3">
        <v>0.114</v>
      </c>
      <c r="D6873" s="4" t="s">
        <v>667</v>
      </c>
      <c r="E6873" s="4" t="s">
        <v>272</v>
      </c>
    </row>
    <row r="6874" spans="1:5" hidden="1" x14ac:dyDescent="0.15">
      <c r="A6874" s="1" t="s">
        <v>79</v>
      </c>
      <c r="B6874" s="2">
        <v>784386</v>
      </c>
      <c r="C6874" s="3">
        <v>0.14800000000000002</v>
      </c>
      <c r="D6874" s="4" t="s">
        <v>667</v>
      </c>
      <c r="E6874" s="4" t="s">
        <v>272</v>
      </c>
    </row>
    <row r="6875" spans="1:5" hidden="1" x14ac:dyDescent="0.15">
      <c r="A6875" s="1" t="s">
        <v>80</v>
      </c>
      <c r="B6875" s="2">
        <v>656999</v>
      </c>
      <c r="C6875" s="3">
        <v>0.124</v>
      </c>
      <c r="D6875" s="4" t="s">
        <v>667</v>
      </c>
      <c r="E6875" s="4" t="s">
        <v>272</v>
      </c>
    </row>
    <row r="6876" spans="1:5" ht="26" hidden="1" x14ac:dyDescent="0.15">
      <c r="A6876" s="1" t="s">
        <v>81</v>
      </c>
      <c r="B6876" s="2">
        <v>873020</v>
      </c>
      <c r="C6876" s="3">
        <v>0.16500000000000001</v>
      </c>
      <c r="D6876" s="4" t="s">
        <v>667</v>
      </c>
      <c r="E6876" s="4" t="s">
        <v>272</v>
      </c>
    </row>
    <row r="6877" spans="1:5" hidden="1" x14ac:dyDescent="0.15">
      <c r="A6877" s="1" t="s">
        <v>82</v>
      </c>
      <c r="B6877" s="2">
        <v>656777</v>
      </c>
      <c r="C6877" s="3">
        <v>0.124</v>
      </c>
      <c r="D6877" s="4" t="s">
        <v>667</v>
      </c>
      <c r="E6877" s="4" t="s">
        <v>272</v>
      </c>
    </row>
    <row r="6878" spans="1:5" hidden="1" x14ac:dyDescent="0.15">
      <c r="A6878" s="4"/>
      <c r="B6878" s="4"/>
      <c r="C6878" s="4"/>
      <c r="D6878" s="4" t="s">
        <v>667</v>
      </c>
      <c r="E6878" s="4" t="s">
        <v>272</v>
      </c>
    </row>
    <row r="6879" spans="1:5" hidden="1" x14ac:dyDescent="0.15">
      <c r="A6879" s="16"/>
      <c r="B6879" s="16"/>
      <c r="C6879" s="16"/>
      <c r="D6879" s="4" t="s">
        <v>667</v>
      </c>
      <c r="E6879" s="4" t="s">
        <v>272</v>
      </c>
    </row>
    <row r="6880" spans="1:5" hidden="1" x14ac:dyDescent="0.15">
      <c r="A6880" s="1" t="s">
        <v>276</v>
      </c>
      <c r="B6880" s="2">
        <v>3265878</v>
      </c>
      <c r="C6880" s="3">
        <v>0.61599999999999999</v>
      </c>
      <c r="D6880" s="4" t="s">
        <v>667</v>
      </c>
      <c r="E6880" s="4" t="s">
        <v>272</v>
      </c>
    </row>
    <row r="6881" spans="1:5" hidden="1" x14ac:dyDescent="0.15">
      <c r="A6881" s="4"/>
      <c r="B6881" s="4"/>
      <c r="C6881" s="4"/>
      <c r="D6881" s="4" t="s">
        <v>667</v>
      </c>
      <c r="E6881" s="4" t="s">
        <v>272</v>
      </c>
    </row>
    <row r="6882" spans="1:5" hidden="1" x14ac:dyDescent="0.15">
      <c r="A6882" s="16"/>
      <c r="B6882" s="16"/>
      <c r="C6882" s="16"/>
      <c r="D6882" s="4" t="s">
        <v>667</v>
      </c>
      <c r="E6882" s="4" t="s">
        <v>272</v>
      </c>
    </row>
    <row r="6883" spans="1:5" hidden="1" x14ac:dyDescent="0.15">
      <c r="A6883" s="1" t="s">
        <v>278</v>
      </c>
      <c r="B6883" s="2">
        <v>761212</v>
      </c>
      <c r="C6883" s="3">
        <v>0.14400000000000002</v>
      </c>
      <c r="D6883" s="4" t="s">
        <v>667</v>
      </c>
      <c r="E6883" s="4" t="s">
        <v>272</v>
      </c>
    </row>
    <row r="6884" spans="1:5" hidden="1" x14ac:dyDescent="0.15">
      <c r="A6884" s="4"/>
      <c r="B6884" s="4"/>
      <c r="C6884" s="4"/>
      <c r="D6884" s="4" t="s">
        <v>667</v>
      </c>
      <c r="E6884" s="4" t="s">
        <v>272</v>
      </c>
    </row>
    <row r="6885" spans="1:5" hidden="1" x14ac:dyDescent="0.15">
      <c r="A6885" s="16"/>
      <c r="B6885" s="16"/>
      <c r="C6885" s="16"/>
      <c r="D6885" s="4" t="s">
        <v>667</v>
      </c>
      <c r="E6885" s="4" t="s">
        <v>272</v>
      </c>
    </row>
    <row r="6886" spans="1:5" hidden="1" x14ac:dyDescent="0.15">
      <c r="A6886" s="1" t="s">
        <v>274</v>
      </c>
      <c r="B6886" s="2">
        <v>3148866</v>
      </c>
      <c r="C6886" s="3">
        <v>0.59399999999999997</v>
      </c>
      <c r="D6886" s="4" t="s">
        <v>667</v>
      </c>
      <c r="E6886" s="4" t="s">
        <v>272</v>
      </c>
    </row>
    <row r="6887" spans="1:5" hidden="1" x14ac:dyDescent="0.15">
      <c r="A6887" s="4"/>
      <c r="B6887" s="4"/>
      <c r="C6887" s="4"/>
      <c r="D6887" s="4" t="s">
        <v>667</v>
      </c>
      <c r="E6887" s="4" t="s">
        <v>272</v>
      </c>
    </row>
    <row r="6888" spans="1:5" hidden="1" x14ac:dyDescent="0.15">
      <c r="A6888" s="16"/>
      <c r="B6888" s="16"/>
      <c r="C6888" s="16"/>
      <c r="D6888" s="4" t="s">
        <v>667</v>
      </c>
      <c r="E6888" s="4" t="s">
        <v>272</v>
      </c>
    </row>
    <row r="6889" spans="1:5" hidden="1" x14ac:dyDescent="0.15">
      <c r="A6889" s="1" t="s">
        <v>668</v>
      </c>
      <c r="B6889" s="2">
        <v>305730</v>
      </c>
      <c r="C6889" s="3">
        <v>5.7999999999999996E-2</v>
      </c>
      <c r="D6889" s="4" t="s">
        <v>667</v>
      </c>
      <c r="E6889" s="4" t="s">
        <v>272</v>
      </c>
    </row>
    <row r="6890" spans="1:5" hidden="1" x14ac:dyDescent="0.15">
      <c r="A6890" s="4"/>
      <c r="B6890" s="4"/>
      <c r="C6890" s="4"/>
      <c r="D6890" s="4" t="s">
        <v>667</v>
      </c>
      <c r="E6890" s="4" t="s">
        <v>272</v>
      </c>
    </row>
    <row r="6891" spans="1:5" hidden="1" x14ac:dyDescent="0.15">
      <c r="A6891" s="16"/>
      <c r="B6891" s="16"/>
      <c r="C6891" s="16"/>
      <c r="D6891" s="4" t="s">
        <v>667</v>
      </c>
      <c r="E6891" s="4" t="s">
        <v>272</v>
      </c>
    </row>
    <row r="6892" spans="1:5" ht="26" hidden="1" x14ac:dyDescent="0.15">
      <c r="A6892" s="1" t="s">
        <v>669</v>
      </c>
      <c r="B6892" s="2">
        <v>2411012</v>
      </c>
      <c r="C6892" s="3">
        <v>0.45500000000000002</v>
      </c>
      <c r="D6892" s="4" t="s">
        <v>667</v>
      </c>
      <c r="E6892" s="4" t="s">
        <v>272</v>
      </c>
    </row>
    <row r="6893" spans="1:5" hidden="1" x14ac:dyDescent="0.15">
      <c r="A6893" s="4"/>
      <c r="B6893" s="4"/>
      <c r="C6893" s="4"/>
      <c r="D6893" s="4" t="s">
        <v>667</v>
      </c>
      <c r="E6893" s="4" t="s">
        <v>272</v>
      </c>
    </row>
    <row r="6894" spans="1:5" hidden="1" x14ac:dyDescent="0.15">
      <c r="A6894" s="16"/>
      <c r="B6894" s="16"/>
      <c r="C6894" s="16"/>
      <c r="D6894" s="4" t="s">
        <v>667</v>
      </c>
      <c r="E6894" s="4" t="s">
        <v>272</v>
      </c>
    </row>
    <row r="6895" spans="1:5" ht="26" hidden="1" x14ac:dyDescent="0.15">
      <c r="A6895" s="1" t="s">
        <v>670</v>
      </c>
      <c r="B6895" s="2">
        <v>492541</v>
      </c>
      <c r="C6895" s="3">
        <v>9.3000000000000013E-2</v>
      </c>
      <c r="D6895" s="4" t="s">
        <v>667</v>
      </c>
      <c r="E6895" s="4" t="s">
        <v>272</v>
      </c>
    </row>
    <row r="6896" spans="1:5" ht="26" hidden="1" x14ac:dyDescent="0.15">
      <c r="A6896" s="1" t="s">
        <v>671</v>
      </c>
      <c r="B6896" s="2">
        <v>717970</v>
      </c>
      <c r="C6896" s="3">
        <v>0.13500000000000001</v>
      </c>
      <c r="D6896" s="4" t="s">
        <v>667</v>
      </c>
      <c r="E6896" s="4" t="s">
        <v>272</v>
      </c>
    </row>
    <row r="6897" spans="1:5" hidden="1" x14ac:dyDescent="0.15">
      <c r="A6897" s="4"/>
      <c r="B6897" s="4"/>
      <c r="C6897" s="4"/>
      <c r="D6897" s="4" t="s">
        <v>667</v>
      </c>
      <c r="E6897" s="4" t="s">
        <v>272</v>
      </c>
    </row>
    <row r="6898" spans="1:5" hidden="1" x14ac:dyDescent="0.15">
      <c r="A6898" s="16"/>
      <c r="B6898" s="16"/>
      <c r="C6898" s="16"/>
      <c r="D6898" s="4" t="s">
        <v>667</v>
      </c>
      <c r="E6898" s="4" t="s">
        <v>272</v>
      </c>
    </row>
    <row r="6899" spans="1:5" ht="26" hidden="1" x14ac:dyDescent="0.15">
      <c r="A6899" s="1" t="s">
        <v>672</v>
      </c>
      <c r="B6899" s="2">
        <v>359023</v>
      </c>
      <c r="C6899" s="3">
        <v>6.8000000000000005E-2</v>
      </c>
      <c r="D6899" s="4" t="s">
        <v>667</v>
      </c>
      <c r="E6899" s="4" t="s">
        <v>272</v>
      </c>
    </row>
    <row r="6900" spans="1:5" hidden="1" x14ac:dyDescent="0.15">
      <c r="A6900" s="4"/>
      <c r="B6900" s="4"/>
      <c r="C6900" s="4"/>
      <c r="D6900" s="4" t="s">
        <v>667</v>
      </c>
      <c r="E6900" s="4" t="s">
        <v>272</v>
      </c>
    </row>
    <row r="6901" spans="1:5" hidden="1" x14ac:dyDescent="0.15">
      <c r="A6901" s="16"/>
      <c r="B6901" s="16"/>
      <c r="C6901" s="16"/>
      <c r="D6901" s="4" t="s">
        <v>667</v>
      </c>
      <c r="E6901" s="4" t="s">
        <v>272</v>
      </c>
    </row>
    <row r="6902" spans="1:5" ht="26" hidden="1" x14ac:dyDescent="0.15">
      <c r="A6902" s="1" t="s">
        <v>673</v>
      </c>
      <c r="B6902" s="2">
        <v>201491</v>
      </c>
      <c r="C6902" s="3">
        <v>3.7999999999999999E-2</v>
      </c>
      <c r="D6902" s="4" t="s">
        <v>667</v>
      </c>
      <c r="E6902" s="4" t="s">
        <v>272</v>
      </c>
    </row>
    <row r="6903" spans="1:5" ht="26" hidden="1" x14ac:dyDescent="0.15">
      <c r="A6903" s="1" t="s">
        <v>674</v>
      </c>
      <c r="B6903" s="2">
        <v>338046</v>
      </c>
      <c r="C6903" s="3">
        <v>6.4000000000000001E-2</v>
      </c>
      <c r="D6903" s="4" t="s">
        <v>667</v>
      </c>
      <c r="E6903" s="4" t="s">
        <v>272</v>
      </c>
    </row>
    <row r="6904" spans="1:5" ht="26" hidden="1" x14ac:dyDescent="0.15">
      <c r="A6904" s="1" t="s">
        <v>675</v>
      </c>
      <c r="B6904" s="2">
        <v>466185</v>
      </c>
      <c r="C6904" s="3">
        <v>8.8000000000000009E-2</v>
      </c>
      <c r="D6904" s="4" t="s">
        <v>667</v>
      </c>
      <c r="E6904" s="4" t="s">
        <v>272</v>
      </c>
    </row>
    <row r="6905" spans="1:5" ht="26" hidden="1" x14ac:dyDescent="0.15">
      <c r="A6905" s="1" t="s">
        <v>676</v>
      </c>
      <c r="B6905" s="2">
        <v>818346</v>
      </c>
      <c r="C6905" s="3">
        <v>0.154</v>
      </c>
      <c r="D6905" s="4" t="s">
        <v>667</v>
      </c>
      <c r="E6905" s="4" t="s">
        <v>272</v>
      </c>
    </row>
    <row r="6906" spans="1:5" ht="26" hidden="1" x14ac:dyDescent="0.15">
      <c r="A6906" s="1" t="s">
        <v>553</v>
      </c>
      <c r="B6906" s="2">
        <v>468182</v>
      </c>
      <c r="C6906" s="3">
        <v>8.8000000000000009E-2</v>
      </c>
      <c r="D6906" s="4" t="s">
        <v>667</v>
      </c>
      <c r="E6906" s="4" t="s">
        <v>272</v>
      </c>
    </row>
    <row r="6907" spans="1:5" ht="26" hidden="1" x14ac:dyDescent="0.15">
      <c r="A6907" s="1" t="s">
        <v>554</v>
      </c>
      <c r="B6907" s="2">
        <v>927327</v>
      </c>
      <c r="C6907" s="3">
        <v>0.17499999999999999</v>
      </c>
      <c r="D6907" s="4" t="s">
        <v>667</v>
      </c>
      <c r="E6907" s="4" t="s">
        <v>272</v>
      </c>
    </row>
    <row r="6908" spans="1:5" ht="26" hidden="1" x14ac:dyDescent="0.15">
      <c r="A6908" s="1" t="s">
        <v>555</v>
      </c>
      <c r="B6908" s="2">
        <v>645519</v>
      </c>
      <c r="C6908" s="3">
        <v>0.122</v>
      </c>
      <c r="D6908" s="4" t="s">
        <v>667</v>
      </c>
      <c r="E6908" s="4" t="s">
        <v>272</v>
      </c>
    </row>
    <row r="6909" spans="1:5" ht="26" hidden="1" x14ac:dyDescent="0.15">
      <c r="A6909" s="1" t="s">
        <v>556</v>
      </c>
      <c r="B6909" s="2">
        <v>1205336</v>
      </c>
      <c r="C6909" s="3">
        <v>0.22699999999999998</v>
      </c>
      <c r="D6909" s="4" t="s">
        <v>667</v>
      </c>
      <c r="E6909" s="4" t="s">
        <v>272</v>
      </c>
    </row>
    <row r="6910" spans="1:5" ht="26" hidden="1" x14ac:dyDescent="0.15">
      <c r="A6910" s="1" t="s">
        <v>620</v>
      </c>
      <c r="B6910" s="2">
        <v>674262</v>
      </c>
      <c r="C6910" s="3">
        <v>0.127</v>
      </c>
      <c r="D6910" s="4" t="s">
        <v>667</v>
      </c>
      <c r="E6910" s="4" t="s">
        <v>272</v>
      </c>
    </row>
    <row r="6911" spans="1:5" hidden="1" x14ac:dyDescent="0.15">
      <c r="A6911" s="1" t="s">
        <v>0</v>
      </c>
      <c r="B6911" s="2">
        <v>1860325</v>
      </c>
      <c r="C6911" s="3">
        <v>1</v>
      </c>
      <c r="D6911" s="4" t="s">
        <v>685</v>
      </c>
      <c r="E6911" s="4" t="s">
        <v>168</v>
      </c>
    </row>
    <row r="6912" spans="1:5" ht="26" hidden="1" x14ac:dyDescent="0.15">
      <c r="A6912" s="1" t="s">
        <v>3</v>
      </c>
      <c r="B6912" s="2">
        <v>19959</v>
      </c>
      <c r="C6912" s="3">
        <v>1.1000000000000001E-2</v>
      </c>
      <c r="D6912" s="4" t="s">
        <v>685</v>
      </c>
      <c r="E6912" s="4" t="s">
        <v>168</v>
      </c>
    </row>
    <row r="6913" spans="1:5" hidden="1" x14ac:dyDescent="0.15">
      <c r="A6913" s="1" t="s">
        <v>4</v>
      </c>
      <c r="B6913" s="2">
        <v>17377</v>
      </c>
      <c r="C6913" s="3">
        <v>9.0000000000000011E-3</v>
      </c>
      <c r="D6913" s="4" t="s">
        <v>685</v>
      </c>
      <c r="E6913" s="4" t="s">
        <v>168</v>
      </c>
    </row>
    <row r="6914" spans="1:5" ht="26" hidden="1" x14ac:dyDescent="0.15">
      <c r="A6914" s="1" t="s">
        <v>5</v>
      </c>
      <c r="B6914" s="2">
        <v>70561</v>
      </c>
      <c r="C6914" s="3">
        <v>3.7999999999999999E-2</v>
      </c>
      <c r="D6914" s="4" t="s">
        <v>685</v>
      </c>
      <c r="E6914" s="4" t="s">
        <v>168</v>
      </c>
    </row>
    <row r="6915" spans="1:5" ht="26" hidden="1" x14ac:dyDescent="0.15">
      <c r="A6915" s="1" t="s">
        <v>6</v>
      </c>
      <c r="B6915" s="2">
        <v>398785</v>
      </c>
      <c r="C6915" s="3">
        <v>0.214</v>
      </c>
      <c r="D6915" s="4" t="s">
        <v>685</v>
      </c>
      <c r="E6915" s="4" t="s">
        <v>168</v>
      </c>
    </row>
    <row r="6916" spans="1:5" ht="26" hidden="1" x14ac:dyDescent="0.15">
      <c r="A6916" s="1" t="s">
        <v>7</v>
      </c>
      <c r="B6916" s="2">
        <v>819706</v>
      </c>
      <c r="C6916" s="3">
        <v>0.441</v>
      </c>
      <c r="D6916" s="4" t="s">
        <v>685</v>
      </c>
      <c r="E6916" s="4" t="s">
        <v>168</v>
      </c>
    </row>
    <row r="6917" spans="1:5" ht="26" hidden="1" x14ac:dyDescent="0.15">
      <c r="A6917" s="1" t="s">
        <v>8</v>
      </c>
      <c r="B6917" s="2">
        <v>18984</v>
      </c>
      <c r="C6917" s="3">
        <v>0.01</v>
      </c>
      <c r="D6917" s="4" t="s">
        <v>685</v>
      </c>
      <c r="E6917" s="4" t="s">
        <v>168</v>
      </c>
    </row>
    <row r="6918" spans="1:5" ht="26" hidden="1" x14ac:dyDescent="0.15">
      <c r="A6918" s="1" t="s">
        <v>9</v>
      </c>
      <c r="B6918" s="2">
        <v>39365</v>
      </c>
      <c r="C6918" s="3">
        <v>2.1000000000000001E-2</v>
      </c>
      <c r="D6918" s="4" t="s">
        <v>685</v>
      </c>
      <c r="E6918" s="4" t="s">
        <v>168</v>
      </c>
    </row>
    <row r="6919" spans="1:5" ht="26" hidden="1" x14ac:dyDescent="0.15">
      <c r="A6919" s="1" t="s">
        <v>10</v>
      </c>
      <c r="B6919" s="2">
        <v>30443</v>
      </c>
      <c r="C6919" s="3">
        <v>1.6E-2</v>
      </c>
      <c r="D6919" s="4" t="s">
        <v>685</v>
      </c>
      <c r="E6919" s="4" t="s">
        <v>168</v>
      </c>
    </row>
    <row r="6920" spans="1:5" ht="26" hidden="1" x14ac:dyDescent="0.15">
      <c r="A6920" s="1" t="s">
        <v>11</v>
      </c>
      <c r="B6920" s="2">
        <v>61251</v>
      </c>
      <c r="C6920" s="3">
        <v>3.3000000000000002E-2</v>
      </c>
      <c r="D6920" s="4" t="s">
        <v>685</v>
      </c>
      <c r="E6920" s="4" t="s">
        <v>168</v>
      </c>
    </row>
    <row r="6921" spans="1:5" ht="26" hidden="1" x14ac:dyDescent="0.15">
      <c r="A6921" s="1" t="s">
        <v>12</v>
      </c>
      <c r="B6921" s="2">
        <v>31685</v>
      </c>
      <c r="C6921" s="3">
        <v>1.7000000000000001E-2</v>
      </c>
      <c r="D6921" s="4" t="s">
        <v>685</v>
      </c>
      <c r="E6921" s="4" t="s">
        <v>168</v>
      </c>
    </row>
    <row r="6922" spans="1:5" ht="26" hidden="1" x14ac:dyDescent="0.15">
      <c r="A6922" s="1" t="s">
        <v>13</v>
      </c>
      <c r="B6922" s="2">
        <v>14918</v>
      </c>
      <c r="C6922" s="3">
        <v>8.0000000000000002E-3</v>
      </c>
      <c r="D6922" s="4" t="s">
        <v>685</v>
      </c>
      <c r="E6922" s="4" t="s">
        <v>168</v>
      </c>
    </row>
    <row r="6923" spans="1:5" hidden="1" x14ac:dyDescent="0.15">
      <c r="A6923" s="1" t="s">
        <v>14</v>
      </c>
      <c r="B6923" s="2">
        <v>71266</v>
      </c>
      <c r="C6923" s="3">
        <v>3.7999999999999999E-2</v>
      </c>
      <c r="D6923" s="4" t="s">
        <v>685</v>
      </c>
      <c r="E6923" s="4" t="s">
        <v>168</v>
      </c>
    </row>
    <row r="6924" spans="1:5" ht="26" hidden="1" x14ac:dyDescent="0.15">
      <c r="A6924" s="1" t="s">
        <v>15</v>
      </c>
      <c r="B6924" s="2">
        <v>171991</v>
      </c>
      <c r="C6924" s="3">
        <v>9.1999999999999998E-2</v>
      </c>
      <c r="D6924" s="4" t="s">
        <v>685</v>
      </c>
      <c r="E6924" s="4" t="s">
        <v>168</v>
      </c>
    </row>
    <row r="6925" spans="1:5" ht="26" hidden="1" x14ac:dyDescent="0.15">
      <c r="A6925" s="1" t="s">
        <v>16</v>
      </c>
      <c r="B6925" s="2">
        <v>70878</v>
      </c>
      <c r="C6925" s="3">
        <v>3.7999999999999999E-2</v>
      </c>
      <c r="D6925" s="4" t="s">
        <v>685</v>
      </c>
      <c r="E6925" s="4" t="s">
        <v>168</v>
      </c>
    </row>
    <row r="6926" spans="1:5" ht="26" hidden="1" x14ac:dyDescent="0.15">
      <c r="A6926" s="1" t="s">
        <v>17</v>
      </c>
      <c r="B6926" s="2">
        <v>42429</v>
      </c>
      <c r="C6926" s="3">
        <v>2.3E-2</v>
      </c>
      <c r="D6926" s="4" t="s">
        <v>685</v>
      </c>
      <c r="E6926" s="4" t="s">
        <v>168</v>
      </c>
    </row>
    <row r="6927" spans="1:5" hidden="1" x14ac:dyDescent="0.15">
      <c r="A6927" s="1" t="s">
        <v>18</v>
      </c>
      <c r="B6927" s="2">
        <v>19900</v>
      </c>
      <c r="C6927" s="3">
        <v>1.1000000000000001E-2</v>
      </c>
      <c r="D6927" s="4" t="s">
        <v>685</v>
      </c>
      <c r="E6927" s="4" t="s">
        <v>168</v>
      </c>
    </row>
    <row r="6928" spans="1:5" hidden="1" x14ac:dyDescent="0.15">
      <c r="A6928" s="1" t="s">
        <v>19</v>
      </c>
      <c r="B6928" s="2">
        <v>231502</v>
      </c>
      <c r="C6928" s="3">
        <v>0.124</v>
      </c>
      <c r="D6928" s="4" t="s">
        <v>685</v>
      </c>
      <c r="E6928" s="4" t="s">
        <v>168</v>
      </c>
    </row>
    <row r="6929" spans="1:5" hidden="1" x14ac:dyDescent="0.15">
      <c r="A6929" s="1" t="s">
        <v>20</v>
      </c>
      <c r="B6929" s="2">
        <v>26233</v>
      </c>
      <c r="C6929" s="3">
        <v>1.3999999999999999E-2</v>
      </c>
      <c r="D6929" s="4" t="s">
        <v>685</v>
      </c>
      <c r="E6929" s="4" t="s">
        <v>168</v>
      </c>
    </row>
    <row r="6930" spans="1:5" ht="26" hidden="1" x14ac:dyDescent="0.15">
      <c r="A6930" s="1" t="s">
        <v>21</v>
      </c>
      <c r="B6930" s="2">
        <v>40085</v>
      </c>
      <c r="C6930" s="3">
        <v>2.2000000000000002E-2</v>
      </c>
      <c r="D6930" s="4" t="s">
        <v>685</v>
      </c>
      <c r="E6930" s="4" t="s">
        <v>168</v>
      </c>
    </row>
    <row r="6931" spans="1:5" ht="26" hidden="1" x14ac:dyDescent="0.15">
      <c r="A6931" s="1" t="s">
        <v>22</v>
      </c>
      <c r="B6931" s="2">
        <v>10213</v>
      </c>
      <c r="C6931" s="3">
        <v>5.0000000000000001E-3</v>
      </c>
      <c r="D6931" s="4" t="s">
        <v>685</v>
      </c>
      <c r="E6931" s="4" t="s">
        <v>168</v>
      </c>
    </row>
    <row r="6932" spans="1:5" ht="26" hidden="1" x14ac:dyDescent="0.15">
      <c r="A6932" s="1" t="s">
        <v>23</v>
      </c>
      <c r="B6932" s="2">
        <v>55937</v>
      </c>
      <c r="C6932" s="3">
        <v>0.03</v>
      </c>
      <c r="D6932" s="4" t="s">
        <v>685</v>
      </c>
      <c r="E6932" s="4" t="s">
        <v>168</v>
      </c>
    </row>
    <row r="6933" spans="1:5" ht="26" hidden="1" x14ac:dyDescent="0.15">
      <c r="A6933" s="1" t="s">
        <v>24</v>
      </c>
      <c r="B6933" s="2">
        <v>4971</v>
      </c>
      <c r="C6933" s="3">
        <v>3.0000000000000001E-3</v>
      </c>
      <c r="D6933" s="4" t="s">
        <v>685</v>
      </c>
      <c r="E6933" s="4" t="s">
        <v>168</v>
      </c>
    </row>
    <row r="6934" spans="1:5" ht="26" hidden="1" x14ac:dyDescent="0.15">
      <c r="A6934" s="1" t="s">
        <v>25</v>
      </c>
      <c r="B6934" s="2">
        <v>27785</v>
      </c>
      <c r="C6934" s="3">
        <v>1.4999999999999999E-2</v>
      </c>
      <c r="D6934" s="4" t="s">
        <v>685</v>
      </c>
      <c r="E6934" s="4" t="s">
        <v>168</v>
      </c>
    </row>
    <row r="6935" spans="1:5" hidden="1" x14ac:dyDescent="0.15">
      <c r="A6935" s="1" t="s">
        <v>26</v>
      </c>
      <c r="B6935" s="2">
        <v>14693</v>
      </c>
      <c r="C6935" s="3">
        <v>8.0000000000000002E-3</v>
      </c>
      <c r="D6935" s="4" t="s">
        <v>685</v>
      </c>
      <c r="E6935" s="4" t="s">
        <v>168</v>
      </c>
    </row>
    <row r="6936" spans="1:5" hidden="1" x14ac:dyDescent="0.15">
      <c r="A6936" s="1" t="s">
        <v>27</v>
      </c>
      <c r="B6936" s="2">
        <v>117470</v>
      </c>
      <c r="C6936" s="3">
        <v>6.3E-2</v>
      </c>
      <c r="D6936" s="4" t="s">
        <v>685</v>
      </c>
      <c r="E6936" s="4" t="s">
        <v>168</v>
      </c>
    </row>
    <row r="6937" spans="1:5" hidden="1" x14ac:dyDescent="0.15">
      <c r="A6937" s="1" t="s">
        <v>28</v>
      </c>
      <c r="B6937" s="2">
        <v>134694</v>
      </c>
      <c r="C6937" s="3">
        <v>7.2000000000000008E-2</v>
      </c>
      <c r="D6937" s="4" t="s">
        <v>685</v>
      </c>
      <c r="E6937" s="4" t="s">
        <v>168</v>
      </c>
    </row>
    <row r="6938" spans="1:5" hidden="1" x14ac:dyDescent="0.15">
      <c r="A6938" s="1" t="s">
        <v>29</v>
      </c>
      <c r="B6938" s="2">
        <v>522946</v>
      </c>
      <c r="C6938" s="3">
        <v>0.28100000000000003</v>
      </c>
      <c r="D6938" s="4" t="s">
        <v>685</v>
      </c>
      <c r="E6938" s="4" t="s">
        <v>168</v>
      </c>
    </row>
    <row r="6939" spans="1:5" hidden="1" x14ac:dyDescent="0.15">
      <c r="A6939" s="1" t="s">
        <v>30</v>
      </c>
      <c r="B6939" s="2">
        <v>53931</v>
      </c>
      <c r="C6939" s="3">
        <v>2.8999999999999998E-2</v>
      </c>
      <c r="D6939" s="4" t="s">
        <v>685</v>
      </c>
      <c r="E6939" s="4" t="s">
        <v>168</v>
      </c>
    </row>
    <row r="6940" spans="1:5" ht="39" hidden="1" x14ac:dyDescent="0.15">
      <c r="A6940" s="1" t="s">
        <v>31</v>
      </c>
      <c r="B6940" s="2">
        <v>15913</v>
      </c>
      <c r="C6940" s="3">
        <v>9.0000000000000011E-3</v>
      </c>
      <c r="D6940" s="4" t="s">
        <v>685</v>
      </c>
      <c r="E6940" s="4" t="s">
        <v>168</v>
      </c>
    </row>
    <row r="6941" spans="1:5" hidden="1" x14ac:dyDescent="0.15">
      <c r="A6941" s="1" t="s">
        <v>32</v>
      </c>
      <c r="B6941" s="2">
        <v>44525</v>
      </c>
      <c r="C6941" s="3">
        <v>2.4E-2</v>
      </c>
      <c r="D6941" s="4" t="s">
        <v>685</v>
      </c>
      <c r="E6941" s="4" t="s">
        <v>168</v>
      </c>
    </row>
    <row r="6942" spans="1:5" hidden="1" x14ac:dyDescent="0.15">
      <c r="A6942" s="1" t="s">
        <v>33</v>
      </c>
      <c r="B6942" s="2">
        <v>468430</v>
      </c>
      <c r="C6942" s="3">
        <v>0.252</v>
      </c>
      <c r="D6942" s="4" t="s">
        <v>685</v>
      </c>
      <c r="E6942" s="4" t="s">
        <v>168</v>
      </c>
    </row>
    <row r="6943" spans="1:5" hidden="1" x14ac:dyDescent="0.15">
      <c r="A6943" s="1" t="s">
        <v>34</v>
      </c>
      <c r="B6943" s="2">
        <v>125985</v>
      </c>
      <c r="C6943" s="3">
        <v>6.8000000000000005E-2</v>
      </c>
      <c r="D6943" s="4" t="s">
        <v>685</v>
      </c>
      <c r="E6943" s="4" t="s">
        <v>168</v>
      </c>
    </row>
    <row r="6944" spans="1:5" hidden="1" x14ac:dyDescent="0.15">
      <c r="A6944" s="1" t="s">
        <v>35</v>
      </c>
      <c r="B6944" s="2">
        <v>57352</v>
      </c>
      <c r="C6944" s="3">
        <v>3.1E-2</v>
      </c>
      <c r="D6944" s="4" t="s">
        <v>685</v>
      </c>
      <c r="E6944" s="4" t="s">
        <v>168</v>
      </c>
    </row>
    <row r="6945" spans="1:5" ht="26" hidden="1" x14ac:dyDescent="0.15">
      <c r="A6945" s="1" t="s">
        <v>36</v>
      </c>
      <c r="B6945" s="2">
        <v>31254</v>
      </c>
      <c r="C6945" s="3">
        <v>1.7000000000000001E-2</v>
      </c>
      <c r="D6945" s="4" t="s">
        <v>685</v>
      </c>
      <c r="E6945" s="4" t="s">
        <v>168</v>
      </c>
    </row>
    <row r="6946" spans="1:5" hidden="1" x14ac:dyDescent="0.15">
      <c r="A6946" s="1" t="s">
        <v>37</v>
      </c>
      <c r="B6946" s="2">
        <v>25550</v>
      </c>
      <c r="C6946" s="3">
        <v>1.3999999999999999E-2</v>
      </c>
      <c r="D6946" s="4" t="s">
        <v>685</v>
      </c>
      <c r="E6946" s="4" t="s">
        <v>168</v>
      </c>
    </row>
    <row r="6947" spans="1:5" ht="39" hidden="1" x14ac:dyDescent="0.15">
      <c r="A6947" s="1" t="s">
        <v>38</v>
      </c>
      <c r="B6947" s="2">
        <v>29268</v>
      </c>
      <c r="C6947" s="3">
        <v>1.6E-2</v>
      </c>
      <c r="D6947" s="4" t="s">
        <v>685</v>
      </c>
      <c r="E6947" s="4" t="s">
        <v>168</v>
      </c>
    </row>
    <row r="6948" spans="1:5" hidden="1" x14ac:dyDescent="0.15">
      <c r="A6948" s="1" t="s">
        <v>39</v>
      </c>
      <c r="B6948" s="2">
        <v>115616</v>
      </c>
      <c r="C6948" s="3">
        <v>6.2E-2</v>
      </c>
      <c r="D6948" s="4" t="s">
        <v>685</v>
      </c>
      <c r="E6948" s="4" t="s">
        <v>168</v>
      </c>
    </row>
    <row r="6949" spans="1:5" hidden="1" x14ac:dyDescent="0.15">
      <c r="A6949" s="1" t="s">
        <v>40</v>
      </c>
      <c r="B6949" s="2">
        <v>13787</v>
      </c>
      <c r="C6949" s="3">
        <v>6.9999999999999993E-3</v>
      </c>
      <c r="D6949" s="4" t="s">
        <v>685</v>
      </c>
      <c r="E6949" s="4" t="s">
        <v>168</v>
      </c>
    </row>
    <row r="6950" spans="1:5" hidden="1" x14ac:dyDescent="0.15">
      <c r="A6950" s="1" t="s">
        <v>41</v>
      </c>
      <c r="B6950" s="2">
        <v>46222</v>
      </c>
      <c r="C6950" s="3">
        <v>2.5000000000000001E-2</v>
      </c>
      <c r="D6950" s="4" t="s">
        <v>685</v>
      </c>
      <c r="E6950" s="4" t="s">
        <v>168</v>
      </c>
    </row>
    <row r="6951" spans="1:5" hidden="1" x14ac:dyDescent="0.15">
      <c r="A6951" s="1" t="s">
        <v>42</v>
      </c>
      <c r="B6951" s="2">
        <v>71733</v>
      </c>
      <c r="C6951" s="3">
        <v>3.9E-2</v>
      </c>
      <c r="D6951" s="4" t="s">
        <v>685</v>
      </c>
      <c r="E6951" s="4" t="s">
        <v>168</v>
      </c>
    </row>
    <row r="6952" spans="1:5" hidden="1" x14ac:dyDescent="0.15">
      <c r="A6952" s="1" t="s">
        <v>43</v>
      </c>
      <c r="B6952" s="2">
        <v>162813</v>
      </c>
      <c r="C6952" s="3">
        <v>8.8000000000000009E-2</v>
      </c>
      <c r="D6952" s="4" t="s">
        <v>685</v>
      </c>
      <c r="E6952" s="4" t="s">
        <v>168</v>
      </c>
    </row>
    <row r="6953" spans="1:5" ht="26" hidden="1" x14ac:dyDescent="0.15">
      <c r="A6953" s="1" t="s">
        <v>44</v>
      </c>
      <c r="B6953" s="2">
        <v>155164</v>
      </c>
      <c r="C6953" s="3">
        <v>8.3000000000000004E-2</v>
      </c>
      <c r="D6953" s="4" t="s">
        <v>685</v>
      </c>
      <c r="E6953" s="4" t="s">
        <v>168</v>
      </c>
    </row>
    <row r="6954" spans="1:5" hidden="1" x14ac:dyDescent="0.15">
      <c r="A6954" s="1" t="s">
        <v>45</v>
      </c>
      <c r="B6954" s="2">
        <v>425666</v>
      </c>
      <c r="C6954" s="3">
        <v>0.22899999999999998</v>
      </c>
      <c r="D6954" s="4" t="s">
        <v>685</v>
      </c>
      <c r="E6954" s="4" t="s">
        <v>168</v>
      </c>
    </row>
    <row r="6955" spans="1:5" ht="26" hidden="1" x14ac:dyDescent="0.15">
      <c r="A6955" s="1" t="s">
        <v>46</v>
      </c>
      <c r="B6955" s="2">
        <v>990488</v>
      </c>
      <c r="C6955" s="3">
        <v>0.53200000000000003</v>
      </c>
      <c r="D6955" s="4" t="s">
        <v>685</v>
      </c>
      <c r="E6955" s="4" t="s">
        <v>168</v>
      </c>
    </row>
    <row r="6956" spans="1:5" hidden="1" x14ac:dyDescent="0.15">
      <c r="A6956" s="1" t="s">
        <v>47</v>
      </c>
      <c r="B6956" s="2">
        <v>1307998</v>
      </c>
      <c r="C6956" s="3">
        <v>0.70299999999999996</v>
      </c>
      <c r="D6956" s="4" t="s">
        <v>685</v>
      </c>
      <c r="E6956" s="4" t="s">
        <v>168</v>
      </c>
    </row>
    <row r="6957" spans="1:5" hidden="1" x14ac:dyDescent="0.15">
      <c r="A6957" s="1" t="s">
        <v>48</v>
      </c>
      <c r="B6957" s="2">
        <v>264408</v>
      </c>
      <c r="C6957" s="3">
        <v>0.14199999999999999</v>
      </c>
      <c r="D6957" s="4" t="s">
        <v>685</v>
      </c>
      <c r="E6957" s="4" t="s">
        <v>168</v>
      </c>
    </row>
    <row r="6958" spans="1:5" hidden="1" x14ac:dyDescent="0.15">
      <c r="A6958" s="1" t="s">
        <v>49</v>
      </c>
      <c r="B6958" s="2">
        <v>147467</v>
      </c>
      <c r="C6958" s="3">
        <v>7.9000000000000001E-2</v>
      </c>
      <c r="D6958" s="4" t="s">
        <v>685</v>
      </c>
      <c r="E6958" s="4" t="s">
        <v>168</v>
      </c>
    </row>
    <row r="6959" spans="1:5" ht="26" hidden="1" x14ac:dyDescent="0.15">
      <c r="A6959" s="1" t="s">
        <v>50</v>
      </c>
      <c r="B6959" s="2">
        <v>294554</v>
      </c>
      <c r="C6959" s="3">
        <v>0.158</v>
      </c>
      <c r="D6959" s="4" t="s">
        <v>685</v>
      </c>
      <c r="E6959" s="4" t="s">
        <v>168</v>
      </c>
    </row>
    <row r="6960" spans="1:5" hidden="1" x14ac:dyDescent="0.15">
      <c r="A6960" s="1" t="s">
        <v>51</v>
      </c>
      <c r="B6960" s="2">
        <v>506035</v>
      </c>
      <c r="C6960" s="3">
        <v>0.27200000000000002</v>
      </c>
      <c r="D6960" s="4" t="s">
        <v>685</v>
      </c>
      <c r="E6960" s="4" t="s">
        <v>168</v>
      </c>
    </row>
    <row r="6961" spans="1:5" hidden="1" x14ac:dyDescent="0.15">
      <c r="A6961" s="1" t="s">
        <v>52</v>
      </c>
      <c r="B6961" s="2">
        <v>237719</v>
      </c>
      <c r="C6961" s="3">
        <v>0.128</v>
      </c>
      <c r="D6961" s="4" t="s">
        <v>685</v>
      </c>
      <c r="E6961" s="4" t="s">
        <v>168</v>
      </c>
    </row>
    <row r="6962" spans="1:5" ht="26" hidden="1" x14ac:dyDescent="0.15">
      <c r="A6962" s="1" t="s">
        <v>53</v>
      </c>
      <c r="B6962" s="2">
        <v>157073</v>
      </c>
      <c r="C6962" s="3">
        <v>8.4000000000000005E-2</v>
      </c>
      <c r="D6962" s="4" t="s">
        <v>685</v>
      </c>
      <c r="E6962" s="4" t="s">
        <v>168</v>
      </c>
    </row>
    <row r="6963" spans="1:5" hidden="1" x14ac:dyDescent="0.15">
      <c r="A6963" s="1" t="s">
        <v>54</v>
      </c>
      <c r="B6963" s="2">
        <v>588656</v>
      </c>
      <c r="C6963" s="3">
        <v>0.316</v>
      </c>
      <c r="D6963" s="4" t="s">
        <v>685</v>
      </c>
      <c r="E6963" s="4" t="s">
        <v>168</v>
      </c>
    </row>
    <row r="6964" spans="1:5" ht="26" hidden="1" x14ac:dyDescent="0.15">
      <c r="A6964" s="1" t="s">
        <v>55</v>
      </c>
      <c r="B6964" s="2">
        <v>678043</v>
      </c>
      <c r="C6964" s="3">
        <v>0.36399999999999999</v>
      </c>
      <c r="D6964" s="4" t="s">
        <v>685</v>
      </c>
      <c r="E6964" s="4" t="s">
        <v>168</v>
      </c>
    </row>
    <row r="6965" spans="1:5" hidden="1" x14ac:dyDescent="0.15">
      <c r="A6965" s="1" t="s">
        <v>56</v>
      </c>
      <c r="B6965" s="2">
        <v>487520</v>
      </c>
      <c r="C6965" s="3">
        <v>0.26200000000000001</v>
      </c>
      <c r="D6965" s="4" t="s">
        <v>685</v>
      </c>
      <c r="E6965" s="4" t="s">
        <v>168</v>
      </c>
    </row>
    <row r="6966" spans="1:5" hidden="1" x14ac:dyDescent="0.15">
      <c r="A6966" s="1" t="s">
        <v>57</v>
      </c>
      <c r="B6966" s="2">
        <v>347170</v>
      </c>
      <c r="C6966" s="3">
        <v>0.187</v>
      </c>
      <c r="D6966" s="4" t="s">
        <v>685</v>
      </c>
      <c r="E6966" s="4" t="s">
        <v>168</v>
      </c>
    </row>
    <row r="6967" spans="1:5" hidden="1" x14ac:dyDescent="0.15">
      <c r="A6967" s="1" t="s">
        <v>58</v>
      </c>
      <c r="B6967" s="2">
        <v>196813</v>
      </c>
      <c r="C6967" s="3">
        <v>0.106</v>
      </c>
      <c r="D6967" s="4" t="s">
        <v>685</v>
      </c>
      <c r="E6967" s="4" t="s">
        <v>168</v>
      </c>
    </row>
    <row r="6968" spans="1:5" hidden="1" x14ac:dyDescent="0.15">
      <c r="A6968" s="1" t="s">
        <v>59</v>
      </c>
      <c r="B6968" s="2">
        <v>779411</v>
      </c>
      <c r="C6968" s="3">
        <v>0.41899999999999998</v>
      </c>
      <c r="D6968" s="4" t="s">
        <v>685</v>
      </c>
      <c r="E6968" s="4" t="s">
        <v>168</v>
      </c>
    </row>
    <row r="6969" spans="1:5" hidden="1" x14ac:dyDescent="0.15">
      <c r="A6969" s="1" t="s">
        <v>60</v>
      </c>
      <c r="B6969" s="2">
        <v>270553</v>
      </c>
      <c r="C6969" s="3">
        <v>0.14499999999999999</v>
      </c>
      <c r="D6969" s="4" t="s">
        <v>685</v>
      </c>
      <c r="E6969" s="4" t="s">
        <v>168</v>
      </c>
    </row>
    <row r="6970" spans="1:5" ht="26" hidden="1" x14ac:dyDescent="0.15">
      <c r="A6970" s="1" t="s">
        <v>61</v>
      </c>
      <c r="B6970" s="2">
        <v>286900</v>
      </c>
      <c r="C6970" s="3">
        <v>0.154</v>
      </c>
      <c r="D6970" s="4" t="s">
        <v>685</v>
      </c>
      <c r="E6970" s="4" t="s">
        <v>168</v>
      </c>
    </row>
    <row r="6971" spans="1:5" hidden="1" x14ac:dyDescent="0.15">
      <c r="A6971" s="1" t="s">
        <v>62</v>
      </c>
      <c r="B6971" s="2">
        <v>65153</v>
      </c>
      <c r="C6971" s="3">
        <v>3.5000000000000003E-2</v>
      </c>
      <c r="D6971" s="4" t="s">
        <v>685</v>
      </c>
      <c r="E6971" s="4" t="s">
        <v>168</v>
      </c>
    </row>
    <row r="6972" spans="1:5" ht="26" hidden="1" x14ac:dyDescent="0.15">
      <c r="A6972" s="1" t="s">
        <v>63</v>
      </c>
      <c r="B6972" s="2">
        <v>426234</v>
      </c>
      <c r="C6972" s="3">
        <v>0.22899999999999998</v>
      </c>
      <c r="D6972" s="4" t="s">
        <v>685</v>
      </c>
      <c r="E6972" s="4" t="s">
        <v>168</v>
      </c>
    </row>
    <row r="6973" spans="1:5" ht="26" hidden="1" x14ac:dyDescent="0.15">
      <c r="A6973" s="1" t="s">
        <v>64</v>
      </c>
      <c r="B6973" s="2">
        <v>94726</v>
      </c>
      <c r="C6973" s="3">
        <v>5.0999999999999997E-2</v>
      </c>
      <c r="D6973" s="4" t="s">
        <v>685</v>
      </c>
      <c r="E6973" s="4" t="s">
        <v>168</v>
      </c>
    </row>
    <row r="6974" spans="1:5" hidden="1" x14ac:dyDescent="0.15">
      <c r="A6974" s="1" t="s">
        <v>65</v>
      </c>
      <c r="B6974" s="2">
        <v>272662</v>
      </c>
      <c r="C6974" s="3">
        <v>0.14699999999999999</v>
      </c>
      <c r="D6974" s="4" t="s">
        <v>685</v>
      </c>
      <c r="E6974" s="4" t="s">
        <v>168</v>
      </c>
    </row>
    <row r="6975" spans="1:5" hidden="1" x14ac:dyDescent="0.15">
      <c r="A6975" s="1" t="s">
        <v>66</v>
      </c>
      <c r="B6975" s="2">
        <v>145456</v>
      </c>
      <c r="C6975" s="3">
        <v>7.8E-2</v>
      </c>
      <c r="D6975" s="4" t="s">
        <v>685</v>
      </c>
      <c r="E6975" s="4" t="s">
        <v>168</v>
      </c>
    </row>
    <row r="6976" spans="1:5" hidden="1" x14ac:dyDescent="0.15">
      <c r="A6976" s="1" t="s">
        <v>67</v>
      </c>
      <c r="B6976" s="2">
        <v>580542</v>
      </c>
      <c r="C6976" s="3">
        <v>0.312</v>
      </c>
      <c r="D6976" s="4" t="s">
        <v>685</v>
      </c>
      <c r="E6976" s="4" t="s">
        <v>168</v>
      </c>
    </row>
    <row r="6977" spans="1:5" hidden="1" x14ac:dyDescent="0.15">
      <c r="A6977" s="1" t="s">
        <v>68</v>
      </c>
      <c r="B6977" s="2">
        <v>646380</v>
      </c>
      <c r="C6977" s="3">
        <v>0.34700000000000003</v>
      </c>
      <c r="D6977" s="4" t="s">
        <v>685</v>
      </c>
      <c r="E6977" s="4" t="s">
        <v>168</v>
      </c>
    </row>
    <row r="6978" spans="1:5" hidden="1" x14ac:dyDescent="0.15">
      <c r="A6978" s="1" t="s">
        <v>69</v>
      </c>
      <c r="B6978" s="2">
        <v>1198965</v>
      </c>
      <c r="C6978" s="3">
        <v>0.64400000000000002</v>
      </c>
      <c r="D6978" s="4" t="s">
        <v>685</v>
      </c>
      <c r="E6978" s="4" t="s">
        <v>168</v>
      </c>
    </row>
    <row r="6979" spans="1:5" hidden="1" x14ac:dyDescent="0.15">
      <c r="A6979" s="1" t="s">
        <v>70</v>
      </c>
      <c r="B6979" s="2">
        <v>470559</v>
      </c>
      <c r="C6979" s="3">
        <v>0.253</v>
      </c>
      <c r="D6979" s="4" t="s">
        <v>685</v>
      </c>
      <c r="E6979" s="4" t="s">
        <v>168</v>
      </c>
    </row>
    <row r="6980" spans="1:5" ht="26" hidden="1" x14ac:dyDescent="0.15">
      <c r="A6980" s="1" t="s">
        <v>71</v>
      </c>
      <c r="B6980" s="2">
        <v>79337</v>
      </c>
      <c r="C6980" s="3">
        <v>4.2999999999999997E-2</v>
      </c>
      <c r="D6980" s="4" t="s">
        <v>685</v>
      </c>
      <c r="E6980" s="4" t="s">
        <v>168</v>
      </c>
    </row>
    <row r="6981" spans="1:5" hidden="1" x14ac:dyDescent="0.15">
      <c r="A6981" s="1" t="s">
        <v>72</v>
      </c>
      <c r="B6981" s="2">
        <v>289427</v>
      </c>
      <c r="C6981" s="3">
        <v>0.156</v>
      </c>
      <c r="D6981" s="4" t="s">
        <v>685</v>
      </c>
      <c r="E6981" s="4" t="s">
        <v>168</v>
      </c>
    </row>
    <row r="6982" spans="1:5" hidden="1" x14ac:dyDescent="0.15">
      <c r="A6982" s="1" t="s">
        <v>73</v>
      </c>
      <c r="B6982" s="2">
        <v>1150230</v>
      </c>
      <c r="C6982" s="3">
        <v>0.61799999999999999</v>
      </c>
      <c r="D6982" s="4" t="s">
        <v>685</v>
      </c>
      <c r="E6982" s="4" t="s">
        <v>168</v>
      </c>
    </row>
    <row r="6983" spans="1:5" hidden="1" x14ac:dyDescent="0.15">
      <c r="A6983" s="1" t="s">
        <v>74</v>
      </c>
      <c r="B6983" s="2">
        <v>567291</v>
      </c>
      <c r="C6983" s="3">
        <v>0.30499999999999999</v>
      </c>
      <c r="D6983" s="4" t="s">
        <v>685</v>
      </c>
      <c r="E6983" s="4" t="s">
        <v>168</v>
      </c>
    </row>
    <row r="6984" spans="1:5" hidden="1" x14ac:dyDescent="0.15">
      <c r="A6984" s="1" t="s">
        <v>75</v>
      </c>
      <c r="B6984" s="2">
        <v>271178</v>
      </c>
      <c r="C6984" s="3">
        <v>0.14599999999999999</v>
      </c>
      <c r="D6984" s="4" t="s">
        <v>685</v>
      </c>
      <c r="E6984" s="4" t="s">
        <v>168</v>
      </c>
    </row>
    <row r="6985" spans="1:5" hidden="1" x14ac:dyDescent="0.15">
      <c r="A6985" s="1" t="s">
        <v>76</v>
      </c>
      <c r="B6985" s="2">
        <v>226415</v>
      </c>
      <c r="C6985" s="3">
        <v>0.122</v>
      </c>
      <c r="D6985" s="4" t="s">
        <v>685</v>
      </c>
      <c r="E6985" s="4" t="s">
        <v>168</v>
      </c>
    </row>
    <row r="6986" spans="1:5" hidden="1" x14ac:dyDescent="0.15">
      <c r="A6986" s="1" t="s">
        <v>77</v>
      </c>
      <c r="B6986" s="2">
        <v>176068</v>
      </c>
      <c r="C6986" s="3">
        <v>9.5000000000000001E-2</v>
      </c>
      <c r="D6986" s="4" t="s">
        <v>685</v>
      </c>
      <c r="E6986" s="4" t="s">
        <v>168</v>
      </c>
    </row>
    <row r="6987" spans="1:5" ht="26" hidden="1" x14ac:dyDescent="0.15">
      <c r="A6987" s="1" t="s">
        <v>78</v>
      </c>
      <c r="B6987" s="2">
        <v>200783</v>
      </c>
      <c r="C6987" s="3">
        <v>0.10800000000000001</v>
      </c>
      <c r="D6987" s="4" t="s">
        <v>685</v>
      </c>
      <c r="E6987" s="4" t="s">
        <v>168</v>
      </c>
    </row>
    <row r="6988" spans="1:5" hidden="1" x14ac:dyDescent="0.15">
      <c r="A6988" s="1" t="s">
        <v>79</v>
      </c>
      <c r="B6988" s="2">
        <v>323734</v>
      </c>
      <c r="C6988" s="3">
        <v>0.17399999999999999</v>
      </c>
      <c r="D6988" s="4" t="s">
        <v>685</v>
      </c>
      <c r="E6988" s="4" t="s">
        <v>168</v>
      </c>
    </row>
    <row r="6989" spans="1:5" hidden="1" x14ac:dyDescent="0.15">
      <c r="A6989" s="1" t="s">
        <v>80</v>
      </c>
      <c r="B6989" s="2">
        <v>183036</v>
      </c>
      <c r="C6989" s="3">
        <v>9.8000000000000004E-2</v>
      </c>
      <c r="D6989" s="4" t="s">
        <v>685</v>
      </c>
      <c r="E6989" s="4" t="s">
        <v>168</v>
      </c>
    </row>
    <row r="6990" spans="1:5" ht="26" hidden="1" x14ac:dyDescent="0.15">
      <c r="A6990" s="1" t="s">
        <v>81</v>
      </c>
      <c r="B6990" s="2">
        <v>296951</v>
      </c>
      <c r="C6990" s="3">
        <v>0.16</v>
      </c>
      <c r="D6990" s="4" t="s">
        <v>685</v>
      </c>
      <c r="E6990" s="4" t="s">
        <v>168</v>
      </c>
    </row>
    <row r="6991" spans="1:5" hidden="1" x14ac:dyDescent="0.15">
      <c r="A6991" s="1" t="s">
        <v>82</v>
      </c>
      <c r="B6991" s="2">
        <v>215718</v>
      </c>
      <c r="C6991" s="3">
        <v>0.11599999999999999</v>
      </c>
      <c r="D6991" s="4" t="s">
        <v>685</v>
      </c>
      <c r="E6991" s="4" t="s">
        <v>168</v>
      </c>
    </row>
    <row r="6992" spans="1:5" hidden="1" x14ac:dyDescent="0.15">
      <c r="A6992" s="4"/>
      <c r="B6992" s="4"/>
      <c r="C6992" s="4"/>
      <c r="D6992" s="4" t="s">
        <v>685</v>
      </c>
      <c r="E6992" s="4" t="s">
        <v>168</v>
      </c>
    </row>
    <row r="6993" spans="1:5" hidden="1" x14ac:dyDescent="0.15">
      <c r="A6993" s="5"/>
      <c r="B6993" s="5"/>
      <c r="C6993" s="5"/>
      <c r="D6993" s="4" t="s">
        <v>685</v>
      </c>
      <c r="E6993" s="4" t="s">
        <v>168</v>
      </c>
    </row>
    <row r="6994" spans="1:5" ht="39" hidden="1" x14ac:dyDescent="0.15">
      <c r="A6994" s="1" t="s">
        <v>677</v>
      </c>
      <c r="B6994" s="2">
        <v>856438</v>
      </c>
      <c r="C6994" s="3">
        <v>0.46</v>
      </c>
      <c r="D6994" s="4" t="s">
        <v>685</v>
      </c>
      <c r="E6994" s="4" t="s">
        <v>168</v>
      </c>
    </row>
    <row r="6995" spans="1:5" ht="26" hidden="1" x14ac:dyDescent="0.15">
      <c r="A6995" s="1" t="s">
        <v>678</v>
      </c>
      <c r="B6995" s="2">
        <v>1234452</v>
      </c>
      <c r="C6995" s="3">
        <v>0.66400000000000003</v>
      </c>
      <c r="D6995" s="4" t="s">
        <v>685</v>
      </c>
      <c r="E6995" s="4" t="s">
        <v>168</v>
      </c>
    </row>
    <row r="6996" spans="1:5" ht="26" hidden="1" x14ac:dyDescent="0.15">
      <c r="A6996" s="1" t="s">
        <v>679</v>
      </c>
      <c r="B6996" s="2">
        <v>101802</v>
      </c>
      <c r="C6996" s="3">
        <v>5.5E-2</v>
      </c>
      <c r="D6996" s="4" t="s">
        <v>685</v>
      </c>
      <c r="E6996" s="4" t="s">
        <v>168</v>
      </c>
    </row>
    <row r="6997" spans="1:5" ht="39" hidden="1" x14ac:dyDescent="0.15">
      <c r="A6997" s="1" t="s">
        <v>680</v>
      </c>
      <c r="B6997" s="2">
        <v>249591</v>
      </c>
      <c r="C6997" s="3">
        <v>0.13400000000000001</v>
      </c>
      <c r="D6997" s="4" t="s">
        <v>685</v>
      </c>
      <c r="E6997" s="4" t="s">
        <v>168</v>
      </c>
    </row>
    <row r="6998" spans="1:5" ht="26" hidden="1" x14ac:dyDescent="0.15">
      <c r="A6998" s="1" t="s">
        <v>681</v>
      </c>
      <c r="B6998" s="2">
        <v>154228</v>
      </c>
      <c r="C6998" s="3">
        <v>8.3000000000000004E-2</v>
      </c>
      <c r="D6998" s="4" t="s">
        <v>685</v>
      </c>
      <c r="E6998" s="4" t="s">
        <v>168</v>
      </c>
    </row>
    <row r="6999" spans="1:5" ht="26" hidden="1" x14ac:dyDescent="0.15">
      <c r="A6999" s="1" t="s">
        <v>682</v>
      </c>
      <c r="B6999" s="2">
        <v>196239</v>
      </c>
      <c r="C6999" s="3">
        <v>0.105</v>
      </c>
      <c r="D6999" s="4" t="s">
        <v>685</v>
      </c>
      <c r="E6999" s="4" t="s">
        <v>168</v>
      </c>
    </row>
    <row r="7000" spans="1:5" hidden="1" x14ac:dyDescent="0.15">
      <c r="A7000" s="4"/>
      <c r="B7000" s="4"/>
      <c r="C7000" s="4"/>
      <c r="D7000" s="4" t="s">
        <v>685</v>
      </c>
      <c r="E7000" s="4" t="s">
        <v>168</v>
      </c>
    </row>
    <row r="7001" spans="1:5" hidden="1" x14ac:dyDescent="0.15">
      <c r="A7001" s="5"/>
      <c r="B7001" s="5"/>
      <c r="C7001" s="5"/>
      <c r="D7001" s="4" t="s">
        <v>685</v>
      </c>
      <c r="E7001" s="4" t="s">
        <v>168</v>
      </c>
    </row>
    <row r="7002" spans="1:5" ht="26" hidden="1" x14ac:dyDescent="0.15">
      <c r="A7002" s="1" t="s">
        <v>683</v>
      </c>
      <c r="B7002" s="2">
        <v>359262</v>
      </c>
      <c r="C7002" s="3">
        <v>0.193</v>
      </c>
      <c r="D7002" s="4" t="s">
        <v>685</v>
      </c>
      <c r="E7002" s="4" t="s">
        <v>168</v>
      </c>
    </row>
    <row r="7003" spans="1:5" hidden="1" x14ac:dyDescent="0.15">
      <c r="A7003" s="4"/>
      <c r="B7003" s="4"/>
      <c r="C7003" s="4"/>
      <c r="D7003" s="4" t="s">
        <v>685</v>
      </c>
      <c r="E7003" s="4" t="s">
        <v>168</v>
      </c>
    </row>
    <row r="7004" spans="1:5" hidden="1" x14ac:dyDescent="0.15">
      <c r="A7004" s="5"/>
      <c r="B7004" s="5"/>
      <c r="C7004" s="5"/>
      <c r="D7004" s="4" t="s">
        <v>685</v>
      </c>
      <c r="E7004" s="4" t="s">
        <v>168</v>
      </c>
    </row>
    <row r="7005" spans="1:5" hidden="1" x14ac:dyDescent="0.15">
      <c r="A7005" s="1" t="s">
        <v>478</v>
      </c>
      <c r="B7005" s="2">
        <v>458296</v>
      </c>
      <c r="C7005" s="3">
        <v>0.24600000000000002</v>
      </c>
      <c r="D7005" s="4" t="s">
        <v>685</v>
      </c>
      <c r="E7005" s="4" t="s">
        <v>168</v>
      </c>
    </row>
    <row r="7006" spans="1:5" ht="26" hidden="1" x14ac:dyDescent="0.15">
      <c r="A7006" s="1" t="s">
        <v>169</v>
      </c>
      <c r="B7006" s="2">
        <v>397769</v>
      </c>
      <c r="C7006" s="3">
        <v>0.214</v>
      </c>
      <c r="D7006" s="4" t="s">
        <v>685</v>
      </c>
      <c r="E7006" s="4" t="s">
        <v>168</v>
      </c>
    </row>
    <row r="7007" spans="1:5" hidden="1" x14ac:dyDescent="0.15">
      <c r="A7007" s="4"/>
      <c r="B7007" s="4"/>
      <c r="C7007" s="4"/>
      <c r="D7007" s="4" t="s">
        <v>685</v>
      </c>
      <c r="E7007" s="4" t="s">
        <v>168</v>
      </c>
    </row>
    <row r="7008" spans="1:5" hidden="1" x14ac:dyDescent="0.15">
      <c r="A7008" s="5"/>
      <c r="B7008" s="5"/>
      <c r="C7008" s="5"/>
      <c r="D7008" s="4" t="s">
        <v>685</v>
      </c>
      <c r="E7008" s="4" t="s">
        <v>168</v>
      </c>
    </row>
    <row r="7009" spans="1:5" hidden="1" x14ac:dyDescent="0.15">
      <c r="A7009" s="1" t="s">
        <v>684</v>
      </c>
      <c r="B7009" s="2">
        <v>161587</v>
      </c>
      <c r="C7009" s="3">
        <v>8.6999999999999994E-2</v>
      </c>
      <c r="D7009" s="4" t="s">
        <v>685</v>
      </c>
      <c r="E7009" s="4" t="s">
        <v>168</v>
      </c>
    </row>
    <row r="7010" spans="1:5" hidden="1" x14ac:dyDescent="0.15">
      <c r="A7010" s="4"/>
      <c r="B7010" s="4"/>
      <c r="C7010" s="4"/>
      <c r="D7010" s="4" t="s">
        <v>685</v>
      </c>
      <c r="E7010" s="4" t="s">
        <v>168</v>
      </c>
    </row>
    <row r="7011" spans="1:5" hidden="1" x14ac:dyDescent="0.15">
      <c r="A7011" s="5"/>
      <c r="B7011" s="5"/>
      <c r="C7011" s="5"/>
      <c r="D7011" s="4" t="s">
        <v>685</v>
      </c>
      <c r="E7011" s="4" t="s">
        <v>168</v>
      </c>
    </row>
    <row r="7012" spans="1:5" ht="26" hidden="1" x14ac:dyDescent="0.15">
      <c r="A7012" s="1" t="s">
        <v>666</v>
      </c>
      <c r="B7012" s="2">
        <v>331892</v>
      </c>
      <c r="C7012" s="3">
        <v>0.17800000000000002</v>
      </c>
      <c r="D7012" s="4" t="s">
        <v>685</v>
      </c>
      <c r="E7012" s="4" t="s">
        <v>168</v>
      </c>
    </row>
    <row r="7013" spans="1:5" hidden="1" x14ac:dyDescent="0.15">
      <c r="A7013" s="4"/>
      <c r="B7013" s="4"/>
      <c r="C7013" s="4"/>
      <c r="D7013" s="4" t="s">
        <v>685</v>
      </c>
      <c r="E7013" s="4" t="s">
        <v>168</v>
      </c>
    </row>
    <row r="7014" spans="1:5" hidden="1" x14ac:dyDescent="0.15">
      <c r="A7014" s="5"/>
      <c r="B7014" s="5"/>
      <c r="C7014" s="5"/>
      <c r="D7014" s="4" t="s">
        <v>685</v>
      </c>
      <c r="E7014" s="4" t="s">
        <v>168</v>
      </c>
    </row>
    <row r="7015" spans="1:5" ht="26" hidden="1" x14ac:dyDescent="0.15">
      <c r="A7015" s="1" t="s">
        <v>480</v>
      </c>
      <c r="B7015" s="2">
        <v>545183</v>
      </c>
      <c r="C7015" s="3">
        <v>0.29299999999999998</v>
      </c>
      <c r="D7015" s="4" t="s">
        <v>685</v>
      </c>
      <c r="E7015" s="4" t="s">
        <v>168</v>
      </c>
    </row>
    <row r="7016" spans="1:5" ht="26" hidden="1" x14ac:dyDescent="0.15">
      <c r="A7016" s="1" t="s">
        <v>172</v>
      </c>
      <c r="B7016" s="2">
        <v>703269</v>
      </c>
      <c r="C7016" s="3">
        <v>0.37799999999999995</v>
      </c>
      <c r="D7016" s="4" t="s">
        <v>685</v>
      </c>
      <c r="E7016" s="4" t="s">
        <v>168</v>
      </c>
    </row>
    <row r="7017" spans="1:5" hidden="1" x14ac:dyDescent="0.15">
      <c r="A7017" s="4"/>
      <c r="B7017" s="4"/>
      <c r="C7017" s="4"/>
      <c r="D7017" s="4" t="s">
        <v>685</v>
      </c>
      <c r="E7017" s="4" t="s">
        <v>168</v>
      </c>
    </row>
    <row r="7018" spans="1:5" hidden="1" x14ac:dyDescent="0.15">
      <c r="A7018" s="5"/>
      <c r="B7018" s="5"/>
      <c r="C7018" s="5"/>
      <c r="D7018" s="4" t="s">
        <v>685</v>
      </c>
      <c r="E7018" s="4" t="s">
        <v>168</v>
      </c>
    </row>
    <row r="7019" spans="1:5" ht="26" hidden="1" x14ac:dyDescent="0.15">
      <c r="A7019" s="1" t="s">
        <v>174</v>
      </c>
      <c r="B7019" s="2">
        <v>410868</v>
      </c>
      <c r="C7019" s="3">
        <v>0.221</v>
      </c>
      <c r="D7019" s="4" t="s">
        <v>685</v>
      </c>
      <c r="E7019" s="4" t="s">
        <v>168</v>
      </c>
    </row>
    <row r="7020" spans="1:5" hidden="1" x14ac:dyDescent="0.15">
      <c r="A7020" s="1" t="s">
        <v>0</v>
      </c>
      <c r="B7020" s="2">
        <v>708396</v>
      </c>
      <c r="C7020" s="3">
        <v>1</v>
      </c>
      <c r="D7020" s="4" t="s">
        <v>686</v>
      </c>
      <c r="E7020" s="4" t="s">
        <v>644</v>
      </c>
    </row>
    <row r="7021" spans="1:5" ht="26" hidden="1" x14ac:dyDescent="0.15">
      <c r="A7021" s="1" t="s">
        <v>3</v>
      </c>
      <c r="B7021" s="2">
        <v>10050</v>
      </c>
      <c r="C7021" s="3">
        <v>1.3999999999999999E-2</v>
      </c>
      <c r="D7021" s="4" t="s">
        <v>686</v>
      </c>
      <c r="E7021" s="4" t="s">
        <v>644</v>
      </c>
    </row>
    <row r="7022" spans="1:5" hidden="1" x14ac:dyDescent="0.15">
      <c r="A7022" s="1" t="s">
        <v>4</v>
      </c>
      <c r="B7022" s="2">
        <v>5754</v>
      </c>
      <c r="C7022" s="3">
        <v>8.0000000000000002E-3</v>
      </c>
      <c r="D7022" s="4" t="s">
        <v>686</v>
      </c>
      <c r="E7022" s="4" t="s">
        <v>644</v>
      </c>
    </row>
    <row r="7023" spans="1:5" ht="26" hidden="1" x14ac:dyDescent="0.15">
      <c r="A7023" s="1" t="s">
        <v>5</v>
      </c>
      <c r="B7023" s="2">
        <v>13179</v>
      </c>
      <c r="C7023" s="3">
        <v>1.9E-2</v>
      </c>
      <c r="D7023" s="4" t="s">
        <v>686</v>
      </c>
      <c r="E7023" s="4" t="s">
        <v>644</v>
      </c>
    </row>
    <row r="7024" spans="1:5" ht="26" hidden="1" x14ac:dyDescent="0.15">
      <c r="A7024" s="1" t="s">
        <v>6</v>
      </c>
      <c r="B7024" s="2">
        <v>30340</v>
      </c>
      <c r="C7024" s="3">
        <v>4.2999999999999997E-2</v>
      </c>
      <c r="D7024" s="4" t="s">
        <v>686</v>
      </c>
      <c r="E7024" s="4" t="s">
        <v>644</v>
      </c>
    </row>
    <row r="7025" spans="1:5" ht="26" hidden="1" x14ac:dyDescent="0.15">
      <c r="A7025" s="1" t="s">
        <v>7</v>
      </c>
      <c r="B7025" s="2">
        <v>98336</v>
      </c>
      <c r="C7025" s="3">
        <v>0.13900000000000001</v>
      </c>
      <c r="D7025" s="4" t="s">
        <v>686</v>
      </c>
      <c r="E7025" s="4" t="s">
        <v>644</v>
      </c>
    </row>
    <row r="7026" spans="1:5" ht="26" hidden="1" x14ac:dyDescent="0.15">
      <c r="A7026" s="1" t="s">
        <v>8</v>
      </c>
      <c r="B7026" s="2">
        <v>18208</v>
      </c>
      <c r="C7026" s="3">
        <v>2.6000000000000002E-2</v>
      </c>
      <c r="D7026" s="4" t="s">
        <v>686</v>
      </c>
      <c r="E7026" s="4" t="s">
        <v>644</v>
      </c>
    </row>
    <row r="7027" spans="1:5" ht="26" hidden="1" x14ac:dyDescent="0.15">
      <c r="A7027" s="1" t="s">
        <v>9</v>
      </c>
      <c r="B7027" s="2">
        <v>31969</v>
      </c>
      <c r="C7027" s="3">
        <v>4.4999999999999998E-2</v>
      </c>
      <c r="D7027" s="4" t="s">
        <v>686</v>
      </c>
      <c r="E7027" s="4" t="s">
        <v>644</v>
      </c>
    </row>
    <row r="7028" spans="1:5" ht="26" hidden="1" x14ac:dyDescent="0.15">
      <c r="A7028" s="1" t="s">
        <v>10</v>
      </c>
      <c r="B7028" s="2">
        <v>24033</v>
      </c>
      <c r="C7028" s="3">
        <v>3.4000000000000002E-2</v>
      </c>
      <c r="D7028" s="4" t="s">
        <v>686</v>
      </c>
      <c r="E7028" s="4" t="s">
        <v>644</v>
      </c>
    </row>
    <row r="7029" spans="1:5" ht="26" hidden="1" x14ac:dyDescent="0.15">
      <c r="A7029" s="1" t="s">
        <v>11</v>
      </c>
      <c r="B7029" s="2">
        <v>38223</v>
      </c>
      <c r="C7029" s="3">
        <v>5.4000000000000006E-2</v>
      </c>
      <c r="D7029" s="4" t="s">
        <v>686</v>
      </c>
      <c r="E7029" s="4" t="s">
        <v>644</v>
      </c>
    </row>
    <row r="7030" spans="1:5" ht="26" hidden="1" x14ac:dyDescent="0.15">
      <c r="A7030" s="1" t="s">
        <v>12</v>
      </c>
      <c r="B7030" s="2">
        <v>15249</v>
      </c>
      <c r="C7030" s="3">
        <v>2.2000000000000002E-2</v>
      </c>
      <c r="D7030" s="4" t="s">
        <v>686</v>
      </c>
      <c r="E7030" s="4" t="s">
        <v>644</v>
      </c>
    </row>
    <row r="7031" spans="1:5" ht="26" hidden="1" x14ac:dyDescent="0.15">
      <c r="A7031" s="1" t="s">
        <v>13</v>
      </c>
      <c r="B7031" s="2">
        <v>5952</v>
      </c>
      <c r="C7031" s="3">
        <v>8.0000000000000002E-3</v>
      </c>
      <c r="D7031" s="4" t="s">
        <v>686</v>
      </c>
      <c r="E7031" s="4" t="s">
        <v>644</v>
      </c>
    </row>
    <row r="7032" spans="1:5" hidden="1" x14ac:dyDescent="0.15">
      <c r="A7032" s="1" t="s">
        <v>14</v>
      </c>
      <c r="B7032" s="2">
        <v>38218</v>
      </c>
      <c r="C7032" s="3">
        <v>5.4000000000000006E-2</v>
      </c>
      <c r="D7032" s="4" t="s">
        <v>686</v>
      </c>
      <c r="E7032" s="4" t="s">
        <v>644</v>
      </c>
    </row>
    <row r="7033" spans="1:5" ht="26" hidden="1" x14ac:dyDescent="0.15">
      <c r="A7033" s="1" t="s">
        <v>15</v>
      </c>
      <c r="B7033" s="2">
        <v>27086</v>
      </c>
      <c r="C7033" s="3">
        <v>3.7999999999999999E-2</v>
      </c>
      <c r="D7033" s="4" t="s">
        <v>686</v>
      </c>
      <c r="E7033" s="4" t="s">
        <v>644</v>
      </c>
    </row>
    <row r="7034" spans="1:5" ht="26" hidden="1" x14ac:dyDescent="0.15">
      <c r="A7034" s="1" t="s">
        <v>16</v>
      </c>
      <c r="B7034" s="2">
        <v>23556</v>
      </c>
      <c r="C7034" s="3">
        <v>3.3000000000000002E-2</v>
      </c>
      <c r="D7034" s="4" t="s">
        <v>686</v>
      </c>
      <c r="E7034" s="4" t="s">
        <v>644</v>
      </c>
    </row>
    <row r="7035" spans="1:5" ht="26" hidden="1" x14ac:dyDescent="0.15">
      <c r="A7035" s="1" t="s">
        <v>17</v>
      </c>
      <c r="B7035" s="2">
        <v>12516</v>
      </c>
      <c r="C7035" s="3">
        <v>1.8000000000000002E-2</v>
      </c>
      <c r="D7035" s="4" t="s">
        <v>686</v>
      </c>
      <c r="E7035" s="4" t="s">
        <v>644</v>
      </c>
    </row>
    <row r="7036" spans="1:5" hidden="1" x14ac:dyDescent="0.15">
      <c r="A7036" s="1" t="s">
        <v>18</v>
      </c>
      <c r="B7036" s="2">
        <v>10320</v>
      </c>
      <c r="C7036" s="3">
        <v>1.4999999999999999E-2</v>
      </c>
      <c r="D7036" s="4" t="s">
        <v>686</v>
      </c>
      <c r="E7036" s="4" t="s">
        <v>644</v>
      </c>
    </row>
    <row r="7037" spans="1:5" hidden="1" x14ac:dyDescent="0.15">
      <c r="A7037" s="1" t="s">
        <v>19</v>
      </c>
      <c r="B7037" s="2">
        <v>79266</v>
      </c>
      <c r="C7037" s="3">
        <v>0.11199999999999999</v>
      </c>
      <c r="D7037" s="4" t="s">
        <v>686</v>
      </c>
      <c r="E7037" s="4" t="s">
        <v>644</v>
      </c>
    </row>
    <row r="7038" spans="1:5" hidden="1" x14ac:dyDescent="0.15">
      <c r="A7038" s="1" t="s">
        <v>20</v>
      </c>
      <c r="B7038" s="2">
        <v>28402</v>
      </c>
      <c r="C7038" s="3">
        <v>0.04</v>
      </c>
      <c r="D7038" s="4" t="s">
        <v>686</v>
      </c>
      <c r="E7038" s="4" t="s">
        <v>644</v>
      </c>
    </row>
    <row r="7039" spans="1:5" ht="26" hidden="1" x14ac:dyDescent="0.15">
      <c r="A7039" s="1" t="s">
        <v>21</v>
      </c>
      <c r="B7039" s="2">
        <v>15390</v>
      </c>
      <c r="C7039" s="3">
        <v>2.2000000000000002E-2</v>
      </c>
      <c r="D7039" s="4" t="s">
        <v>686</v>
      </c>
      <c r="E7039" s="4" t="s">
        <v>644</v>
      </c>
    </row>
    <row r="7040" spans="1:5" ht="26" hidden="1" x14ac:dyDescent="0.15">
      <c r="A7040" s="1" t="s">
        <v>22</v>
      </c>
      <c r="B7040" s="2">
        <v>19726</v>
      </c>
      <c r="C7040" s="3">
        <v>2.7999999999999997E-2</v>
      </c>
      <c r="D7040" s="4" t="s">
        <v>686</v>
      </c>
      <c r="E7040" s="4" t="s">
        <v>644</v>
      </c>
    </row>
    <row r="7041" spans="1:5" ht="26" hidden="1" x14ac:dyDescent="0.15">
      <c r="A7041" s="1" t="s">
        <v>23</v>
      </c>
      <c r="B7041" s="2">
        <v>10763</v>
      </c>
      <c r="C7041" s="3">
        <v>1.4999999999999999E-2</v>
      </c>
      <c r="D7041" s="4" t="s">
        <v>686</v>
      </c>
      <c r="E7041" s="4" t="s">
        <v>644</v>
      </c>
    </row>
    <row r="7042" spans="1:5" ht="26" hidden="1" x14ac:dyDescent="0.15">
      <c r="A7042" s="1" t="s">
        <v>24</v>
      </c>
      <c r="B7042" s="2">
        <v>2858</v>
      </c>
      <c r="C7042" s="3">
        <v>4.0000000000000001E-3</v>
      </c>
      <c r="D7042" s="4" t="s">
        <v>686</v>
      </c>
      <c r="E7042" s="4" t="s">
        <v>644</v>
      </c>
    </row>
    <row r="7043" spans="1:5" ht="26" hidden="1" x14ac:dyDescent="0.15">
      <c r="A7043" s="1" t="s">
        <v>25</v>
      </c>
      <c r="B7043" s="2">
        <v>25947</v>
      </c>
      <c r="C7043" s="3">
        <v>3.7000000000000005E-2</v>
      </c>
      <c r="D7043" s="4" t="s">
        <v>686</v>
      </c>
      <c r="E7043" s="4" t="s">
        <v>644</v>
      </c>
    </row>
    <row r="7044" spans="1:5" hidden="1" x14ac:dyDescent="0.15">
      <c r="A7044" s="1" t="s">
        <v>26</v>
      </c>
      <c r="B7044" s="2">
        <v>10600</v>
      </c>
      <c r="C7044" s="3">
        <v>1.4999999999999999E-2</v>
      </c>
      <c r="D7044" s="4" t="s">
        <v>686</v>
      </c>
      <c r="E7044" s="4" t="s">
        <v>644</v>
      </c>
    </row>
    <row r="7045" spans="1:5" hidden="1" x14ac:dyDescent="0.15">
      <c r="A7045" s="1" t="s">
        <v>27</v>
      </c>
      <c r="B7045" s="2">
        <v>64789</v>
      </c>
      <c r="C7045" s="3">
        <v>9.0999999999999998E-2</v>
      </c>
      <c r="D7045" s="4" t="s">
        <v>686</v>
      </c>
      <c r="E7045" s="4" t="s">
        <v>644</v>
      </c>
    </row>
    <row r="7046" spans="1:5" hidden="1" x14ac:dyDescent="0.15">
      <c r="A7046" s="1" t="s">
        <v>28</v>
      </c>
      <c r="B7046" s="2">
        <v>68306</v>
      </c>
      <c r="C7046" s="3">
        <v>9.6000000000000002E-2</v>
      </c>
      <c r="D7046" s="4" t="s">
        <v>686</v>
      </c>
      <c r="E7046" s="4" t="s">
        <v>644</v>
      </c>
    </row>
    <row r="7047" spans="1:5" hidden="1" x14ac:dyDescent="0.15">
      <c r="A7047" s="1" t="s">
        <v>29</v>
      </c>
      <c r="B7047" s="2">
        <v>267488</v>
      </c>
      <c r="C7047" s="3">
        <v>0.37799999999999995</v>
      </c>
      <c r="D7047" s="4" t="s">
        <v>686</v>
      </c>
      <c r="E7047" s="4" t="s">
        <v>644</v>
      </c>
    </row>
    <row r="7048" spans="1:5" hidden="1" x14ac:dyDescent="0.15">
      <c r="A7048" s="1" t="s">
        <v>30</v>
      </c>
      <c r="B7048" s="2">
        <v>39980</v>
      </c>
      <c r="C7048" s="3">
        <v>5.5999999999999994E-2</v>
      </c>
      <c r="D7048" s="4" t="s">
        <v>686</v>
      </c>
      <c r="E7048" s="4" t="s">
        <v>644</v>
      </c>
    </row>
    <row r="7049" spans="1:5" ht="39" hidden="1" x14ac:dyDescent="0.15">
      <c r="A7049" s="1" t="s">
        <v>31</v>
      </c>
      <c r="B7049" s="2">
        <v>2652</v>
      </c>
      <c r="C7049" s="3">
        <v>4.0000000000000001E-3</v>
      </c>
      <c r="D7049" s="4" t="s">
        <v>686</v>
      </c>
      <c r="E7049" s="4" t="s">
        <v>644</v>
      </c>
    </row>
    <row r="7050" spans="1:5" hidden="1" x14ac:dyDescent="0.15">
      <c r="A7050" s="1" t="s">
        <v>32</v>
      </c>
      <c r="B7050" s="2">
        <v>19007</v>
      </c>
      <c r="C7050" s="3">
        <v>2.7000000000000003E-2</v>
      </c>
      <c r="D7050" s="4" t="s">
        <v>686</v>
      </c>
      <c r="E7050" s="4" t="s">
        <v>644</v>
      </c>
    </row>
    <row r="7051" spans="1:5" hidden="1" x14ac:dyDescent="0.15">
      <c r="A7051" s="1" t="s">
        <v>33</v>
      </c>
      <c r="B7051" s="2">
        <v>195491</v>
      </c>
      <c r="C7051" s="3">
        <v>0.27600000000000002</v>
      </c>
      <c r="D7051" s="4" t="s">
        <v>686</v>
      </c>
      <c r="E7051" s="4" t="s">
        <v>644</v>
      </c>
    </row>
    <row r="7052" spans="1:5" hidden="1" x14ac:dyDescent="0.15">
      <c r="A7052" s="1" t="s">
        <v>34</v>
      </c>
      <c r="B7052" s="2">
        <v>35999</v>
      </c>
      <c r="C7052" s="3">
        <v>5.0999999999999997E-2</v>
      </c>
      <c r="D7052" s="4" t="s">
        <v>686</v>
      </c>
      <c r="E7052" s="4" t="s">
        <v>644</v>
      </c>
    </row>
    <row r="7053" spans="1:5" hidden="1" x14ac:dyDescent="0.15">
      <c r="A7053" s="1" t="s">
        <v>35</v>
      </c>
      <c r="B7053" s="2">
        <v>39741</v>
      </c>
      <c r="C7053" s="3">
        <v>5.5999999999999994E-2</v>
      </c>
      <c r="D7053" s="4" t="s">
        <v>686</v>
      </c>
      <c r="E7053" s="4" t="s">
        <v>644</v>
      </c>
    </row>
    <row r="7054" spans="1:5" ht="26" hidden="1" x14ac:dyDescent="0.15">
      <c r="A7054" s="1" t="s">
        <v>36</v>
      </c>
      <c r="B7054" s="2">
        <v>30347</v>
      </c>
      <c r="C7054" s="3">
        <v>4.2999999999999997E-2</v>
      </c>
      <c r="D7054" s="4" t="s">
        <v>686</v>
      </c>
      <c r="E7054" s="4" t="s">
        <v>644</v>
      </c>
    </row>
    <row r="7055" spans="1:5" hidden="1" x14ac:dyDescent="0.15">
      <c r="A7055" s="1" t="s">
        <v>37</v>
      </c>
      <c r="B7055" s="2">
        <v>21311</v>
      </c>
      <c r="C7055" s="3">
        <v>0.03</v>
      </c>
      <c r="D7055" s="4" t="s">
        <v>686</v>
      </c>
      <c r="E7055" s="4" t="s">
        <v>644</v>
      </c>
    </row>
    <row r="7056" spans="1:5" ht="39" hidden="1" x14ac:dyDescent="0.15">
      <c r="A7056" s="1" t="s">
        <v>38</v>
      </c>
      <c r="B7056" s="2">
        <v>18515</v>
      </c>
      <c r="C7056" s="3">
        <v>2.6000000000000002E-2</v>
      </c>
      <c r="D7056" s="4" t="s">
        <v>686</v>
      </c>
      <c r="E7056" s="4" t="s">
        <v>644</v>
      </c>
    </row>
    <row r="7057" spans="1:5" hidden="1" x14ac:dyDescent="0.15">
      <c r="A7057" s="1" t="s">
        <v>39</v>
      </c>
      <c r="B7057" s="2">
        <v>45566</v>
      </c>
      <c r="C7057" s="3">
        <v>6.4000000000000001E-2</v>
      </c>
      <c r="D7057" s="4" t="s">
        <v>686</v>
      </c>
      <c r="E7057" s="4" t="s">
        <v>644</v>
      </c>
    </row>
    <row r="7058" spans="1:5" hidden="1" x14ac:dyDescent="0.15">
      <c r="A7058" s="1" t="s">
        <v>40</v>
      </c>
      <c r="B7058" s="2">
        <v>7650</v>
      </c>
      <c r="C7058" s="3">
        <v>1.1000000000000001E-2</v>
      </c>
      <c r="D7058" s="4" t="s">
        <v>686</v>
      </c>
      <c r="E7058" s="4" t="s">
        <v>644</v>
      </c>
    </row>
    <row r="7059" spans="1:5" hidden="1" x14ac:dyDescent="0.15">
      <c r="A7059" s="1" t="s">
        <v>41</v>
      </c>
      <c r="B7059" s="2">
        <v>15337</v>
      </c>
      <c r="C7059" s="3">
        <v>2.2000000000000002E-2</v>
      </c>
      <c r="D7059" s="4" t="s">
        <v>686</v>
      </c>
      <c r="E7059" s="4" t="s">
        <v>644</v>
      </c>
    </row>
    <row r="7060" spans="1:5" hidden="1" x14ac:dyDescent="0.15">
      <c r="A7060" s="1" t="s">
        <v>42</v>
      </c>
      <c r="B7060" s="2">
        <v>25871</v>
      </c>
      <c r="C7060" s="3">
        <v>3.7000000000000005E-2</v>
      </c>
      <c r="D7060" s="4" t="s">
        <v>686</v>
      </c>
      <c r="E7060" s="4" t="s">
        <v>644</v>
      </c>
    </row>
    <row r="7061" spans="1:5" hidden="1" x14ac:dyDescent="0.15">
      <c r="A7061" s="1" t="s">
        <v>43</v>
      </c>
      <c r="B7061" s="2">
        <v>85924</v>
      </c>
      <c r="C7061" s="3">
        <v>0.121</v>
      </c>
      <c r="D7061" s="4" t="s">
        <v>686</v>
      </c>
      <c r="E7061" s="4" t="s">
        <v>644</v>
      </c>
    </row>
    <row r="7062" spans="1:5" ht="26" hidden="1" x14ac:dyDescent="0.15">
      <c r="A7062" s="1" t="s">
        <v>44</v>
      </c>
      <c r="B7062" s="2">
        <v>83962</v>
      </c>
      <c r="C7062" s="3">
        <v>0.11900000000000001</v>
      </c>
      <c r="D7062" s="4" t="s">
        <v>686</v>
      </c>
      <c r="E7062" s="4" t="s">
        <v>644</v>
      </c>
    </row>
    <row r="7063" spans="1:5" hidden="1" x14ac:dyDescent="0.15">
      <c r="A7063" s="1" t="s">
        <v>45</v>
      </c>
      <c r="B7063" s="2">
        <v>84456</v>
      </c>
      <c r="C7063" s="3">
        <v>0.11900000000000001</v>
      </c>
      <c r="D7063" s="4" t="s">
        <v>686</v>
      </c>
      <c r="E7063" s="4" t="s">
        <v>644</v>
      </c>
    </row>
    <row r="7064" spans="1:5" ht="26" hidden="1" x14ac:dyDescent="0.15">
      <c r="A7064" s="1" t="s">
        <v>46</v>
      </c>
      <c r="B7064" s="2">
        <v>159487</v>
      </c>
      <c r="C7064" s="3">
        <v>0.22500000000000001</v>
      </c>
      <c r="D7064" s="4" t="s">
        <v>686</v>
      </c>
      <c r="E7064" s="4" t="s">
        <v>644</v>
      </c>
    </row>
    <row r="7065" spans="1:5" hidden="1" x14ac:dyDescent="0.15">
      <c r="A7065" s="1" t="s">
        <v>47</v>
      </c>
      <c r="B7065" s="2">
        <v>313055</v>
      </c>
      <c r="C7065" s="3">
        <v>0.442</v>
      </c>
      <c r="D7065" s="4" t="s">
        <v>686</v>
      </c>
      <c r="E7065" s="4" t="s">
        <v>644</v>
      </c>
    </row>
    <row r="7066" spans="1:5" hidden="1" x14ac:dyDescent="0.15">
      <c r="A7066" s="1" t="s">
        <v>48</v>
      </c>
      <c r="B7066" s="2">
        <v>108806</v>
      </c>
      <c r="C7066" s="3">
        <v>0.154</v>
      </c>
      <c r="D7066" s="4" t="s">
        <v>686</v>
      </c>
      <c r="E7066" s="4" t="s">
        <v>644</v>
      </c>
    </row>
    <row r="7067" spans="1:5" hidden="1" x14ac:dyDescent="0.15">
      <c r="A7067" s="1" t="s">
        <v>49</v>
      </c>
      <c r="B7067" s="2">
        <v>94738</v>
      </c>
      <c r="C7067" s="3">
        <v>0.13400000000000001</v>
      </c>
      <c r="D7067" s="4" t="s">
        <v>686</v>
      </c>
      <c r="E7067" s="4" t="s">
        <v>644</v>
      </c>
    </row>
    <row r="7068" spans="1:5" ht="26" hidden="1" x14ac:dyDescent="0.15">
      <c r="A7068" s="1" t="s">
        <v>50</v>
      </c>
      <c r="B7068" s="2">
        <v>137423</v>
      </c>
      <c r="C7068" s="3">
        <v>0.19399999999999998</v>
      </c>
      <c r="D7068" s="4" t="s">
        <v>686</v>
      </c>
      <c r="E7068" s="4" t="s">
        <v>644</v>
      </c>
    </row>
    <row r="7069" spans="1:5" hidden="1" x14ac:dyDescent="0.15">
      <c r="A7069" s="1" t="s">
        <v>51</v>
      </c>
      <c r="B7069" s="2">
        <v>219194</v>
      </c>
      <c r="C7069" s="3">
        <v>0.309</v>
      </c>
      <c r="D7069" s="4" t="s">
        <v>686</v>
      </c>
      <c r="E7069" s="4" t="s">
        <v>644</v>
      </c>
    </row>
    <row r="7070" spans="1:5" hidden="1" x14ac:dyDescent="0.15">
      <c r="A7070" s="1" t="s">
        <v>52</v>
      </c>
      <c r="B7070" s="2">
        <v>97191</v>
      </c>
      <c r="C7070" s="3">
        <v>0.13699999999999998</v>
      </c>
      <c r="D7070" s="4" t="s">
        <v>686</v>
      </c>
      <c r="E7070" s="4" t="s">
        <v>644</v>
      </c>
    </row>
    <row r="7071" spans="1:5" ht="26" hidden="1" x14ac:dyDescent="0.15">
      <c r="A7071" s="1" t="s">
        <v>53</v>
      </c>
      <c r="B7071" s="2">
        <v>74896</v>
      </c>
      <c r="C7071" s="3">
        <v>0.106</v>
      </c>
      <c r="D7071" s="4" t="s">
        <v>686</v>
      </c>
      <c r="E7071" s="4" t="s">
        <v>644</v>
      </c>
    </row>
    <row r="7072" spans="1:5" hidden="1" x14ac:dyDescent="0.15">
      <c r="A7072" s="1" t="s">
        <v>54</v>
      </c>
      <c r="B7072" s="2">
        <v>252300</v>
      </c>
      <c r="C7072" s="3">
        <v>0.35600000000000004</v>
      </c>
      <c r="D7072" s="4" t="s">
        <v>686</v>
      </c>
      <c r="E7072" s="4" t="s">
        <v>644</v>
      </c>
    </row>
    <row r="7073" spans="1:5" ht="26" hidden="1" x14ac:dyDescent="0.15">
      <c r="A7073" s="1" t="s">
        <v>55</v>
      </c>
      <c r="B7073" s="2">
        <v>178034</v>
      </c>
      <c r="C7073" s="3">
        <v>0.251</v>
      </c>
      <c r="D7073" s="4" t="s">
        <v>686</v>
      </c>
      <c r="E7073" s="4" t="s">
        <v>644</v>
      </c>
    </row>
    <row r="7074" spans="1:5" hidden="1" x14ac:dyDescent="0.15">
      <c r="A7074" s="1" t="s">
        <v>56</v>
      </c>
      <c r="B7074" s="2">
        <v>147204</v>
      </c>
      <c r="C7074" s="3">
        <v>0.20800000000000002</v>
      </c>
      <c r="D7074" s="4" t="s">
        <v>686</v>
      </c>
      <c r="E7074" s="4" t="s">
        <v>644</v>
      </c>
    </row>
    <row r="7075" spans="1:5" hidden="1" x14ac:dyDescent="0.15">
      <c r="A7075" s="1" t="s">
        <v>57</v>
      </c>
      <c r="B7075" s="2">
        <v>115024</v>
      </c>
      <c r="C7075" s="3">
        <v>0.16200000000000001</v>
      </c>
      <c r="D7075" s="4" t="s">
        <v>686</v>
      </c>
      <c r="E7075" s="4" t="s">
        <v>644</v>
      </c>
    </row>
    <row r="7076" spans="1:5" hidden="1" x14ac:dyDescent="0.15">
      <c r="A7076" s="1" t="s">
        <v>58</v>
      </c>
      <c r="B7076" s="2">
        <v>73569</v>
      </c>
      <c r="C7076" s="3">
        <v>0.10400000000000001</v>
      </c>
      <c r="D7076" s="4" t="s">
        <v>686</v>
      </c>
      <c r="E7076" s="4" t="s">
        <v>644</v>
      </c>
    </row>
    <row r="7077" spans="1:5" hidden="1" x14ac:dyDescent="0.15">
      <c r="A7077" s="1" t="s">
        <v>59</v>
      </c>
      <c r="B7077" s="2">
        <v>318953</v>
      </c>
      <c r="C7077" s="3">
        <v>0.45</v>
      </c>
      <c r="D7077" s="4" t="s">
        <v>686</v>
      </c>
      <c r="E7077" s="4" t="s">
        <v>644</v>
      </c>
    </row>
    <row r="7078" spans="1:5" hidden="1" x14ac:dyDescent="0.15">
      <c r="A7078" s="1" t="s">
        <v>60</v>
      </c>
      <c r="B7078" s="2">
        <v>116169</v>
      </c>
      <c r="C7078" s="3">
        <v>0.16399999999999998</v>
      </c>
      <c r="D7078" s="4" t="s">
        <v>686</v>
      </c>
      <c r="E7078" s="4" t="s">
        <v>644</v>
      </c>
    </row>
    <row r="7079" spans="1:5" ht="26" hidden="1" x14ac:dyDescent="0.15">
      <c r="A7079" s="1" t="s">
        <v>61</v>
      </c>
      <c r="B7079" s="2">
        <v>89503</v>
      </c>
      <c r="C7079" s="3">
        <v>0.126</v>
      </c>
      <c r="D7079" s="4" t="s">
        <v>686</v>
      </c>
      <c r="E7079" s="4" t="s">
        <v>644</v>
      </c>
    </row>
    <row r="7080" spans="1:5" hidden="1" x14ac:dyDescent="0.15">
      <c r="A7080" s="1" t="s">
        <v>62</v>
      </c>
      <c r="B7080" s="2">
        <v>71113</v>
      </c>
      <c r="C7080" s="3">
        <v>0.1</v>
      </c>
      <c r="D7080" s="4" t="s">
        <v>686</v>
      </c>
      <c r="E7080" s="4" t="s">
        <v>644</v>
      </c>
    </row>
    <row r="7081" spans="1:5" ht="26" hidden="1" x14ac:dyDescent="0.15">
      <c r="A7081" s="1" t="s">
        <v>63</v>
      </c>
      <c r="B7081" s="2">
        <v>141491</v>
      </c>
      <c r="C7081" s="3">
        <v>0.2</v>
      </c>
      <c r="D7081" s="4" t="s">
        <v>686</v>
      </c>
      <c r="E7081" s="4" t="s">
        <v>644</v>
      </c>
    </row>
    <row r="7082" spans="1:5" ht="26" hidden="1" x14ac:dyDescent="0.15">
      <c r="A7082" s="1" t="s">
        <v>64</v>
      </c>
      <c r="B7082" s="2">
        <v>58435</v>
      </c>
      <c r="C7082" s="3">
        <v>8.199999999999999E-2</v>
      </c>
      <c r="D7082" s="4" t="s">
        <v>686</v>
      </c>
      <c r="E7082" s="4" t="s">
        <v>644</v>
      </c>
    </row>
    <row r="7083" spans="1:5" hidden="1" x14ac:dyDescent="0.15">
      <c r="A7083" s="1" t="s">
        <v>65</v>
      </c>
      <c r="B7083" s="2">
        <v>127860</v>
      </c>
      <c r="C7083" s="3">
        <v>0.18</v>
      </c>
      <c r="D7083" s="4" t="s">
        <v>686</v>
      </c>
      <c r="E7083" s="4" t="s">
        <v>644</v>
      </c>
    </row>
    <row r="7084" spans="1:5" hidden="1" x14ac:dyDescent="0.15">
      <c r="A7084" s="1" t="s">
        <v>66</v>
      </c>
      <c r="B7084" s="2">
        <v>75953</v>
      </c>
      <c r="C7084" s="3">
        <v>0.107</v>
      </c>
      <c r="D7084" s="4" t="s">
        <v>686</v>
      </c>
      <c r="E7084" s="4" t="s">
        <v>644</v>
      </c>
    </row>
    <row r="7085" spans="1:5" hidden="1" x14ac:dyDescent="0.15">
      <c r="A7085" s="1" t="s">
        <v>67</v>
      </c>
      <c r="B7085" s="2">
        <v>179486</v>
      </c>
      <c r="C7085" s="3">
        <v>0.253</v>
      </c>
      <c r="D7085" s="4" t="s">
        <v>686</v>
      </c>
      <c r="E7085" s="4" t="s">
        <v>644</v>
      </c>
    </row>
    <row r="7086" spans="1:5" hidden="1" x14ac:dyDescent="0.15">
      <c r="A7086" s="1" t="s">
        <v>68</v>
      </c>
      <c r="B7086" s="2">
        <v>236860</v>
      </c>
      <c r="C7086" s="3">
        <v>0.33399999999999996</v>
      </c>
      <c r="D7086" s="4" t="s">
        <v>686</v>
      </c>
      <c r="E7086" s="4" t="s">
        <v>644</v>
      </c>
    </row>
    <row r="7087" spans="1:5" hidden="1" x14ac:dyDescent="0.15">
      <c r="A7087" s="1" t="s">
        <v>69</v>
      </c>
      <c r="B7087" s="2">
        <v>530124</v>
      </c>
      <c r="C7087" s="3">
        <v>0.748</v>
      </c>
      <c r="D7087" s="4" t="s">
        <v>686</v>
      </c>
      <c r="E7087" s="4" t="s">
        <v>644</v>
      </c>
    </row>
    <row r="7088" spans="1:5" hidden="1" x14ac:dyDescent="0.15">
      <c r="A7088" s="1" t="s">
        <v>70</v>
      </c>
      <c r="B7088" s="2">
        <v>212517</v>
      </c>
      <c r="C7088" s="3">
        <v>0.3</v>
      </c>
      <c r="D7088" s="4" t="s">
        <v>686</v>
      </c>
      <c r="E7088" s="4" t="s">
        <v>644</v>
      </c>
    </row>
    <row r="7089" spans="1:5" ht="26" hidden="1" x14ac:dyDescent="0.15">
      <c r="A7089" s="1" t="s">
        <v>71</v>
      </c>
      <c r="B7089" s="2">
        <v>45018</v>
      </c>
      <c r="C7089" s="3">
        <v>6.4000000000000001E-2</v>
      </c>
      <c r="D7089" s="4" t="s">
        <v>686</v>
      </c>
      <c r="E7089" s="4" t="s">
        <v>644</v>
      </c>
    </row>
    <row r="7090" spans="1:5" hidden="1" x14ac:dyDescent="0.15">
      <c r="A7090" s="1" t="s">
        <v>72</v>
      </c>
      <c r="B7090" s="2">
        <v>110675</v>
      </c>
      <c r="C7090" s="3">
        <v>0.156</v>
      </c>
      <c r="D7090" s="4" t="s">
        <v>686</v>
      </c>
      <c r="E7090" s="4" t="s">
        <v>644</v>
      </c>
    </row>
    <row r="7091" spans="1:5" hidden="1" x14ac:dyDescent="0.15">
      <c r="A7091" s="1" t="s">
        <v>73</v>
      </c>
      <c r="B7091" s="2">
        <v>435639</v>
      </c>
      <c r="C7091" s="3">
        <v>0.61499999999999999</v>
      </c>
      <c r="D7091" s="4" t="s">
        <v>686</v>
      </c>
      <c r="E7091" s="4" t="s">
        <v>644</v>
      </c>
    </row>
    <row r="7092" spans="1:5" hidden="1" x14ac:dyDescent="0.15">
      <c r="A7092" s="1" t="s">
        <v>74</v>
      </c>
      <c r="B7092" s="2">
        <v>154140</v>
      </c>
      <c r="C7092" s="3">
        <v>0.218</v>
      </c>
      <c r="D7092" s="4" t="s">
        <v>686</v>
      </c>
      <c r="E7092" s="4" t="s">
        <v>644</v>
      </c>
    </row>
    <row r="7093" spans="1:5" hidden="1" x14ac:dyDescent="0.15">
      <c r="A7093" s="1" t="s">
        <v>75</v>
      </c>
      <c r="B7093" s="2">
        <v>142259</v>
      </c>
      <c r="C7093" s="3">
        <v>0.20100000000000001</v>
      </c>
      <c r="D7093" s="4" t="s">
        <v>686</v>
      </c>
      <c r="E7093" s="4" t="s">
        <v>644</v>
      </c>
    </row>
    <row r="7094" spans="1:5" hidden="1" x14ac:dyDescent="0.15">
      <c r="A7094" s="1" t="s">
        <v>76</v>
      </c>
      <c r="B7094" s="2">
        <v>149962</v>
      </c>
      <c r="C7094" s="3">
        <v>0.21199999999999999</v>
      </c>
      <c r="D7094" s="4" t="s">
        <v>686</v>
      </c>
      <c r="E7094" s="4" t="s">
        <v>644</v>
      </c>
    </row>
    <row r="7095" spans="1:5" hidden="1" x14ac:dyDescent="0.15">
      <c r="A7095" s="1" t="s">
        <v>77</v>
      </c>
      <c r="B7095" s="2">
        <v>123450</v>
      </c>
      <c r="C7095" s="3">
        <v>0.17399999999999999</v>
      </c>
      <c r="D7095" s="4" t="s">
        <v>686</v>
      </c>
      <c r="E7095" s="4" t="s">
        <v>644</v>
      </c>
    </row>
    <row r="7096" spans="1:5" ht="26" hidden="1" x14ac:dyDescent="0.15">
      <c r="A7096" s="1" t="s">
        <v>78</v>
      </c>
      <c r="B7096" s="2">
        <v>110767</v>
      </c>
      <c r="C7096" s="3">
        <v>0.156</v>
      </c>
      <c r="D7096" s="4" t="s">
        <v>686</v>
      </c>
      <c r="E7096" s="4" t="s">
        <v>644</v>
      </c>
    </row>
    <row r="7097" spans="1:5" hidden="1" x14ac:dyDescent="0.15">
      <c r="A7097" s="1" t="s">
        <v>79</v>
      </c>
      <c r="B7097" s="2">
        <v>148925</v>
      </c>
      <c r="C7097" s="3">
        <v>0.21</v>
      </c>
      <c r="D7097" s="4" t="s">
        <v>686</v>
      </c>
      <c r="E7097" s="4" t="s">
        <v>644</v>
      </c>
    </row>
    <row r="7098" spans="1:5" hidden="1" x14ac:dyDescent="0.15">
      <c r="A7098" s="1" t="s">
        <v>80</v>
      </c>
      <c r="B7098" s="2">
        <v>69555</v>
      </c>
      <c r="C7098" s="3">
        <v>9.8000000000000004E-2</v>
      </c>
      <c r="D7098" s="4" t="s">
        <v>686</v>
      </c>
      <c r="E7098" s="4" t="s">
        <v>644</v>
      </c>
    </row>
    <row r="7099" spans="1:5" ht="26" hidden="1" x14ac:dyDescent="0.15">
      <c r="A7099" s="1" t="s">
        <v>81</v>
      </c>
      <c r="B7099" s="2">
        <v>91882</v>
      </c>
      <c r="C7099" s="3">
        <v>0.13</v>
      </c>
      <c r="D7099" s="4" t="s">
        <v>686</v>
      </c>
      <c r="E7099" s="4" t="s">
        <v>644</v>
      </c>
    </row>
    <row r="7100" spans="1:5" hidden="1" x14ac:dyDescent="0.15">
      <c r="A7100" s="1" t="s">
        <v>82</v>
      </c>
      <c r="B7100" s="2">
        <v>80210</v>
      </c>
      <c r="C7100" s="3">
        <v>0.113</v>
      </c>
      <c r="D7100" s="4" t="s">
        <v>686</v>
      </c>
      <c r="E7100" s="4" t="s">
        <v>644</v>
      </c>
    </row>
    <row r="7101" spans="1:5" hidden="1" x14ac:dyDescent="0.15">
      <c r="A7101" s="4"/>
      <c r="B7101" s="4"/>
      <c r="C7101" s="4"/>
      <c r="D7101" s="4" t="s">
        <v>686</v>
      </c>
      <c r="E7101" s="4" t="s">
        <v>644</v>
      </c>
    </row>
    <row r="7102" spans="1:5" hidden="1" x14ac:dyDescent="0.15">
      <c r="A7102" s="5"/>
      <c r="B7102" s="5"/>
      <c r="C7102" s="5"/>
      <c r="D7102" s="4" t="s">
        <v>686</v>
      </c>
      <c r="E7102" s="4" t="s">
        <v>644</v>
      </c>
    </row>
    <row r="7103" spans="1:5" ht="26" hidden="1" x14ac:dyDescent="0.15">
      <c r="A7103" s="1" t="s">
        <v>687</v>
      </c>
      <c r="B7103" s="2">
        <v>52766</v>
      </c>
      <c r="C7103" s="3">
        <v>7.400000000000001E-2</v>
      </c>
      <c r="D7103" s="4" t="s">
        <v>686</v>
      </c>
      <c r="E7103" s="4" t="s">
        <v>644</v>
      </c>
    </row>
    <row r="7104" spans="1:5" ht="26" hidden="1" x14ac:dyDescent="0.15">
      <c r="A7104" s="1" t="s">
        <v>688</v>
      </c>
      <c r="B7104" s="2">
        <v>147629</v>
      </c>
      <c r="C7104" s="3">
        <v>0.20800000000000002</v>
      </c>
      <c r="D7104" s="4" t="s">
        <v>686</v>
      </c>
      <c r="E7104" s="4" t="s">
        <v>644</v>
      </c>
    </row>
    <row r="7105" spans="1:5" ht="26" hidden="1" x14ac:dyDescent="0.15">
      <c r="A7105" s="1" t="s">
        <v>689</v>
      </c>
      <c r="B7105" s="2">
        <v>41957</v>
      </c>
      <c r="C7105" s="3">
        <v>5.9000000000000004E-2</v>
      </c>
      <c r="D7105" s="4" t="s">
        <v>686</v>
      </c>
      <c r="E7105" s="4" t="s">
        <v>644</v>
      </c>
    </row>
    <row r="7106" spans="1:5" ht="26" hidden="1" x14ac:dyDescent="0.15">
      <c r="A7106" s="1" t="s">
        <v>690</v>
      </c>
      <c r="B7106" s="2">
        <v>57161</v>
      </c>
      <c r="C7106" s="3">
        <v>8.1000000000000003E-2</v>
      </c>
      <c r="D7106" s="4" t="s">
        <v>686</v>
      </c>
      <c r="E7106" s="4" t="s">
        <v>644</v>
      </c>
    </row>
    <row r="7107" spans="1:5" ht="26" hidden="1" x14ac:dyDescent="0.15">
      <c r="A7107" s="1" t="s">
        <v>691</v>
      </c>
      <c r="B7107" s="2">
        <v>60462</v>
      </c>
      <c r="C7107" s="3">
        <v>8.5000000000000006E-2</v>
      </c>
      <c r="D7107" s="4" t="s">
        <v>686</v>
      </c>
      <c r="E7107" s="4" t="s">
        <v>644</v>
      </c>
    </row>
    <row r="7108" spans="1:5" hidden="1" x14ac:dyDescent="0.15">
      <c r="A7108" s="4"/>
      <c r="B7108" s="4"/>
      <c r="C7108" s="4"/>
      <c r="D7108" s="4" t="s">
        <v>686</v>
      </c>
      <c r="E7108" s="4" t="s">
        <v>644</v>
      </c>
    </row>
    <row r="7109" spans="1:5" hidden="1" x14ac:dyDescent="0.15">
      <c r="A7109" s="5" t="s">
        <v>397</v>
      </c>
      <c r="B7109" s="5"/>
      <c r="C7109" s="5"/>
      <c r="D7109" s="4" t="s">
        <v>686</v>
      </c>
      <c r="E7109" s="4" t="s">
        <v>644</v>
      </c>
    </row>
    <row r="7110" spans="1:5" ht="26" hidden="1" x14ac:dyDescent="0.15">
      <c r="A7110" s="1" t="s">
        <v>692</v>
      </c>
      <c r="B7110" s="2">
        <v>136743</v>
      </c>
      <c r="C7110" s="3">
        <v>0.193</v>
      </c>
      <c r="D7110" s="4" t="s">
        <v>686</v>
      </c>
      <c r="E7110" s="4" t="s">
        <v>644</v>
      </c>
    </row>
    <row r="7111" spans="1:5" hidden="1" x14ac:dyDescent="0.15">
      <c r="A7111" s="4"/>
      <c r="B7111" s="4"/>
      <c r="C7111" s="4"/>
      <c r="D7111" s="4" t="s">
        <v>686</v>
      </c>
      <c r="E7111" s="4" t="s">
        <v>644</v>
      </c>
    </row>
    <row r="7112" spans="1:5" hidden="1" x14ac:dyDescent="0.15">
      <c r="A7112" s="5"/>
      <c r="B7112" s="5"/>
      <c r="C7112" s="5"/>
      <c r="D7112" s="4" t="s">
        <v>686</v>
      </c>
      <c r="E7112" s="4" t="s">
        <v>644</v>
      </c>
    </row>
    <row r="7113" spans="1:5" hidden="1" x14ac:dyDescent="0.15">
      <c r="A7113" s="1" t="s">
        <v>647</v>
      </c>
      <c r="B7113" s="2">
        <v>129697</v>
      </c>
      <c r="C7113" s="3">
        <v>0.183</v>
      </c>
      <c r="D7113" s="4" t="s">
        <v>686</v>
      </c>
      <c r="E7113" s="4" t="s">
        <v>644</v>
      </c>
    </row>
    <row r="7114" spans="1:5" hidden="1" x14ac:dyDescent="0.15">
      <c r="A7114" s="4"/>
      <c r="B7114" s="4"/>
      <c r="C7114" s="4"/>
      <c r="D7114" s="4" t="s">
        <v>686</v>
      </c>
      <c r="E7114" s="4" t="s">
        <v>644</v>
      </c>
    </row>
    <row r="7115" spans="1:5" hidden="1" x14ac:dyDescent="0.15">
      <c r="A7115" s="5"/>
      <c r="B7115" s="5"/>
      <c r="C7115" s="5"/>
      <c r="D7115" s="4" t="s">
        <v>686</v>
      </c>
      <c r="E7115" s="4" t="s">
        <v>644</v>
      </c>
    </row>
    <row r="7116" spans="1:5" ht="26" hidden="1" x14ac:dyDescent="0.15">
      <c r="A7116" s="1" t="s">
        <v>645</v>
      </c>
      <c r="B7116" s="2">
        <v>217454</v>
      </c>
      <c r="C7116" s="3">
        <v>0.307</v>
      </c>
      <c r="D7116" s="4" t="s">
        <v>686</v>
      </c>
      <c r="E7116" s="4" t="s">
        <v>644</v>
      </c>
    </row>
    <row r="7117" spans="1:5" hidden="1" x14ac:dyDescent="0.15">
      <c r="A7117" s="4"/>
      <c r="B7117" s="4"/>
      <c r="C7117" s="4"/>
      <c r="D7117" s="4" t="s">
        <v>686</v>
      </c>
      <c r="E7117" s="4" t="s">
        <v>644</v>
      </c>
    </row>
    <row r="7118" spans="1:5" hidden="1" x14ac:dyDescent="0.15">
      <c r="A7118" s="5"/>
      <c r="B7118" s="5"/>
      <c r="C7118" s="5"/>
      <c r="D7118" s="4" t="s">
        <v>686</v>
      </c>
      <c r="E7118" s="4" t="s">
        <v>644</v>
      </c>
    </row>
    <row r="7119" spans="1:5" hidden="1" x14ac:dyDescent="0.15">
      <c r="A7119" s="1" t="s">
        <v>648</v>
      </c>
      <c r="B7119" s="2">
        <v>425967</v>
      </c>
      <c r="C7119" s="3">
        <v>0.60099999999999998</v>
      </c>
      <c r="D7119" s="4" t="s">
        <v>686</v>
      </c>
      <c r="E7119" s="4" t="s">
        <v>644</v>
      </c>
    </row>
    <row r="7120" spans="1:5" hidden="1" x14ac:dyDescent="0.15">
      <c r="A7120" s="4"/>
      <c r="B7120" s="4"/>
      <c r="C7120" s="4"/>
      <c r="D7120" s="4" t="s">
        <v>686</v>
      </c>
      <c r="E7120" s="4" t="s">
        <v>644</v>
      </c>
    </row>
    <row r="7121" spans="1:5" hidden="1" x14ac:dyDescent="0.15">
      <c r="A7121" s="5"/>
      <c r="B7121" s="5"/>
      <c r="C7121" s="5"/>
      <c r="D7121" s="4" t="s">
        <v>686</v>
      </c>
      <c r="E7121" s="4" t="s">
        <v>644</v>
      </c>
    </row>
    <row r="7122" spans="1:5" ht="26" hidden="1" x14ac:dyDescent="0.15">
      <c r="A7122" s="1" t="s">
        <v>649</v>
      </c>
      <c r="B7122" s="2">
        <v>92524</v>
      </c>
      <c r="C7122" s="3">
        <v>0.13100000000000001</v>
      </c>
      <c r="D7122" s="4" t="s">
        <v>686</v>
      </c>
      <c r="E7122" s="4" t="s">
        <v>644</v>
      </c>
    </row>
    <row r="7123" spans="1:5" hidden="1" x14ac:dyDescent="0.15">
      <c r="A7123" s="1" t="s">
        <v>0</v>
      </c>
      <c r="B7123" s="2">
        <v>2953607</v>
      </c>
      <c r="C7123" s="3">
        <v>1</v>
      </c>
      <c r="D7123" s="4" t="s">
        <v>693</v>
      </c>
      <c r="E7123" s="4" t="s">
        <v>168</v>
      </c>
    </row>
    <row r="7124" spans="1:5" ht="26" hidden="1" x14ac:dyDescent="0.15">
      <c r="A7124" s="1" t="s">
        <v>3</v>
      </c>
      <c r="B7124" s="2">
        <v>25052</v>
      </c>
      <c r="C7124" s="3">
        <v>8.0000000000000002E-3</v>
      </c>
      <c r="D7124" s="4" t="s">
        <v>693</v>
      </c>
      <c r="E7124" s="4" t="s">
        <v>168</v>
      </c>
    </row>
    <row r="7125" spans="1:5" hidden="1" x14ac:dyDescent="0.15">
      <c r="A7125" s="1" t="s">
        <v>4</v>
      </c>
      <c r="B7125" s="2">
        <v>26414</v>
      </c>
      <c r="C7125" s="3">
        <v>9.0000000000000011E-3</v>
      </c>
      <c r="D7125" s="4" t="s">
        <v>693</v>
      </c>
      <c r="E7125" s="4" t="s">
        <v>168</v>
      </c>
    </row>
    <row r="7126" spans="1:5" ht="26" hidden="1" x14ac:dyDescent="0.15">
      <c r="A7126" s="1" t="s">
        <v>5</v>
      </c>
      <c r="B7126" s="2">
        <v>102548</v>
      </c>
      <c r="C7126" s="3">
        <v>3.5000000000000003E-2</v>
      </c>
      <c r="D7126" s="4" t="s">
        <v>693</v>
      </c>
      <c r="E7126" s="4" t="s">
        <v>168</v>
      </c>
    </row>
    <row r="7127" spans="1:5" ht="26" hidden="1" x14ac:dyDescent="0.15">
      <c r="A7127" s="1" t="s">
        <v>6</v>
      </c>
      <c r="B7127" s="2">
        <v>374387</v>
      </c>
      <c r="C7127" s="3">
        <v>0.127</v>
      </c>
      <c r="D7127" s="4" t="s">
        <v>693</v>
      </c>
      <c r="E7127" s="4" t="s">
        <v>168</v>
      </c>
    </row>
    <row r="7128" spans="1:5" ht="26" hidden="1" x14ac:dyDescent="0.15">
      <c r="A7128" s="1" t="s">
        <v>7</v>
      </c>
      <c r="B7128" s="2">
        <v>696036</v>
      </c>
      <c r="C7128" s="3">
        <v>0.23600000000000002</v>
      </c>
      <c r="D7128" s="4" t="s">
        <v>693</v>
      </c>
      <c r="E7128" s="4" t="s">
        <v>168</v>
      </c>
    </row>
    <row r="7129" spans="1:5" ht="26" hidden="1" x14ac:dyDescent="0.15">
      <c r="A7129" s="1" t="s">
        <v>8</v>
      </c>
      <c r="B7129" s="2">
        <v>13583</v>
      </c>
      <c r="C7129" s="3">
        <v>5.0000000000000001E-3</v>
      </c>
      <c r="D7129" s="4" t="s">
        <v>693</v>
      </c>
      <c r="E7129" s="4" t="s">
        <v>168</v>
      </c>
    </row>
    <row r="7130" spans="1:5" ht="26" hidden="1" x14ac:dyDescent="0.15">
      <c r="A7130" s="1" t="s">
        <v>9</v>
      </c>
      <c r="B7130" s="2">
        <v>81324</v>
      </c>
      <c r="C7130" s="3">
        <v>2.7999999999999997E-2</v>
      </c>
      <c r="D7130" s="4" t="s">
        <v>693</v>
      </c>
      <c r="E7130" s="4" t="s">
        <v>168</v>
      </c>
    </row>
    <row r="7131" spans="1:5" ht="26" hidden="1" x14ac:dyDescent="0.15">
      <c r="A7131" s="1" t="s">
        <v>10</v>
      </c>
      <c r="B7131" s="2">
        <v>41133</v>
      </c>
      <c r="C7131" s="3">
        <v>1.3999999999999999E-2</v>
      </c>
      <c r="D7131" s="4" t="s">
        <v>693</v>
      </c>
      <c r="E7131" s="4" t="s">
        <v>168</v>
      </c>
    </row>
    <row r="7132" spans="1:5" ht="26" hidden="1" x14ac:dyDescent="0.15">
      <c r="A7132" s="1" t="s">
        <v>11</v>
      </c>
      <c r="B7132" s="2">
        <v>190535</v>
      </c>
      <c r="C7132" s="3">
        <v>6.5000000000000002E-2</v>
      </c>
      <c r="D7132" s="4" t="s">
        <v>693</v>
      </c>
      <c r="E7132" s="4" t="s">
        <v>168</v>
      </c>
    </row>
    <row r="7133" spans="1:5" ht="26" hidden="1" x14ac:dyDescent="0.15">
      <c r="A7133" s="1" t="s">
        <v>12</v>
      </c>
      <c r="B7133" s="2">
        <v>36335</v>
      </c>
      <c r="C7133" s="3">
        <v>1.2E-2</v>
      </c>
      <c r="D7133" s="4" t="s">
        <v>693</v>
      </c>
      <c r="E7133" s="4" t="s">
        <v>168</v>
      </c>
    </row>
    <row r="7134" spans="1:5" ht="26" hidden="1" x14ac:dyDescent="0.15">
      <c r="A7134" s="1" t="s">
        <v>13</v>
      </c>
      <c r="B7134" s="2">
        <v>33643</v>
      </c>
      <c r="C7134" s="3">
        <v>1.1000000000000001E-2</v>
      </c>
      <c r="D7134" s="4" t="s">
        <v>693</v>
      </c>
      <c r="E7134" s="4" t="s">
        <v>168</v>
      </c>
    </row>
    <row r="7135" spans="1:5" hidden="1" x14ac:dyDescent="0.15">
      <c r="A7135" s="1" t="s">
        <v>14</v>
      </c>
      <c r="B7135" s="2">
        <v>213239</v>
      </c>
      <c r="C7135" s="3">
        <v>7.2000000000000008E-2</v>
      </c>
      <c r="D7135" s="4" t="s">
        <v>693</v>
      </c>
      <c r="E7135" s="4" t="s">
        <v>168</v>
      </c>
    </row>
    <row r="7136" spans="1:5" ht="26" hidden="1" x14ac:dyDescent="0.15">
      <c r="A7136" s="1" t="s">
        <v>15</v>
      </c>
      <c r="B7136" s="2">
        <v>312296</v>
      </c>
      <c r="C7136" s="3">
        <v>0.106</v>
      </c>
      <c r="D7136" s="4" t="s">
        <v>693</v>
      </c>
      <c r="E7136" s="4" t="s">
        <v>168</v>
      </c>
    </row>
    <row r="7137" spans="1:5" ht="26" hidden="1" x14ac:dyDescent="0.15">
      <c r="A7137" s="1" t="s">
        <v>16</v>
      </c>
      <c r="B7137" s="2">
        <v>83284</v>
      </c>
      <c r="C7137" s="3">
        <v>2.7999999999999997E-2</v>
      </c>
      <c r="D7137" s="4" t="s">
        <v>693</v>
      </c>
      <c r="E7137" s="4" t="s">
        <v>168</v>
      </c>
    </row>
    <row r="7138" spans="1:5" ht="26" hidden="1" x14ac:dyDescent="0.15">
      <c r="A7138" s="1" t="s">
        <v>17</v>
      </c>
      <c r="B7138" s="2">
        <v>52343</v>
      </c>
      <c r="C7138" s="3">
        <v>1.8000000000000002E-2</v>
      </c>
      <c r="D7138" s="4" t="s">
        <v>693</v>
      </c>
      <c r="E7138" s="4" t="s">
        <v>168</v>
      </c>
    </row>
    <row r="7139" spans="1:5" hidden="1" x14ac:dyDescent="0.15">
      <c r="A7139" s="1" t="s">
        <v>18</v>
      </c>
      <c r="B7139" s="2">
        <v>32755</v>
      </c>
      <c r="C7139" s="3">
        <v>1.1000000000000001E-2</v>
      </c>
      <c r="D7139" s="4" t="s">
        <v>693</v>
      </c>
      <c r="E7139" s="4" t="s">
        <v>168</v>
      </c>
    </row>
    <row r="7140" spans="1:5" hidden="1" x14ac:dyDescent="0.15">
      <c r="A7140" s="1" t="s">
        <v>19</v>
      </c>
      <c r="B7140" s="2">
        <v>478732</v>
      </c>
      <c r="C7140" s="3">
        <v>0.16200000000000001</v>
      </c>
      <c r="D7140" s="4" t="s">
        <v>693</v>
      </c>
      <c r="E7140" s="4" t="s">
        <v>168</v>
      </c>
    </row>
    <row r="7141" spans="1:5" hidden="1" x14ac:dyDescent="0.15">
      <c r="A7141" s="1" t="s">
        <v>20</v>
      </c>
      <c r="B7141" s="2">
        <v>70487</v>
      </c>
      <c r="C7141" s="3">
        <v>2.4E-2</v>
      </c>
      <c r="D7141" s="4" t="s">
        <v>693</v>
      </c>
      <c r="E7141" s="4" t="s">
        <v>168</v>
      </c>
    </row>
    <row r="7142" spans="1:5" ht="26" hidden="1" x14ac:dyDescent="0.15">
      <c r="A7142" s="1" t="s">
        <v>21</v>
      </c>
      <c r="B7142" s="2">
        <v>69205</v>
      </c>
      <c r="C7142" s="3">
        <v>2.3E-2</v>
      </c>
      <c r="D7142" s="4" t="s">
        <v>693</v>
      </c>
      <c r="E7142" s="4" t="s">
        <v>168</v>
      </c>
    </row>
    <row r="7143" spans="1:5" ht="26" hidden="1" x14ac:dyDescent="0.15">
      <c r="A7143" s="1" t="s">
        <v>22</v>
      </c>
      <c r="B7143" s="2">
        <v>17081</v>
      </c>
      <c r="C7143" s="3">
        <v>6.0000000000000001E-3</v>
      </c>
      <c r="D7143" s="4" t="s">
        <v>693</v>
      </c>
      <c r="E7143" s="4" t="s">
        <v>168</v>
      </c>
    </row>
    <row r="7144" spans="1:5" ht="26" hidden="1" x14ac:dyDescent="0.15">
      <c r="A7144" s="1" t="s">
        <v>23</v>
      </c>
      <c r="B7144" s="2">
        <v>33599</v>
      </c>
      <c r="C7144" s="3">
        <v>1.1000000000000001E-2</v>
      </c>
      <c r="D7144" s="4" t="s">
        <v>693</v>
      </c>
      <c r="E7144" s="4" t="s">
        <v>168</v>
      </c>
    </row>
    <row r="7145" spans="1:5" ht="26" hidden="1" x14ac:dyDescent="0.15">
      <c r="A7145" s="1" t="s">
        <v>24</v>
      </c>
      <c r="B7145" s="2">
        <v>6899</v>
      </c>
      <c r="C7145" s="3">
        <v>2E-3</v>
      </c>
      <c r="D7145" s="4" t="s">
        <v>693</v>
      </c>
      <c r="E7145" s="4" t="s">
        <v>168</v>
      </c>
    </row>
    <row r="7146" spans="1:5" ht="26" hidden="1" x14ac:dyDescent="0.15">
      <c r="A7146" s="1" t="s">
        <v>25</v>
      </c>
      <c r="B7146" s="2">
        <v>66585</v>
      </c>
      <c r="C7146" s="3">
        <v>2.3E-2</v>
      </c>
      <c r="D7146" s="4" t="s">
        <v>693</v>
      </c>
      <c r="E7146" s="4" t="s">
        <v>168</v>
      </c>
    </row>
    <row r="7147" spans="1:5" hidden="1" x14ac:dyDescent="0.15">
      <c r="A7147" s="1" t="s">
        <v>26</v>
      </c>
      <c r="B7147" s="2">
        <v>17325</v>
      </c>
      <c r="C7147" s="3">
        <v>6.0000000000000001E-3</v>
      </c>
      <c r="D7147" s="4" t="s">
        <v>693</v>
      </c>
      <c r="E7147" s="4" t="s">
        <v>168</v>
      </c>
    </row>
    <row r="7148" spans="1:5" hidden="1" x14ac:dyDescent="0.15">
      <c r="A7148" s="1" t="s">
        <v>27</v>
      </c>
      <c r="B7148" s="2">
        <v>231006</v>
      </c>
      <c r="C7148" s="3">
        <v>7.8E-2</v>
      </c>
      <c r="D7148" s="4" t="s">
        <v>693</v>
      </c>
      <c r="E7148" s="4" t="s">
        <v>168</v>
      </c>
    </row>
    <row r="7149" spans="1:5" hidden="1" x14ac:dyDescent="0.15">
      <c r="A7149" s="1" t="s">
        <v>28</v>
      </c>
      <c r="B7149" s="2">
        <v>391545</v>
      </c>
      <c r="C7149" s="3">
        <v>0.13300000000000001</v>
      </c>
      <c r="D7149" s="4" t="s">
        <v>693</v>
      </c>
      <c r="E7149" s="4" t="s">
        <v>168</v>
      </c>
    </row>
    <row r="7150" spans="1:5" hidden="1" x14ac:dyDescent="0.15">
      <c r="A7150" s="1" t="s">
        <v>29</v>
      </c>
      <c r="B7150" s="2">
        <v>869061</v>
      </c>
      <c r="C7150" s="3">
        <v>0.29399999999999998</v>
      </c>
      <c r="D7150" s="4" t="s">
        <v>693</v>
      </c>
      <c r="E7150" s="4" t="s">
        <v>168</v>
      </c>
    </row>
    <row r="7151" spans="1:5" hidden="1" x14ac:dyDescent="0.15">
      <c r="A7151" s="1" t="s">
        <v>30</v>
      </c>
      <c r="B7151" s="2">
        <v>45672</v>
      </c>
      <c r="C7151" s="3">
        <v>1.4999999999999999E-2</v>
      </c>
      <c r="D7151" s="4" t="s">
        <v>693</v>
      </c>
      <c r="E7151" s="4" t="s">
        <v>168</v>
      </c>
    </row>
    <row r="7152" spans="1:5" ht="39" hidden="1" x14ac:dyDescent="0.15">
      <c r="A7152" s="1" t="s">
        <v>31</v>
      </c>
      <c r="B7152" s="2">
        <v>20132</v>
      </c>
      <c r="C7152" s="3">
        <v>6.9999999999999993E-3</v>
      </c>
      <c r="D7152" s="4" t="s">
        <v>693</v>
      </c>
      <c r="E7152" s="4" t="s">
        <v>168</v>
      </c>
    </row>
    <row r="7153" spans="1:5" hidden="1" x14ac:dyDescent="0.15">
      <c r="A7153" s="1" t="s">
        <v>32</v>
      </c>
      <c r="B7153" s="2">
        <v>78453</v>
      </c>
      <c r="C7153" s="3">
        <v>2.7000000000000003E-2</v>
      </c>
      <c r="D7153" s="4" t="s">
        <v>693</v>
      </c>
      <c r="E7153" s="4" t="s">
        <v>168</v>
      </c>
    </row>
    <row r="7154" spans="1:5" hidden="1" x14ac:dyDescent="0.15">
      <c r="A7154" s="1" t="s">
        <v>33</v>
      </c>
      <c r="B7154" s="2">
        <v>724288</v>
      </c>
      <c r="C7154" s="3">
        <v>0.245</v>
      </c>
      <c r="D7154" s="4" t="s">
        <v>693</v>
      </c>
      <c r="E7154" s="4" t="s">
        <v>168</v>
      </c>
    </row>
    <row r="7155" spans="1:5" hidden="1" x14ac:dyDescent="0.15">
      <c r="A7155" s="1" t="s">
        <v>34</v>
      </c>
      <c r="B7155" s="2">
        <v>257638</v>
      </c>
      <c r="C7155" s="3">
        <v>8.6999999999999994E-2</v>
      </c>
      <c r="D7155" s="4" t="s">
        <v>693</v>
      </c>
      <c r="E7155" s="4" t="s">
        <v>168</v>
      </c>
    </row>
    <row r="7156" spans="1:5" hidden="1" x14ac:dyDescent="0.15">
      <c r="A7156" s="1" t="s">
        <v>35</v>
      </c>
      <c r="B7156" s="2">
        <v>130908</v>
      </c>
      <c r="C7156" s="3">
        <v>4.4000000000000004E-2</v>
      </c>
      <c r="D7156" s="4" t="s">
        <v>693</v>
      </c>
      <c r="E7156" s="4" t="s">
        <v>168</v>
      </c>
    </row>
    <row r="7157" spans="1:5" ht="26" hidden="1" x14ac:dyDescent="0.15">
      <c r="A7157" s="1" t="s">
        <v>36</v>
      </c>
      <c r="B7157" s="2">
        <v>33559</v>
      </c>
      <c r="C7157" s="3">
        <v>1.1000000000000001E-2</v>
      </c>
      <c r="D7157" s="4" t="s">
        <v>693</v>
      </c>
      <c r="E7157" s="4" t="s">
        <v>168</v>
      </c>
    </row>
    <row r="7158" spans="1:5" hidden="1" x14ac:dyDescent="0.15">
      <c r="A7158" s="1" t="s">
        <v>37</v>
      </c>
      <c r="B7158" s="2">
        <v>19175</v>
      </c>
      <c r="C7158" s="3">
        <v>6.0000000000000001E-3</v>
      </c>
      <c r="D7158" s="4" t="s">
        <v>693</v>
      </c>
      <c r="E7158" s="4" t="s">
        <v>168</v>
      </c>
    </row>
    <row r="7159" spans="1:5" ht="39" hidden="1" x14ac:dyDescent="0.15">
      <c r="A7159" s="1" t="s">
        <v>38</v>
      </c>
      <c r="B7159" s="2">
        <v>17004</v>
      </c>
      <c r="C7159" s="3">
        <v>6.0000000000000001E-3</v>
      </c>
      <c r="D7159" s="4" t="s">
        <v>693</v>
      </c>
      <c r="E7159" s="4" t="s">
        <v>168</v>
      </c>
    </row>
    <row r="7160" spans="1:5" hidden="1" x14ac:dyDescent="0.15">
      <c r="A7160" s="1" t="s">
        <v>39</v>
      </c>
      <c r="B7160" s="2">
        <v>129584</v>
      </c>
      <c r="C7160" s="3">
        <v>4.4000000000000004E-2</v>
      </c>
      <c r="D7160" s="4" t="s">
        <v>693</v>
      </c>
      <c r="E7160" s="4" t="s">
        <v>168</v>
      </c>
    </row>
    <row r="7161" spans="1:5" hidden="1" x14ac:dyDescent="0.15">
      <c r="A7161" s="1" t="s">
        <v>40</v>
      </c>
      <c r="B7161" s="2">
        <v>29304</v>
      </c>
      <c r="C7161" s="3">
        <v>0.01</v>
      </c>
      <c r="D7161" s="4" t="s">
        <v>693</v>
      </c>
      <c r="E7161" s="4" t="s">
        <v>168</v>
      </c>
    </row>
    <row r="7162" spans="1:5" hidden="1" x14ac:dyDescent="0.15">
      <c r="A7162" s="1" t="s">
        <v>41</v>
      </c>
      <c r="B7162" s="2">
        <v>80253</v>
      </c>
      <c r="C7162" s="3">
        <v>2.7000000000000003E-2</v>
      </c>
      <c r="D7162" s="4" t="s">
        <v>693</v>
      </c>
      <c r="E7162" s="4" t="s">
        <v>168</v>
      </c>
    </row>
    <row r="7163" spans="1:5" hidden="1" x14ac:dyDescent="0.15">
      <c r="A7163" s="1" t="s">
        <v>42</v>
      </c>
      <c r="B7163" s="2">
        <v>90297</v>
      </c>
      <c r="C7163" s="3">
        <v>3.1E-2</v>
      </c>
      <c r="D7163" s="4" t="s">
        <v>693</v>
      </c>
      <c r="E7163" s="4" t="s">
        <v>168</v>
      </c>
    </row>
    <row r="7164" spans="1:5" hidden="1" x14ac:dyDescent="0.15">
      <c r="A7164" s="1" t="s">
        <v>43</v>
      </c>
      <c r="B7164" s="2">
        <v>195851</v>
      </c>
      <c r="C7164" s="3">
        <v>6.6000000000000003E-2</v>
      </c>
      <c r="D7164" s="4" t="s">
        <v>693</v>
      </c>
      <c r="E7164" s="4" t="s">
        <v>168</v>
      </c>
    </row>
    <row r="7165" spans="1:5" ht="26" hidden="1" x14ac:dyDescent="0.15">
      <c r="A7165" s="1" t="s">
        <v>44</v>
      </c>
      <c r="B7165" s="2">
        <v>349567</v>
      </c>
      <c r="C7165" s="3">
        <v>0.11800000000000001</v>
      </c>
      <c r="D7165" s="4" t="s">
        <v>693</v>
      </c>
      <c r="E7165" s="4" t="s">
        <v>168</v>
      </c>
    </row>
    <row r="7166" spans="1:5" hidden="1" x14ac:dyDescent="0.15">
      <c r="A7166" s="1" t="s">
        <v>45</v>
      </c>
      <c r="B7166" s="2">
        <v>585935</v>
      </c>
      <c r="C7166" s="3">
        <v>0.19800000000000001</v>
      </c>
      <c r="D7166" s="4" t="s">
        <v>693</v>
      </c>
      <c r="E7166" s="4" t="s">
        <v>168</v>
      </c>
    </row>
    <row r="7167" spans="1:5" ht="26" hidden="1" x14ac:dyDescent="0.15">
      <c r="A7167" s="1" t="s">
        <v>46</v>
      </c>
      <c r="B7167" s="2">
        <v>1186378</v>
      </c>
      <c r="C7167" s="3">
        <v>0.40200000000000002</v>
      </c>
      <c r="D7167" s="4" t="s">
        <v>693</v>
      </c>
      <c r="E7167" s="4" t="s">
        <v>168</v>
      </c>
    </row>
    <row r="7168" spans="1:5" hidden="1" x14ac:dyDescent="0.15">
      <c r="A7168" s="1" t="s">
        <v>47</v>
      </c>
      <c r="B7168" s="2">
        <v>1499144</v>
      </c>
      <c r="C7168" s="3">
        <v>0.50800000000000001</v>
      </c>
      <c r="D7168" s="4" t="s">
        <v>693</v>
      </c>
      <c r="E7168" s="4" t="s">
        <v>168</v>
      </c>
    </row>
    <row r="7169" spans="1:5" hidden="1" x14ac:dyDescent="0.15">
      <c r="A7169" s="1" t="s">
        <v>48</v>
      </c>
      <c r="B7169" s="2">
        <v>201394</v>
      </c>
      <c r="C7169" s="3">
        <v>6.8000000000000005E-2</v>
      </c>
      <c r="D7169" s="4" t="s">
        <v>693</v>
      </c>
      <c r="E7169" s="4" t="s">
        <v>168</v>
      </c>
    </row>
    <row r="7170" spans="1:5" hidden="1" x14ac:dyDescent="0.15">
      <c r="A7170" s="1" t="s">
        <v>49</v>
      </c>
      <c r="B7170" s="2">
        <v>310078</v>
      </c>
      <c r="C7170" s="3">
        <v>0.105</v>
      </c>
      <c r="D7170" s="4" t="s">
        <v>693</v>
      </c>
      <c r="E7170" s="4" t="s">
        <v>168</v>
      </c>
    </row>
    <row r="7171" spans="1:5" ht="26" hidden="1" x14ac:dyDescent="0.15">
      <c r="A7171" s="1" t="s">
        <v>50</v>
      </c>
      <c r="B7171" s="2">
        <v>418461</v>
      </c>
      <c r="C7171" s="3">
        <v>0.14199999999999999</v>
      </c>
      <c r="D7171" s="4" t="s">
        <v>693</v>
      </c>
      <c r="E7171" s="4" t="s">
        <v>168</v>
      </c>
    </row>
    <row r="7172" spans="1:5" hidden="1" x14ac:dyDescent="0.15">
      <c r="A7172" s="1" t="s">
        <v>51</v>
      </c>
      <c r="B7172" s="2">
        <v>940860</v>
      </c>
      <c r="C7172" s="3">
        <v>0.31900000000000001</v>
      </c>
      <c r="D7172" s="4" t="s">
        <v>693</v>
      </c>
      <c r="E7172" s="4" t="s">
        <v>168</v>
      </c>
    </row>
    <row r="7173" spans="1:5" hidden="1" x14ac:dyDescent="0.15">
      <c r="A7173" s="1" t="s">
        <v>52</v>
      </c>
      <c r="B7173" s="2">
        <v>248420</v>
      </c>
      <c r="C7173" s="3">
        <v>8.4000000000000005E-2</v>
      </c>
      <c r="D7173" s="4" t="s">
        <v>693</v>
      </c>
      <c r="E7173" s="4" t="s">
        <v>168</v>
      </c>
    </row>
    <row r="7174" spans="1:5" ht="26" hidden="1" x14ac:dyDescent="0.15">
      <c r="A7174" s="1" t="s">
        <v>53</v>
      </c>
      <c r="B7174" s="2">
        <v>205467</v>
      </c>
      <c r="C7174" s="3">
        <v>7.0000000000000007E-2</v>
      </c>
      <c r="D7174" s="4" t="s">
        <v>693</v>
      </c>
      <c r="E7174" s="4" t="s">
        <v>168</v>
      </c>
    </row>
    <row r="7175" spans="1:5" hidden="1" x14ac:dyDescent="0.15">
      <c r="A7175" s="1" t="s">
        <v>54</v>
      </c>
      <c r="B7175" s="2">
        <v>980083</v>
      </c>
      <c r="C7175" s="3">
        <v>0.33200000000000002</v>
      </c>
      <c r="D7175" s="4" t="s">
        <v>693</v>
      </c>
      <c r="E7175" s="4" t="s">
        <v>168</v>
      </c>
    </row>
    <row r="7176" spans="1:5" ht="26" hidden="1" x14ac:dyDescent="0.15">
      <c r="A7176" s="1" t="s">
        <v>55</v>
      </c>
      <c r="B7176" s="2">
        <v>1130402</v>
      </c>
      <c r="C7176" s="3">
        <v>0.38299999999999995</v>
      </c>
      <c r="D7176" s="4" t="s">
        <v>693</v>
      </c>
      <c r="E7176" s="4" t="s">
        <v>168</v>
      </c>
    </row>
    <row r="7177" spans="1:5" hidden="1" x14ac:dyDescent="0.15">
      <c r="A7177" s="1" t="s">
        <v>56</v>
      </c>
      <c r="B7177" s="2">
        <v>674522</v>
      </c>
      <c r="C7177" s="3">
        <v>0.22800000000000001</v>
      </c>
      <c r="D7177" s="4" t="s">
        <v>693</v>
      </c>
      <c r="E7177" s="4" t="s">
        <v>168</v>
      </c>
    </row>
    <row r="7178" spans="1:5" hidden="1" x14ac:dyDescent="0.15">
      <c r="A7178" s="1" t="s">
        <v>57</v>
      </c>
      <c r="B7178" s="2">
        <v>388837</v>
      </c>
      <c r="C7178" s="3">
        <v>0.13200000000000001</v>
      </c>
      <c r="D7178" s="4" t="s">
        <v>693</v>
      </c>
      <c r="E7178" s="4" t="s">
        <v>168</v>
      </c>
    </row>
    <row r="7179" spans="1:5" hidden="1" x14ac:dyDescent="0.15">
      <c r="A7179" s="1" t="s">
        <v>58</v>
      </c>
      <c r="B7179" s="2">
        <v>382224</v>
      </c>
      <c r="C7179" s="3">
        <v>0.129</v>
      </c>
      <c r="D7179" s="4" t="s">
        <v>693</v>
      </c>
      <c r="E7179" s="4" t="s">
        <v>168</v>
      </c>
    </row>
    <row r="7180" spans="1:5" hidden="1" x14ac:dyDescent="0.15">
      <c r="A7180" s="1" t="s">
        <v>59</v>
      </c>
      <c r="B7180" s="2">
        <v>1806975</v>
      </c>
      <c r="C7180" s="3">
        <v>0.61199999999999999</v>
      </c>
      <c r="D7180" s="4" t="s">
        <v>693</v>
      </c>
      <c r="E7180" s="4" t="s">
        <v>168</v>
      </c>
    </row>
    <row r="7181" spans="1:5" hidden="1" x14ac:dyDescent="0.15">
      <c r="A7181" s="1" t="s">
        <v>60</v>
      </c>
      <c r="B7181" s="2">
        <v>417772</v>
      </c>
      <c r="C7181" s="3">
        <v>0.14099999999999999</v>
      </c>
      <c r="D7181" s="4" t="s">
        <v>693</v>
      </c>
      <c r="E7181" s="4" t="s">
        <v>168</v>
      </c>
    </row>
    <row r="7182" spans="1:5" ht="26" hidden="1" x14ac:dyDescent="0.15">
      <c r="A7182" s="1" t="s">
        <v>61</v>
      </c>
      <c r="B7182" s="2">
        <v>428909</v>
      </c>
      <c r="C7182" s="3">
        <v>0.14499999999999999</v>
      </c>
      <c r="D7182" s="4" t="s">
        <v>693</v>
      </c>
      <c r="E7182" s="4" t="s">
        <v>168</v>
      </c>
    </row>
    <row r="7183" spans="1:5" hidden="1" x14ac:dyDescent="0.15">
      <c r="A7183" s="1" t="s">
        <v>62</v>
      </c>
      <c r="B7183" s="2">
        <v>97549</v>
      </c>
      <c r="C7183" s="3">
        <v>3.3000000000000002E-2</v>
      </c>
      <c r="D7183" s="4" t="s">
        <v>693</v>
      </c>
      <c r="E7183" s="4" t="s">
        <v>168</v>
      </c>
    </row>
    <row r="7184" spans="1:5" ht="26" hidden="1" x14ac:dyDescent="0.15">
      <c r="A7184" s="1" t="s">
        <v>63</v>
      </c>
      <c r="B7184" s="2">
        <v>482396</v>
      </c>
      <c r="C7184" s="3">
        <v>0.16300000000000001</v>
      </c>
      <c r="D7184" s="4" t="s">
        <v>693</v>
      </c>
      <c r="E7184" s="4" t="s">
        <v>168</v>
      </c>
    </row>
    <row r="7185" spans="1:5" ht="26" hidden="1" x14ac:dyDescent="0.15">
      <c r="A7185" s="1" t="s">
        <v>64</v>
      </c>
      <c r="B7185" s="2">
        <v>168497</v>
      </c>
      <c r="C7185" s="3">
        <v>5.7000000000000002E-2</v>
      </c>
      <c r="D7185" s="4" t="s">
        <v>693</v>
      </c>
      <c r="E7185" s="4" t="s">
        <v>168</v>
      </c>
    </row>
    <row r="7186" spans="1:5" hidden="1" x14ac:dyDescent="0.15">
      <c r="A7186" s="1" t="s">
        <v>65</v>
      </c>
      <c r="B7186" s="2">
        <v>376235</v>
      </c>
      <c r="C7186" s="3">
        <v>0.127</v>
      </c>
      <c r="D7186" s="4" t="s">
        <v>693</v>
      </c>
      <c r="E7186" s="4" t="s">
        <v>168</v>
      </c>
    </row>
    <row r="7187" spans="1:5" hidden="1" x14ac:dyDescent="0.15">
      <c r="A7187" s="1" t="s">
        <v>66</v>
      </c>
      <c r="B7187" s="2">
        <v>181345</v>
      </c>
      <c r="C7187" s="3">
        <v>6.0999999999999999E-2</v>
      </c>
      <c r="D7187" s="4" t="s">
        <v>693</v>
      </c>
      <c r="E7187" s="4" t="s">
        <v>168</v>
      </c>
    </row>
    <row r="7188" spans="1:5" hidden="1" x14ac:dyDescent="0.15">
      <c r="A7188" s="1" t="s">
        <v>67</v>
      </c>
      <c r="B7188" s="2">
        <v>789968</v>
      </c>
      <c r="C7188" s="3">
        <v>0.26700000000000002</v>
      </c>
      <c r="D7188" s="4" t="s">
        <v>693</v>
      </c>
      <c r="E7188" s="4" t="s">
        <v>168</v>
      </c>
    </row>
    <row r="7189" spans="1:5" hidden="1" x14ac:dyDescent="0.15">
      <c r="A7189" s="1" t="s">
        <v>68</v>
      </c>
      <c r="B7189" s="2">
        <v>1405103</v>
      </c>
      <c r="C7189" s="3">
        <v>0.47600000000000003</v>
      </c>
      <c r="D7189" s="4" t="s">
        <v>693</v>
      </c>
      <c r="E7189" s="4" t="s">
        <v>168</v>
      </c>
    </row>
    <row r="7190" spans="1:5" hidden="1" x14ac:dyDescent="0.15">
      <c r="A7190" s="1" t="s">
        <v>69</v>
      </c>
      <c r="B7190" s="2">
        <v>2020243</v>
      </c>
      <c r="C7190" s="3">
        <v>0.68400000000000005</v>
      </c>
      <c r="D7190" s="4" t="s">
        <v>693</v>
      </c>
      <c r="E7190" s="4" t="s">
        <v>168</v>
      </c>
    </row>
    <row r="7191" spans="1:5" hidden="1" x14ac:dyDescent="0.15">
      <c r="A7191" s="1" t="s">
        <v>70</v>
      </c>
      <c r="B7191" s="2">
        <v>516334</v>
      </c>
      <c r="C7191" s="3">
        <v>0.17499999999999999</v>
      </c>
      <c r="D7191" s="4" t="s">
        <v>693</v>
      </c>
      <c r="E7191" s="4" t="s">
        <v>168</v>
      </c>
    </row>
    <row r="7192" spans="1:5" ht="26" hidden="1" x14ac:dyDescent="0.15">
      <c r="A7192" s="1" t="s">
        <v>71</v>
      </c>
      <c r="B7192" s="2">
        <v>201856</v>
      </c>
      <c r="C7192" s="3">
        <v>6.8000000000000005E-2</v>
      </c>
      <c r="D7192" s="4" t="s">
        <v>693</v>
      </c>
      <c r="E7192" s="4" t="s">
        <v>168</v>
      </c>
    </row>
    <row r="7193" spans="1:5" hidden="1" x14ac:dyDescent="0.15">
      <c r="A7193" s="1" t="s">
        <v>72</v>
      </c>
      <c r="B7193" s="2">
        <v>397169</v>
      </c>
      <c r="C7193" s="3">
        <v>0.13400000000000001</v>
      </c>
      <c r="D7193" s="4" t="s">
        <v>693</v>
      </c>
      <c r="E7193" s="4" t="s">
        <v>168</v>
      </c>
    </row>
    <row r="7194" spans="1:5" hidden="1" x14ac:dyDescent="0.15">
      <c r="A7194" s="1" t="s">
        <v>73</v>
      </c>
      <c r="B7194" s="2">
        <v>1829185</v>
      </c>
      <c r="C7194" s="3">
        <v>0.61899999999999999</v>
      </c>
      <c r="D7194" s="4" t="s">
        <v>693</v>
      </c>
      <c r="E7194" s="4" t="s">
        <v>168</v>
      </c>
    </row>
    <row r="7195" spans="1:5" hidden="1" x14ac:dyDescent="0.15">
      <c r="A7195" s="1" t="s">
        <v>74</v>
      </c>
      <c r="B7195" s="2">
        <v>918676</v>
      </c>
      <c r="C7195" s="3">
        <v>0.311</v>
      </c>
      <c r="D7195" s="4" t="s">
        <v>693</v>
      </c>
      <c r="E7195" s="4" t="s">
        <v>168</v>
      </c>
    </row>
    <row r="7196" spans="1:5" hidden="1" x14ac:dyDescent="0.15">
      <c r="A7196" s="1" t="s">
        <v>75</v>
      </c>
      <c r="B7196" s="2">
        <v>589032</v>
      </c>
      <c r="C7196" s="3">
        <v>0.19899999999999998</v>
      </c>
      <c r="D7196" s="4" t="s">
        <v>693</v>
      </c>
      <c r="E7196" s="4" t="s">
        <v>168</v>
      </c>
    </row>
    <row r="7197" spans="1:5" hidden="1" x14ac:dyDescent="0.15">
      <c r="A7197" s="1" t="s">
        <v>76</v>
      </c>
      <c r="B7197" s="2">
        <v>272520</v>
      </c>
      <c r="C7197" s="3">
        <v>9.1999999999999998E-2</v>
      </c>
      <c r="D7197" s="4" t="s">
        <v>693</v>
      </c>
      <c r="E7197" s="4" t="s">
        <v>168</v>
      </c>
    </row>
    <row r="7198" spans="1:5" hidden="1" x14ac:dyDescent="0.15">
      <c r="A7198" s="1" t="s">
        <v>77</v>
      </c>
      <c r="B7198" s="2">
        <v>226885</v>
      </c>
      <c r="C7198" s="3">
        <v>7.6999999999999999E-2</v>
      </c>
      <c r="D7198" s="4" t="s">
        <v>693</v>
      </c>
      <c r="E7198" s="4" t="s">
        <v>168</v>
      </c>
    </row>
    <row r="7199" spans="1:5" ht="26" hidden="1" x14ac:dyDescent="0.15">
      <c r="A7199" s="1" t="s">
        <v>78</v>
      </c>
      <c r="B7199" s="2">
        <v>250151</v>
      </c>
      <c r="C7199" s="3">
        <v>8.5000000000000006E-2</v>
      </c>
      <c r="D7199" s="4" t="s">
        <v>693</v>
      </c>
      <c r="E7199" s="4" t="s">
        <v>168</v>
      </c>
    </row>
    <row r="7200" spans="1:5" hidden="1" x14ac:dyDescent="0.15">
      <c r="A7200" s="1" t="s">
        <v>79</v>
      </c>
      <c r="B7200" s="2">
        <v>497891</v>
      </c>
      <c r="C7200" s="3">
        <v>0.16899999999999998</v>
      </c>
      <c r="D7200" s="4" t="s">
        <v>693</v>
      </c>
      <c r="E7200" s="4" t="s">
        <v>168</v>
      </c>
    </row>
    <row r="7201" spans="1:5" hidden="1" x14ac:dyDescent="0.15">
      <c r="A7201" s="1" t="s">
        <v>80</v>
      </c>
      <c r="B7201" s="2">
        <v>362465</v>
      </c>
      <c r="C7201" s="3">
        <v>0.12300000000000001</v>
      </c>
      <c r="D7201" s="4" t="s">
        <v>693</v>
      </c>
      <c r="E7201" s="4" t="s">
        <v>168</v>
      </c>
    </row>
    <row r="7202" spans="1:5" ht="26" hidden="1" x14ac:dyDescent="0.15">
      <c r="A7202" s="1" t="s">
        <v>81</v>
      </c>
      <c r="B7202" s="2">
        <v>463172</v>
      </c>
      <c r="C7202" s="3">
        <v>0.157</v>
      </c>
      <c r="D7202" s="4" t="s">
        <v>693</v>
      </c>
      <c r="E7202" s="4" t="s">
        <v>168</v>
      </c>
    </row>
    <row r="7203" spans="1:5" hidden="1" x14ac:dyDescent="0.15">
      <c r="A7203" s="1" t="s">
        <v>82</v>
      </c>
      <c r="B7203" s="2">
        <v>339562</v>
      </c>
      <c r="C7203" s="3">
        <v>0.115</v>
      </c>
      <c r="D7203" s="4" t="s">
        <v>693</v>
      </c>
      <c r="E7203" s="4" t="s">
        <v>168</v>
      </c>
    </row>
    <row r="7204" spans="1:5" hidden="1" x14ac:dyDescent="0.15">
      <c r="A7204" s="4"/>
      <c r="B7204" s="4"/>
      <c r="C7204" s="4"/>
      <c r="D7204" s="4" t="s">
        <v>693</v>
      </c>
      <c r="E7204" s="4" t="s">
        <v>168</v>
      </c>
    </row>
    <row r="7205" spans="1:5" hidden="1" x14ac:dyDescent="0.15">
      <c r="A7205" s="16"/>
      <c r="B7205" s="16"/>
      <c r="C7205" s="16"/>
      <c r="D7205" s="4" t="s">
        <v>693</v>
      </c>
      <c r="E7205" s="4" t="s">
        <v>168</v>
      </c>
    </row>
    <row r="7206" spans="1:5" ht="26" hidden="1" x14ac:dyDescent="0.15">
      <c r="A7206" s="1" t="s">
        <v>169</v>
      </c>
      <c r="B7206" s="2">
        <v>1760614</v>
      </c>
      <c r="C7206" s="3">
        <v>0.59599999999999997</v>
      </c>
      <c r="D7206" s="4" t="s">
        <v>693</v>
      </c>
      <c r="E7206" s="4" t="s">
        <v>168</v>
      </c>
    </row>
    <row r="7207" spans="1:5" hidden="1" x14ac:dyDescent="0.15">
      <c r="A7207" s="4"/>
      <c r="B7207" s="4"/>
      <c r="C7207" s="4"/>
      <c r="D7207" s="4" t="s">
        <v>693</v>
      </c>
      <c r="E7207" s="4" t="s">
        <v>168</v>
      </c>
    </row>
    <row r="7208" spans="1:5" hidden="1" x14ac:dyDescent="0.15">
      <c r="A7208" s="16"/>
      <c r="B7208" s="16"/>
      <c r="C7208" s="16"/>
      <c r="D7208" s="4" t="s">
        <v>693</v>
      </c>
      <c r="E7208" s="4" t="s">
        <v>168</v>
      </c>
    </row>
    <row r="7209" spans="1:5" ht="26" hidden="1" x14ac:dyDescent="0.15">
      <c r="A7209" s="1" t="s">
        <v>666</v>
      </c>
      <c r="B7209" s="2">
        <v>1269384</v>
      </c>
      <c r="C7209" s="3">
        <v>0.43</v>
      </c>
      <c r="D7209" s="4" t="s">
        <v>693</v>
      </c>
      <c r="E7209" s="4" t="s">
        <v>168</v>
      </c>
    </row>
    <row r="7210" spans="1:5" hidden="1" x14ac:dyDescent="0.15">
      <c r="A7210" s="4"/>
      <c r="B7210" s="4"/>
      <c r="C7210" s="4"/>
      <c r="D7210" s="4" t="s">
        <v>693</v>
      </c>
      <c r="E7210" s="4" t="s">
        <v>168</v>
      </c>
    </row>
    <row r="7211" spans="1:5" hidden="1" x14ac:dyDescent="0.15">
      <c r="A7211" s="16"/>
      <c r="B7211" s="16"/>
      <c r="C7211" s="16"/>
      <c r="D7211" s="4" t="s">
        <v>693</v>
      </c>
      <c r="E7211" s="4" t="s">
        <v>168</v>
      </c>
    </row>
    <row r="7212" spans="1:5" ht="26" hidden="1" x14ac:dyDescent="0.15">
      <c r="A7212" s="1" t="s">
        <v>172</v>
      </c>
      <c r="B7212" s="2">
        <v>1761431</v>
      </c>
      <c r="C7212" s="3">
        <v>0.59599999999999997</v>
      </c>
      <c r="D7212" s="4" t="s">
        <v>693</v>
      </c>
      <c r="E7212" s="4" t="s">
        <v>168</v>
      </c>
    </row>
    <row r="7213" spans="1:5" hidden="1" x14ac:dyDescent="0.15">
      <c r="A7213" s="4"/>
      <c r="B7213" s="4"/>
      <c r="C7213" s="4"/>
      <c r="D7213" s="4" t="s">
        <v>693</v>
      </c>
      <c r="E7213" s="4" t="s">
        <v>168</v>
      </c>
    </row>
    <row r="7214" spans="1:5" hidden="1" x14ac:dyDescent="0.15">
      <c r="A7214" s="16"/>
      <c r="B7214" s="16"/>
      <c r="C7214" s="16"/>
      <c r="D7214" s="4" t="s">
        <v>693</v>
      </c>
      <c r="E7214" s="4" t="s">
        <v>168</v>
      </c>
    </row>
    <row r="7215" spans="1:5" ht="26" hidden="1" x14ac:dyDescent="0.15">
      <c r="A7215" s="1" t="s">
        <v>174</v>
      </c>
      <c r="B7215" s="2">
        <v>100707</v>
      </c>
      <c r="C7215" s="3">
        <v>3.4000000000000002E-2</v>
      </c>
      <c r="D7215" s="4" t="s">
        <v>693</v>
      </c>
      <c r="E7215" s="4" t="s">
        <v>168</v>
      </c>
    </row>
    <row r="7216" spans="1:5" hidden="1" x14ac:dyDescent="0.15">
      <c r="A7216" s="4"/>
      <c r="B7216" s="4"/>
      <c r="C7216" s="4"/>
      <c r="D7216" s="4" t="s">
        <v>693</v>
      </c>
      <c r="E7216" s="4" t="s">
        <v>168</v>
      </c>
    </row>
    <row r="7217" spans="1:5" hidden="1" x14ac:dyDescent="0.15">
      <c r="A7217" s="16"/>
      <c r="B7217" s="16"/>
      <c r="C7217" s="16"/>
      <c r="D7217" s="4" t="s">
        <v>693</v>
      </c>
      <c r="E7217" s="4" t="s">
        <v>168</v>
      </c>
    </row>
    <row r="7218" spans="1:5" ht="26" hidden="1" x14ac:dyDescent="0.15">
      <c r="A7218" s="1" t="s">
        <v>88</v>
      </c>
      <c r="B7218" s="2">
        <v>634588</v>
      </c>
      <c r="C7218" s="3">
        <v>0.215</v>
      </c>
      <c r="D7218" s="4" t="s">
        <v>693</v>
      </c>
      <c r="E7218" s="4" t="s">
        <v>168</v>
      </c>
    </row>
    <row r="7219" spans="1:5" ht="26" hidden="1" x14ac:dyDescent="0.15">
      <c r="A7219" s="1" t="s">
        <v>480</v>
      </c>
      <c r="B7219" s="2">
        <v>352258</v>
      </c>
      <c r="C7219" s="3">
        <v>0.11900000000000001</v>
      </c>
      <c r="D7219" s="4" t="s">
        <v>693</v>
      </c>
      <c r="E7219" s="4" t="s">
        <v>168</v>
      </c>
    </row>
    <row r="7220" spans="1:5" hidden="1" x14ac:dyDescent="0.15">
      <c r="A7220" s="4"/>
      <c r="B7220" s="4"/>
      <c r="C7220" s="4"/>
      <c r="D7220" s="4" t="s">
        <v>693</v>
      </c>
      <c r="E7220" s="4" t="s">
        <v>168</v>
      </c>
    </row>
    <row r="7221" spans="1:5" hidden="1" x14ac:dyDescent="0.15">
      <c r="A7221" s="16"/>
      <c r="B7221" s="16"/>
      <c r="C7221" s="16"/>
      <c r="D7221" s="4" t="s">
        <v>693</v>
      </c>
      <c r="E7221" s="4" t="s">
        <v>168</v>
      </c>
    </row>
    <row r="7222" spans="1:5" hidden="1" x14ac:dyDescent="0.15">
      <c r="A7222" s="1" t="s">
        <v>478</v>
      </c>
      <c r="B7222" s="2">
        <v>204643</v>
      </c>
      <c r="C7222" s="3">
        <v>6.9000000000000006E-2</v>
      </c>
      <c r="D7222" s="4" t="s">
        <v>693</v>
      </c>
      <c r="E7222" s="4" t="s">
        <v>168</v>
      </c>
    </row>
    <row r="7223" spans="1:5" hidden="1" x14ac:dyDescent="0.15">
      <c r="A7223" s="4"/>
      <c r="B7223" s="4"/>
      <c r="C7223" s="4"/>
      <c r="D7223" s="4" t="s">
        <v>693</v>
      </c>
      <c r="E7223" s="4" t="s">
        <v>168</v>
      </c>
    </row>
    <row r="7224" spans="1:5" hidden="1" x14ac:dyDescent="0.15">
      <c r="A7224" s="16"/>
      <c r="B7224" s="16"/>
      <c r="C7224" s="16"/>
      <c r="D7224" s="4" t="s">
        <v>693</v>
      </c>
      <c r="E7224" s="4" t="s">
        <v>168</v>
      </c>
    </row>
    <row r="7225" spans="1:5" hidden="1" x14ac:dyDescent="0.15">
      <c r="A7225" s="1" t="s">
        <v>694</v>
      </c>
      <c r="B7225" s="2">
        <v>63171</v>
      </c>
      <c r="C7225" s="3">
        <v>2.1000000000000001E-2</v>
      </c>
      <c r="D7225" s="4" t="s">
        <v>693</v>
      </c>
      <c r="E7225" s="4" t="s">
        <v>168</v>
      </c>
    </row>
    <row r="7226" spans="1:5" hidden="1" x14ac:dyDescent="0.15">
      <c r="A7226" s="4"/>
      <c r="B7226" s="4"/>
      <c r="C7226" s="4"/>
      <c r="D7226" s="4" t="s">
        <v>693</v>
      </c>
      <c r="E7226" s="4" t="s">
        <v>168</v>
      </c>
    </row>
    <row r="7227" spans="1:5" hidden="1" x14ac:dyDescent="0.15">
      <c r="A7227" s="16"/>
      <c r="B7227" s="16"/>
      <c r="C7227" s="16"/>
      <c r="D7227" s="4" t="s">
        <v>693</v>
      </c>
      <c r="E7227" s="4" t="s">
        <v>168</v>
      </c>
    </row>
    <row r="7228" spans="1:5" ht="26" hidden="1" x14ac:dyDescent="0.15">
      <c r="A7228" s="1" t="s">
        <v>695</v>
      </c>
      <c r="B7228" s="2">
        <v>126768</v>
      </c>
      <c r="C7228" s="3">
        <v>4.2999999999999997E-2</v>
      </c>
      <c r="D7228" s="4" t="s">
        <v>693</v>
      </c>
      <c r="E7228" s="4" t="s">
        <v>168</v>
      </c>
    </row>
    <row r="7229" spans="1:5" ht="26" hidden="1" x14ac:dyDescent="0.15">
      <c r="A7229" s="1" t="s">
        <v>696</v>
      </c>
      <c r="B7229" s="2">
        <v>155514</v>
      </c>
      <c r="C7229" s="3">
        <v>5.2999999999999999E-2</v>
      </c>
      <c r="D7229" s="4" t="s">
        <v>693</v>
      </c>
      <c r="E7229" s="4" t="s">
        <v>168</v>
      </c>
    </row>
    <row r="7230" spans="1:5" ht="26" hidden="1" x14ac:dyDescent="0.15">
      <c r="A7230" s="1" t="s">
        <v>697</v>
      </c>
      <c r="B7230" s="2">
        <v>110222</v>
      </c>
      <c r="C7230" s="3">
        <v>3.7000000000000005E-2</v>
      </c>
      <c r="D7230" s="4" t="s">
        <v>693</v>
      </c>
      <c r="E7230" s="4" t="s">
        <v>168</v>
      </c>
    </row>
    <row r="7231" spans="1:5" ht="39" hidden="1" x14ac:dyDescent="0.15">
      <c r="A7231" s="1" t="s">
        <v>698</v>
      </c>
      <c r="B7231" s="2">
        <v>107612</v>
      </c>
      <c r="C7231" s="3">
        <v>3.6000000000000004E-2</v>
      </c>
      <c r="D7231" s="4" t="s">
        <v>693</v>
      </c>
      <c r="E7231" s="4" t="s">
        <v>168</v>
      </c>
    </row>
    <row r="7232" spans="1:5" hidden="1" x14ac:dyDescent="0.15">
      <c r="A7232" s="4"/>
      <c r="B7232" s="4"/>
      <c r="C7232" s="4"/>
      <c r="D7232" s="4" t="s">
        <v>693</v>
      </c>
      <c r="E7232" s="4" t="s">
        <v>168</v>
      </c>
    </row>
    <row r="7233" spans="1:5" hidden="1" x14ac:dyDescent="0.15">
      <c r="A7233" s="16" t="s">
        <v>397</v>
      </c>
      <c r="B7233" s="16"/>
      <c r="C7233" s="16"/>
      <c r="D7233" s="4" t="s">
        <v>693</v>
      </c>
      <c r="E7233" s="4" t="s">
        <v>168</v>
      </c>
    </row>
    <row r="7234" spans="1:5" ht="26" hidden="1" x14ac:dyDescent="0.15">
      <c r="A7234" s="1" t="s">
        <v>699</v>
      </c>
      <c r="B7234" s="2">
        <v>184874</v>
      </c>
      <c r="C7234" s="3">
        <v>6.3E-2</v>
      </c>
      <c r="D7234" s="4" t="s">
        <v>693</v>
      </c>
      <c r="E7234" s="4" t="s">
        <v>168</v>
      </c>
    </row>
    <row r="7235" spans="1:5" hidden="1" x14ac:dyDescent="0.15">
      <c r="A7235" s="4"/>
      <c r="B7235" s="4"/>
      <c r="C7235" s="4"/>
      <c r="D7235" s="4" t="s">
        <v>693</v>
      </c>
      <c r="E7235" s="4" t="s">
        <v>168</v>
      </c>
    </row>
    <row r="7236" spans="1:5" hidden="1" x14ac:dyDescent="0.15">
      <c r="A7236" s="16"/>
      <c r="B7236" s="16"/>
      <c r="C7236" s="16"/>
      <c r="D7236" s="4" t="s">
        <v>693</v>
      </c>
      <c r="E7236" s="4" t="s">
        <v>168</v>
      </c>
    </row>
    <row r="7237" spans="1:5" ht="26" hidden="1" x14ac:dyDescent="0.15">
      <c r="A7237" s="1" t="s">
        <v>700</v>
      </c>
      <c r="B7237" s="2">
        <v>710023</v>
      </c>
      <c r="C7237" s="3">
        <v>0.24</v>
      </c>
      <c r="D7237" s="4" t="s">
        <v>693</v>
      </c>
      <c r="E7237" s="4" t="s">
        <v>168</v>
      </c>
    </row>
    <row r="7238" spans="1:5" ht="26" hidden="1" x14ac:dyDescent="0.15">
      <c r="A7238" s="1" t="s">
        <v>182</v>
      </c>
      <c r="B7238" s="2">
        <v>1215579</v>
      </c>
      <c r="C7238" s="3">
        <v>0.41200000000000003</v>
      </c>
      <c r="D7238" s="4" t="s">
        <v>693</v>
      </c>
      <c r="E7238" s="4" t="s">
        <v>168</v>
      </c>
    </row>
    <row r="7239" spans="1:5" hidden="1" x14ac:dyDescent="0.15">
      <c r="A7239" s="1" t="s">
        <v>0</v>
      </c>
      <c r="B7239" s="2">
        <v>1761346</v>
      </c>
      <c r="C7239" s="3">
        <v>1</v>
      </c>
      <c r="D7239" s="4" t="s">
        <v>701</v>
      </c>
      <c r="E7239" s="4" t="s">
        <v>168</v>
      </c>
    </row>
    <row r="7240" spans="1:5" ht="26" hidden="1" x14ac:dyDescent="0.15">
      <c r="A7240" s="1" t="s">
        <v>3</v>
      </c>
      <c r="B7240" s="2">
        <v>28037</v>
      </c>
      <c r="C7240" s="3">
        <v>1.6E-2</v>
      </c>
      <c r="D7240" s="4" t="s">
        <v>701</v>
      </c>
      <c r="E7240" s="4" t="s">
        <v>168</v>
      </c>
    </row>
    <row r="7241" spans="1:5" hidden="1" x14ac:dyDescent="0.15">
      <c r="A7241" s="1" t="s">
        <v>4</v>
      </c>
      <c r="B7241" s="2">
        <v>12263</v>
      </c>
      <c r="C7241" s="3">
        <v>6.9999999999999993E-3</v>
      </c>
      <c r="D7241" s="4" t="s">
        <v>701</v>
      </c>
      <c r="E7241" s="4" t="s">
        <v>168</v>
      </c>
    </row>
    <row r="7242" spans="1:5" ht="26" hidden="1" x14ac:dyDescent="0.15">
      <c r="A7242" s="1" t="s">
        <v>5</v>
      </c>
      <c r="B7242" s="2">
        <v>75385</v>
      </c>
      <c r="C7242" s="3">
        <v>4.2999999999999997E-2</v>
      </c>
      <c r="D7242" s="4" t="s">
        <v>701</v>
      </c>
      <c r="E7242" s="4" t="s">
        <v>168</v>
      </c>
    </row>
    <row r="7243" spans="1:5" ht="26" hidden="1" x14ac:dyDescent="0.15">
      <c r="A7243" s="1" t="s">
        <v>6</v>
      </c>
      <c r="B7243" s="2">
        <v>416596</v>
      </c>
      <c r="C7243" s="3">
        <v>0.23699999999999999</v>
      </c>
      <c r="D7243" s="4" t="s">
        <v>701</v>
      </c>
      <c r="E7243" s="4" t="s">
        <v>168</v>
      </c>
    </row>
    <row r="7244" spans="1:5" ht="26" hidden="1" x14ac:dyDescent="0.15">
      <c r="A7244" s="1" t="s">
        <v>7</v>
      </c>
      <c r="B7244" s="2">
        <v>448819</v>
      </c>
      <c r="C7244" s="3">
        <v>0.255</v>
      </c>
      <c r="D7244" s="4" t="s">
        <v>701</v>
      </c>
      <c r="E7244" s="4" t="s">
        <v>168</v>
      </c>
    </row>
    <row r="7245" spans="1:5" ht="26" hidden="1" x14ac:dyDescent="0.15">
      <c r="A7245" s="1" t="s">
        <v>8</v>
      </c>
      <c r="B7245" s="2">
        <v>31118</v>
      </c>
      <c r="C7245" s="3">
        <v>1.8000000000000002E-2</v>
      </c>
      <c r="D7245" s="4" t="s">
        <v>701</v>
      </c>
      <c r="E7245" s="4" t="s">
        <v>168</v>
      </c>
    </row>
    <row r="7246" spans="1:5" ht="26" hidden="1" x14ac:dyDescent="0.15">
      <c r="A7246" s="1" t="s">
        <v>9</v>
      </c>
      <c r="B7246" s="2">
        <v>23583</v>
      </c>
      <c r="C7246" s="3">
        <v>1.3000000000000001E-2</v>
      </c>
      <c r="D7246" s="4" t="s">
        <v>701</v>
      </c>
      <c r="E7246" s="4" t="s">
        <v>168</v>
      </c>
    </row>
    <row r="7247" spans="1:5" ht="26" hidden="1" x14ac:dyDescent="0.15">
      <c r="A7247" s="1" t="s">
        <v>10</v>
      </c>
      <c r="B7247" s="2">
        <v>25009</v>
      </c>
      <c r="C7247" s="3">
        <v>1.3999999999999999E-2</v>
      </c>
      <c r="D7247" s="4" t="s">
        <v>701</v>
      </c>
      <c r="E7247" s="4" t="s">
        <v>168</v>
      </c>
    </row>
    <row r="7248" spans="1:5" ht="26" hidden="1" x14ac:dyDescent="0.15">
      <c r="A7248" s="1" t="s">
        <v>11</v>
      </c>
      <c r="B7248" s="2">
        <v>67727</v>
      </c>
      <c r="C7248" s="3">
        <v>3.7999999999999999E-2</v>
      </c>
      <c r="D7248" s="4" t="s">
        <v>701</v>
      </c>
      <c r="E7248" s="4" t="s">
        <v>168</v>
      </c>
    </row>
    <row r="7249" spans="1:5" ht="26" hidden="1" x14ac:dyDescent="0.15">
      <c r="A7249" s="1" t="s">
        <v>12</v>
      </c>
      <c r="B7249" s="2">
        <v>37681</v>
      </c>
      <c r="C7249" s="3">
        <v>2.1000000000000001E-2</v>
      </c>
      <c r="D7249" s="4" t="s">
        <v>701</v>
      </c>
      <c r="E7249" s="4" t="s">
        <v>168</v>
      </c>
    </row>
    <row r="7250" spans="1:5" ht="26" hidden="1" x14ac:dyDescent="0.15">
      <c r="A7250" s="1" t="s">
        <v>13</v>
      </c>
      <c r="B7250" s="2">
        <v>18266</v>
      </c>
      <c r="C7250" s="3">
        <v>0.01</v>
      </c>
      <c r="D7250" s="4" t="s">
        <v>701</v>
      </c>
      <c r="E7250" s="4" t="s">
        <v>168</v>
      </c>
    </row>
    <row r="7251" spans="1:5" hidden="1" x14ac:dyDescent="0.15">
      <c r="A7251" s="1" t="s">
        <v>14</v>
      </c>
      <c r="B7251" s="2">
        <v>103256</v>
      </c>
      <c r="C7251" s="3">
        <v>5.9000000000000004E-2</v>
      </c>
      <c r="D7251" s="4" t="s">
        <v>701</v>
      </c>
      <c r="E7251" s="4" t="s">
        <v>168</v>
      </c>
    </row>
    <row r="7252" spans="1:5" ht="26" hidden="1" x14ac:dyDescent="0.15">
      <c r="A7252" s="1" t="s">
        <v>15</v>
      </c>
      <c r="B7252" s="2">
        <v>131616</v>
      </c>
      <c r="C7252" s="3">
        <v>7.4999999999999997E-2</v>
      </c>
      <c r="D7252" s="4" t="s">
        <v>701</v>
      </c>
      <c r="E7252" s="4" t="s">
        <v>168</v>
      </c>
    </row>
    <row r="7253" spans="1:5" ht="26" hidden="1" x14ac:dyDescent="0.15">
      <c r="A7253" s="1" t="s">
        <v>16</v>
      </c>
      <c r="B7253" s="2">
        <v>110964</v>
      </c>
      <c r="C7253" s="3">
        <v>6.3E-2</v>
      </c>
      <c r="D7253" s="4" t="s">
        <v>701</v>
      </c>
      <c r="E7253" s="4" t="s">
        <v>168</v>
      </c>
    </row>
    <row r="7254" spans="1:5" ht="26" hidden="1" x14ac:dyDescent="0.15">
      <c r="A7254" s="1" t="s">
        <v>17</v>
      </c>
      <c r="B7254" s="2">
        <v>67177</v>
      </c>
      <c r="C7254" s="3">
        <v>3.7999999999999999E-2</v>
      </c>
      <c r="D7254" s="4" t="s">
        <v>701</v>
      </c>
      <c r="E7254" s="4" t="s">
        <v>168</v>
      </c>
    </row>
    <row r="7255" spans="1:5" hidden="1" x14ac:dyDescent="0.15">
      <c r="A7255" s="1" t="s">
        <v>18</v>
      </c>
      <c r="B7255" s="2">
        <v>17428</v>
      </c>
      <c r="C7255" s="3">
        <v>0.01</v>
      </c>
      <c r="D7255" s="4" t="s">
        <v>701</v>
      </c>
      <c r="E7255" s="4" t="s">
        <v>168</v>
      </c>
    </row>
    <row r="7256" spans="1:5" hidden="1" x14ac:dyDescent="0.15">
      <c r="A7256" s="1" t="s">
        <v>19</v>
      </c>
      <c r="B7256" s="2">
        <v>476372</v>
      </c>
      <c r="C7256" s="3">
        <v>0.27</v>
      </c>
      <c r="D7256" s="4" t="s">
        <v>701</v>
      </c>
      <c r="E7256" s="4" t="s">
        <v>168</v>
      </c>
    </row>
    <row r="7257" spans="1:5" hidden="1" x14ac:dyDescent="0.15">
      <c r="A7257" s="1" t="s">
        <v>20</v>
      </c>
      <c r="B7257" s="2">
        <v>12437</v>
      </c>
      <c r="C7257" s="3">
        <v>6.9999999999999993E-3</v>
      </c>
      <c r="D7257" s="4" t="s">
        <v>701</v>
      </c>
      <c r="E7257" s="4" t="s">
        <v>168</v>
      </c>
    </row>
    <row r="7258" spans="1:5" ht="26" hidden="1" x14ac:dyDescent="0.15">
      <c r="A7258" s="1" t="s">
        <v>21</v>
      </c>
      <c r="B7258" s="2">
        <v>33938</v>
      </c>
      <c r="C7258" s="3">
        <v>1.9E-2</v>
      </c>
      <c r="D7258" s="4" t="s">
        <v>701</v>
      </c>
      <c r="E7258" s="4" t="s">
        <v>168</v>
      </c>
    </row>
    <row r="7259" spans="1:5" ht="26" hidden="1" x14ac:dyDescent="0.15">
      <c r="A7259" s="1" t="s">
        <v>22</v>
      </c>
      <c r="B7259" s="2">
        <v>11763</v>
      </c>
      <c r="C7259" s="3">
        <v>6.9999999999999993E-3</v>
      </c>
      <c r="D7259" s="4" t="s">
        <v>701</v>
      </c>
      <c r="E7259" s="4" t="s">
        <v>168</v>
      </c>
    </row>
    <row r="7260" spans="1:5" ht="26" hidden="1" x14ac:dyDescent="0.15">
      <c r="A7260" s="1" t="s">
        <v>23</v>
      </c>
      <c r="B7260" s="2">
        <v>17416</v>
      </c>
      <c r="C7260" s="3">
        <v>0.01</v>
      </c>
      <c r="D7260" s="4" t="s">
        <v>701</v>
      </c>
      <c r="E7260" s="4" t="s">
        <v>168</v>
      </c>
    </row>
    <row r="7261" spans="1:5" ht="26" hidden="1" x14ac:dyDescent="0.15">
      <c r="A7261" s="1" t="s">
        <v>24</v>
      </c>
      <c r="B7261" s="2">
        <v>15660</v>
      </c>
      <c r="C7261" s="3">
        <v>9.0000000000000011E-3</v>
      </c>
      <c r="D7261" s="4" t="s">
        <v>701</v>
      </c>
      <c r="E7261" s="4" t="s">
        <v>168</v>
      </c>
    </row>
    <row r="7262" spans="1:5" ht="26" hidden="1" x14ac:dyDescent="0.15">
      <c r="A7262" s="1" t="s">
        <v>25</v>
      </c>
      <c r="B7262" s="2">
        <v>46399</v>
      </c>
      <c r="C7262" s="3">
        <v>2.6000000000000002E-2</v>
      </c>
      <c r="D7262" s="4" t="s">
        <v>701</v>
      </c>
      <c r="E7262" s="4" t="s">
        <v>168</v>
      </c>
    </row>
    <row r="7263" spans="1:5" hidden="1" x14ac:dyDescent="0.15">
      <c r="A7263" s="1" t="s">
        <v>26</v>
      </c>
      <c r="B7263" s="2">
        <v>27423</v>
      </c>
      <c r="C7263" s="3">
        <v>1.6E-2</v>
      </c>
      <c r="D7263" s="4" t="s">
        <v>701</v>
      </c>
      <c r="E7263" s="4" t="s">
        <v>168</v>
      </c>
    </row>
    <row r="7264" spans="1:5" hidden="1" x14ac:dyDescent="0.15">
      <c r="A7264" s="1" t="s">
        <v>27</v>
      </c>
      <c r="B7264" s="2">
        <v>185421</v>
      </c>
      <c r="C7264" s="3">
        <v>0.105</v>
      </c>
      <c r="D7264" s="4" t="s">
        <v>701</v>
      </c>
      <c r="E7264" s="4" t="s">
        <v>168</v>
      </c>
    </row>
    <row r="7265" spans="1:5" hidden="1" x14ac:dyDescent="0.15">
      <c r="A7265" s="1" t="s">
        <v>28</v>
      </c>
      <c r="B7265" s="2">
        <v>116114</v>
      </c>
      <c r="C7265" s="3">
        <v>6.6000000000000003E-2</v>
      </c>
      <c r="D7265" s="4" t="s">
        <v>701</v>
      </c>
      <c r="E7265" s="4" t="s">
        <v>168</v>
      </c>
    </row>
    <row r="7266" spans="1:5" hidden="1" x14ac:dyDescent="0.15">
      <c r="A7266" s="1" t="s">
        <v>29</v>
      </c>
      <c r="B7266" s="2">
        <v>594207</v>
      </c>
      <c r="C7266" s="3">
        <v>0.33700000000000002</v>
      </c>
      <c r="D7266" s="4" t="s">
        <v>701</v>
      </c>
      <c r="E7266" s="4" t="s">
        <v>168</v>
      </c>
    </row>
    <row r="7267" spans="1:5" hidden="1" x14ac:dyDescent="0.15">
      <c r="A7267" s="1" t="s">
        <v>30</v>
      </c>
      <c r="B7267" s="2">
        <v>53451</v>
      </c>
      <c r="C7267" s="3">
        <v>0.03</v>
      </c>
      <c r="D7267" s="4" t="s">
        <v>701</v>
      </c>
      <c r="E7267" s="4" t="s">
        <v>168</v>
      </c>
    </row>
    <row r="7268" spans="1:5" ht="39" hidden="1" x14ac:dyDescent="0.15">
      <c r="A7268" s="1" t="s">
        <v>31</v>
      </c>
      <c r="B7268" s="2">
        <v>12259</v>
      </c>
      <c r="C7268" s="3">
        <v>6.9999999999999993E-3</v>
      </c>
      <c r="D7268" s="4" t="s">
        <v>701</v>
      </c>
      <c r="E7268" s="4" t="s">
        <v>168</v>
      </c>
    </row>
    <row r="7269" spans="1:5" hidden="1" x14ac:dyDescent="0.15">
      <c r="A7269" s="1" t="s">
        <v>32</v>
      </c>
      <c r="B7269" s="2">
        <v>86095</v>
      </c>
      <c r="C7269" s="3">
        <v>4.9000000000000002E-2</v>
      </c>
      <c r="D7269" s="4" t="s">
        <v>701</v>
      </c>
      <c r="E7269" s="4" t="s">
        <v>168</v>
      </c>
    </row>
    <row r="7270" spans="1:5" hidden="1" x14ac:dyDescent="0.15">
      <c r="A7270" s="1" t="s">
        <v>33</v>
      </c>
      <c r="B7270" s="2">
        <v>434120</v>
      </c>
      <c r="C7270" s="3">
        <v>0.24600000000000002</v>
      </c>
      <c r="D7270" s="4" t="s">
        <v>701</v>
      </c>
      <c r="E7270" s="4" t="s">
        <v>168</v>
      </c>
    </row>
    <row r="7271" spans="1:5" hidden="1" x14ac:dyDescent="0.15">
      <c r="A7271" s="1" t="s">
        <v>34</v>
      </c>
      <c r="B7271" s="2">
        <v>147517</v>
      </c>
      <c r="C7271" s="3">
        <v>8.4000000000000005E-2</v>
      </c>
      <c r="D7271" s="4" t="s">
        <v>701</v>
      </c>
      <c r="E7271" s="4" t="s">
        <v>168</v>
      </c>
    </row>
    <row r="7272" spans="1:5" hidden="1" x14ac:dyDescent="0.15">
      <c r="A7272" s="1" t="s">
        <v>35</v>
      </c>
      <c r="B7272" s="2">
        <v>68832</v>
      </c>
      <c r="C7272" s="3">
        <v>3.9E-2</v>
      </c>
      <c r="D7272" s="4" t="s">
        <v>701</v>
      </c>
      <c r="E7272" s="4" t="s">
        <v>168</v>
      </c>
    </row>
    <row r="7273" spans="1:5" ht="26" hidden="1" x14ac:dyDescent="0.15">
      <c r="A7273" s="1" t="s">
        <v>36</v>
      </c>
      <c r="B7273" s="2">
        <v>51051</v>
      </c>
      <c r="C7273" s="3">
        <v>2.8999999999999998E-2</v>
      </c>
      <c r="D7273" s="4" t="s">
        <v>701</v>
      </c>
      <c r="E7273" s="4" t="s">
        <v>168</v>
      </c>
    </row>
    <row r="7274" spans="1:5" hidden="1" x14ac:dyDescent="0.15">
      <c r="A7274" s="1" t="s">
        <v>37</v>
      </c>
      <c r="B7274" s="2">
        <v>36398</v>
      </c>
      <c r="C7274" s="3">
        <v>2.1000000000000001E-2</v>
      </c>
      <c r="D7274" s="4" t="s">
        <v>701</v>
      </c>
      <c r="E7274" s="4" t="s">
        <v>168</v>
      </c>
    </row>
    <row r="7275" spans="1:5" ht="39" hidden="1" x14ac:dyDescent="0.15">
      <c r="A7275" s="1" t="s">
        <v>38</v>
      </c>
      <c r="B7275" s="2">
        <v>38683</v>
      </c>
      <c r="C7275" s="3">
        <v>2.2000000000000002E-2</v>
      </c>
      <c r="D7275" s="4" t="s">
        <v>701</v>
      </c>
      <c r="E7275" s="4" t="s">
        <v>168</v>
      </c>
    </row>
    <row r="7276" spans="1:5" hidden="1" x14ac:dyDescent="0.15">
      <c r="A7276" s="1" t="s">
        <v>39</v>
      </c>
      <c r="B7276" s="2">
        <v>73669</v>
      </c>
      <c r="C7276" s="3">
        <v>4.2000000000000003E-2</v>
      </c>
      <c r="D7276" s="4" t="s">
        <v>701</v>
      </c>
      <c r="E7276" s="4" t="s">
        <v>168</v>
      </c>
    </row>
    <row r="7277" spans="1:5" hidden="1" x14ac:dyDescent="0.15">
      <c r="A7277" s="1" t="s">
        <v>40</v>
      </c>
      <c r="B7277" s="2">
        <v>18707</v>
      </c>
      <c r="C7277" s="3">
        <v>1.1000000000000001E-2</v>
      </c>
      <c r="D7277" s="4" t="s">
        <v>701</v>
      </c>
      <c r="E7277" s="4" t="s">
        <v>168</v>
      </c>
    </row>
    <row r="7278" spans="1:5" hidden="1" x14ac:dyDescent="0.15">
      <c r="A7278" s="1" t="s">
        <v>41</v>
      </c>
      <c r="B7278" s="2">
        <v>30415</v>
      </c>
      <c r="C7278" s="3">
        <v>1.7000000000000001E-2</v>
      </c>
      <c r="D7278" s="4" t="s">
        <v>701</v>
      </c>
      <c r="E7278" s="4" t="s">
        <v>168</v>
      </c>
    </row>
    <row r="7279" spans="1:5" hidden="1" x14ac:dyDescent="0.15">
      <c r="A7279" s="1" t="s">
        <v>42</v>
      </c>
      <c r="B7279" s="2">
        <v>68307</v>
      </c>
      <c r="C7279" s="3">
        <v>3.9E-2</v>
      </c>
      <c r="D7279" s="4" t="s">
        <v>701</v>
      </c>
      <c r="E7279" s="4" t="s">
        <v>168</v>
      </c>
    </row>
    <row r="7280" spans="1:5" hidden="1" x14ac:dyDescent="0.15">
      <c r="A7280" s="1" t="s">
        <v>43</v>
      </c>
      <c r="B7280" s="2">
        <v>175019</v>
      </c>
      <c r="C7280" s="3">
        <v>9.9000000000000005E-2</v>
      </c>
      <c r="D7280" s="4" t="s">
        <v>701</v>
      </c>
      <c r="E7280" s="4" t="s">
        <v>168</v>
      </c>
    </row>
    <row r="7281" spans="1:5" ht="26" hidden="1" x14ac:dyDescent="0.15">
      <c r="A7281" s="1" t="s">
        <v>44</v>
      </c>
      <c r="B7281" s="2">
        <v>178704</v>
      </c>
      <c r="C7281" s="3">
        <v>0.10099999999999999</v>
      </c>
      <c r="D7281" s="4" t="s">
        <v>701</v>
      </c>
      <c r="E7281" s="4" t="s">
        <v>168</v>
      </c>
    </row>
    <row r="7282" spans="1:5" hidden="1" x14ac:dyDescent="0.15">
      <c r="A7282" s="1" t="s">
        <v>45</v>
      </c>
      <c r="B7282" s="2">
        <v>451073</v>
      </c>
      <c r="C7282" s="3">
        <v>0.25600000000000001</v>
      </c>
      <c r="D7282" s="4" t="s">
        <v>701</v>
      </c>
      <c r="E7282" s="4" t="s">
        <v>168</v>
      </c>
    </row>
    <row r="7283" spans="1:5" ht="26" hidden="1" x14ac:dyDescent="0.15">
      <c r="A7283" s="1" t="s">
        <v>46</v>
      </c>
      <c r="B7283" s="2">
        <v>890001</v>
      </c>
      <c r="C7283" s="3">
        <v>0.505</v>
      </c>
      <c r="D7283" s="4" t="s">
        <v>701</v>
      </c>
      <c r="E7283" s="4" t="s">
        <v>168</v>
      </c>
    </row>
    <row r="7284" spans="1:5" hidden="1" x14ac:dyDescent="0.15">
      <c r="A7284" s="1" t="s">
        <v>47</v>
      </c>
      <c r="B7284" s="2">
        <v>914772</v>
      </c>
      <c r="C7284" s="3">
        <v>0.51900000000000002</v>
      </c>
      <c r="D7284" s="4" t="s">
        <v>701</v>
      </c>
      <c r="E7284" s="4" t="s">
        <v>168</v>
      </c>
    </row>
    <row r="7285" spans="1:5" hidden="1" x14ac:dyDescent="0.15">
      <c r="A7285" s="1" t="s">
        <v>48</v>
      </c>
      <c r="B7285" s="2">
        <v>182344</v>
      </c>
      <c r="C7285" s="3">
        <v>0.10400000000000001</v>
      </c>
      <c r="D7285" s="4" t="s">
        <v>701</v>
      </c>
      <c r="E7285" s="4" t="s">
        <v>168</v>
      </c>
    </row>
    <row r="7286" spans="1:5" hidden="1" x14ac:dyDescent="0.15">
      <c r="A7286" s="1" t="s">
        <v>49</v>
      </c>
      <c r="B7286" s="2">
        <v>187319</v>
      </c>
      <c r="C7286" s="3">
        <v>0.106</v>
      </c>
      <c r="D7286" s="4" t="s">
        <v>701</v>
      </c>
      <c r="E7286" s="4" t="s">
        <v>168</v>
      </c>
    </row>
    <row r="7287" spans="1:5" ht="26" hidden="1" x14ac:dyDescent="0.15">
      <c r="A7287" s="1" t="s">
        <v>50</v>
      </c>
      <c r="B7287" s="2">
        <v>276534</v>
      </c>
      <c r="C7287" s="3">
        <v>0.157</v>
      </c>
      <c r="D7287" s="4" t="s">
        <v>701</v>
      </c>
      <c r="E7287" s="4" t="s">
        <v>168</v>
      </c>
    </row>
    <row r="7288" spans="1:5" hidden="1" x14ac:dyDescent="0.15">
      <c r="A7288" s="1" t="s">
        <v>51</v>
      </c>
      <c r="B7288" s="2">
        <v>530773</v>
      </c>
      <c r="C7288" s="3">
        <v>0.30099999999999999</v>
      </c>
      <c r="D7288" s="4" t="s">
        <v>701</v>
      </c>
      <c r="E7288" s="4" t="s">
        <v>168</v>
      </c>
    </row>
    <row r="7289" spans="1:5" hidden="1" x14ac:dyDescent="0.15">
      <c r="A7289" s="1" t="s">
        <v>52</v>
      </c>
      <c r="B7289" s="2">
        <v>208635</v>
      </c>
      <c r="C7289" s="3">
        <v>0.11800000000000001</v>
      </c>
      <c r="D7289" s="4" t="s">
        <v>701</v>
      </c>
      <c r="E7289" s="4" t="s">
        <v>168</v>
      </c>
    </row>
    <row r="7290" spans="1:5" ht="26" hidden="1" x14ac:dyDescent="0.15">
      <c r="A7290" s="1" t="s">
        <v>53</v>
      </c>
      <c r="B7290" s="2">
        <v>150115</v>
      </c>
      <c r="C7290" s="3">
        <v>8.5000000000000006E-2</v>
      </c>
      <c r="D7290" s="4" t="s">
        <v>701</v>
      </c>
      <c r="E7290" s="4" t="s">
        <v>168</v>
      </c>
    </row>
    <row r="7291" spans="1:5" hidden="1" x14ac:dyDescent="0.15">
      <c r="A7291" s="1" t="s">
        <v>54</v>
      </c>
      <c r="B7291" s="2">
        <v>611437</v>
      </c>
      <c r="C7291" s="3">
        <v>0.34700000000000003</v>
      </c>
      <c r="D7291" s="4" t="s">
        <v>701</v>
      </c>
      <c r="E7291" s="4" t="s">
        <v>168</v>
      </c>
    </row>
    <row r="7292" spans="1:5" ht="26" hidden="1" x14ac:dyDescent="0.15">
      <c r="A7292" s="1" t="s">
        <v>55</v>
      </c>
      <c r="B7292" s="2">
        <v>640220</v>
      </c>
      <c r="C7292" s="3">
        <v>0.36299999999999999</v>
      </c>
      <c r="D7292" s="4" t="s">
        <v>701</v>
      </c>
      <c r="E7292" s="4" t="s">
        <v>168</v>
      </c>
    </row>
    <row r="7293" spans="1:5" hidden="1" x14ac:dyDescent="0.15">
      <c r="A7293" s="1" t="s">
        <v>56</v>
      </c>
      <c r="B7293" s="2">
        <v>605358</v>
      </c>
      <c r="C7293" s="3">
        <v>0.34399999999999997</v>
      </c>
      <c r="D7293" s="4" t="s">
        <v>701</v>
      </c>
      <c r="E7293" s="4" t="s">
        <v>168</v>
      </c>
    </row>
    <row r="7294" spans="1:5" hidden="1" x14ac:dyDescent="0.15">
      <c r="A7294" s="1" t="s">
        <v>57</v>
      </c>
      <c r="B7294" s="2">
        <v>337677</v>
      </c>
      <c r="C7294" s="3">
        <v>0.192</v>
      </c>
      <c r="D7294" s="4" t="s">
        <v>701</v>
      </c>
      <c r="E7294" s="4" t="s">
        <v>168</v>
      </c>
    </row>
    <row r="7295" spans="1:5" hidden="1" x14ac:dyDescent="0.15">
      <c r="A7295" s="1" t="s">
        <v>58</v>
      </c>
      <c r="B7295" s="2">
        <v>212377</v>
      </c>
      <c r="C7295" s="3">
        <v>0.121</v>
      </c>
      <c r="D7295" s="4" t="s">
        <v>701</v>
      </c>
      <c r="E7295" s="4" t="s">
        <v>168</v>
      </c>
    </row>
    <row r="7296" spans="1:5" hidden="1" x14ac:dyDescent="0.15">
      <c r="A7296" s="1" t="s">
        <v>59</v>
      </c>
      <c r="B7296" s="2">
        <v>1150156</v>
      </c>
      <c r="C7296" s="3">
        <v>0.65300000000000002</v>
      </c>
      <c r="D7296" s="4" t="s">
        <v>701</v>
      </c>
      <c r="E7296" s="4" t="s">
        <v>168</v>
      </c>
    </row>
    <row r="7297" spans="1:5" hidden="1" x14ac:dyDescent="0.15">
      <c r="A7297" s="1" t="s">
        <v>60</v>
      </c>
      <c r="B7297" s="2">
        <v>268769</v>
      </c>
      <c r="C7297" s="3">
        <v>0.153</v>
      </c>
      <c r="D7297" s="4" t="s">
        <v>701</v>
      </c>
      <c r="E7297" s="4" t="s">
        <v>168</v>
      </c>
    </row>
    <row r="7298" spans="1:5" ht="26" hidden="1" x14ac:dyDescent="0.15">
      <c r="A7298" s="1" t="s">
        <v>61</v>
      </c>
      <c r="B7298" s="2">
        <v>317040</v>
      </c>
      <c r="C7298" s="3">
        <v>0.18</v>
      </c>
      <c r="D7298" s="4" t="s">
        <v>701</v>
      </c>
      <c r="E7298" s="4" t="s">
        <v>168</v>
      </c>
    </row>
    <row r="7299" spans="1:5" hidden="1" x14ac:dyDescent="0.15">
      <c r="A7299" s="1" t="s">
        <v>62</v>
      </c>
      <c r="B7299" s="2">
        <v>94055</v>
      </c>
      <c r="C7299" s="3">
        <v>5.2999999999999999E-2</v>
      </c>
      <c r="D7299" s="4" t="s">
        <v>701</v>
      </c>
      <c r="E7299" s="4" t="s">
        <v>168</v>
      </c>
    </row>
    <row r="7300" spans="1:5" ht="26" hidden="1" x14ac:dyDescent="0.15">
      <c r="A7300" s="1" t="s">
        <v>63</v>
      </c>
      <c r="B7300" s="2">
        <v>272578</v>
      </c>
      <c r="C7300" s="3">
        <v>0.155</v>
      </c>
      <c r="D7300" s="4" t="s">
        <v>701</v>
      </c>
      <c r="E7300" s="4" t="s">
        <v>168</v>
      </c>
    </row>
    <row r="7301" spans="1:5" ht="26" hidden="1" x14ac:dyDescent="0.15">
      <c r="A7301" s="1" t="s">
        <v>64</v>
      </c>
      <c r="B7301" s="2">
        <v>121350</v>
      </c>
      <c r="C7301" s="3">
        <v>6.9000000000000006E-2</v>
      </c>
      <c r="D7301" s="4" t="s">
        <v>701</v>
      </c>
      <c r="E7301" s="4" t="s">
        <v>168</v>
      </c>
    </row>
    <row r="7302" spans="1:5" hidden="1" x14ac:dyDescent="0.15">
      <c r="A7302" s="1" t="s">
        <v>65</v>
      </c>
      <c r="B7302" s="2">
        <v>274586</v>
      </c>
      <c r="C7302" s="3">
        <v>0.156</v>
      </c>
      <c r="D7302" s="4" t="s">
        <v>701</v>
      </c>
      <c r="E7302" s="4" t="s">
        <v>168</v>
      </c>
    </row>
    <row r="7303" spans="1:5" hidden="1" x14ac:dyDescent="0.15">
      <c r="A7303" s="1" t="s">
        <v>66</v>
      </c>
      <c r="B7303" s="2">
        <v>146320</v>
      </c>
      <c r="C7303" s="3">
        <v>8.3000000000000004E-2</v>
      </c>
      <c r="D7303" s="4" t="s">
        <v>701</v>
      </c>
      <c r="E7303" s="4" t="s">
        <v>168</v>
      </c>
    </row>
    <row r="7304" spans="1:5" hidden="1" x14ac:dyDescent="0.15">
      <c r="A7304" s="1" t="s">
        <v>67</v>
      </c>
      <c r="B7304" s="2">
        <v>580417</v>
      </c>
      <c r="C7304" s="3">
        <v>0.33</v>
      </c>
      <c r="D7304" s="4" t="s">
        <v>701</v>
      </c>
      <c r="E7304" s="4" t="s">
        <v>168</v>
      </c>
    </row>
    <row r="7305" spans="1:5" hidden="1" x14ac:dyDescent="0.15">
      <c r="A7305" s="1" t="s">
        <v>68</v>
      </c>
      <c r="B7305" s="2">
        <v>554981</v>
      </c>
      <c r="C7305" s="3">
        <v>0.315</v>
      </c>
      <c r="D7305" s="4" t="s">
        <v>701</v>
      </c>
      <c r="E7305" s="4" t="s">
        <v>168</v>
      </c>
    </row>
    <row r="7306" spans="1:5" hidden="1" x14ac:dyDescent="0.15">
      <c r="A7306" s="1" t="s">
        <v>69</v>
      </c>
      <c r="B7306" s="2">
        <v>1217031</v>
      </c>
      <c r="C7306" s="3">
        <v>0.69099999999999995</v>
      </c>
      <c r="D7306" s="4" t="s">
        <v>701</v>
      </c>
      <c r="E7306" s="4" t="s">
        <v>168</v>
      </c>
    </row>
    <row r="7307" spans="1:5" hidden="1" x14ac:dyDescent="0.15">
      <c r="A7307" s="1" t="s">
        <v>70</v>
      </c>
      <c r="B7307" s="2">
        <v>393160</v>
      </c>
      <c r="C7307" s="3">
        <v>0.223</v>
      </c>
      <c r="D7307" s="4" t="s">
        <v>701</v>
      </c>
      <c r="E7307" s="4" t="s">
        <v>168</v>
      </c>
    </row>
    <row r="7308" spans="1:5" ht="26" hidden="1" x14ac:dyDescent="0.15">
      <c r="A7308" s="1" t="s">
        <v>71</v>
      </c>
      <c r="B7308" s="2">
        <v>95507</v>
      </c>
      <c r="C7308" s="3">
        <v>5.4000000000000006E-2</v>
      </c>
      <c r="D7308" s="4" t="s">
        <v>701</v>
      </c>
      <c r="E7308" s="4" t="s">
        <v>168</v>
      </c>
    </row>
    <row r="7309" spans="1:5" hidden="1" x14ac:dyDescent="0.15">
      <c r="A7309" s="1" t="s">
        <v>72</v>
      </c>
      <c r="B7309" s="2">
        <v>232640</v>
      </c>
      <c r="C7309" s="3">
        <v>0.13200000000000001</v>
      </c>
      <c r="D7309" s="4" t="s">
        <v>701</v>
      </c>
      <c r="E7309" s="4" t="s">
        <v>168</v>
      </c>
    </row>
    <row r="7310" spans="1:5" hidden="1" x14ac:dyDescent="0.15">
      <c r="A7310" s="1" t="s">
        <v>73</v>
      </c>
      <c r="B7310" s="2">
        <v>1067272</v>
      </c>
      <c r="C7310" s="3">
        <v>0.60599999999999998</v>
      </c>
      <c r="D7310" s="4" t="s">
        <v>701</v>
      </c>
      <c r="E7310" s="4" t="s">
        <v>168</v>
      </c>
    </row>
    <row r="7311" spans="1:5" hidden="1" x14ac:dyDescent="0.15">
      <c r="A7311" s="1" t="s">
        <v>74</v>
      </c>
      <c r="B7311" s="2">
        <v>534352</v>
      </c>
      <c r="C7311" s="3">
        <v>0.30299999999999999</v>
      </c>
      <c r="D7311" s="4" t="s">
        <v>701</v>
      </c>
      <c r="E7311" s="4" t="s">
        <v>168</v>
      </c>
    </row>
    <row r="7312" spans="1:5" hidden="1" x14ac:dyDescent="0.15">
      <c r="A7312" s="1" t="s">
        <v>75</v>
      </c>
      <c r="B7312" s="2">
        <v>323278</v>
      </c>
      <c r="C7312" s="3">
        <v>0.184</v>
      </c>
      <c r="D7312" s="4" t="s">
        <v>701</v>
      </c>
      <c r="E7312" s="4" t="s">
        <v>168</v>
      </c>
    </row>
    <row r="7313" spans="1:5" hidden="1" x14ac:dyDescent="0.15">
      <c r="A7313" s="1" t="s">
        <v>76</v>
      </c>
      <c r="B7313" s="2">
        <v>276320</v>
      </c>
      <c r="C7313" s="3">
        <v>0.157</v>
      </c>
      <c r="D7313" s="4" t="s">
        <v>701</v>
      </c>
      <c r="E7313" s="4" t="s">
        <v>168</v>
      </c>
    </row>
    <row r="7314" spans="1:5" hidden="1" x14ac:dyDescent="0.15">
      <c r="A7314" s="1" t="s">
        <v>77</v>
      </c>
      <c r="B7314" s="2">
        <v>222966</v>
      </c>
      <c r="C7314" s="3">
        <v>0.127</v>
      </c>
      <c r="D7314" s="4" t="s">
        <v>701</v>
      </c>
      <c r="E7314" s="4" t="s">
        <v>168</v>
      </c>
    </row>
    <row r="7315" spans="1:5" ht="26" hidden="1" x14ac:dyDescent="0.15">
      <c r="A7315" s="1" t="s">
        <v>78</v>
      </c>
      <c r="B7315" s="2">
        <v>192917</v>
      </c>
      <c r="C7315" s="3">
        <v>0.11</v>
      </c>
      <c r="D7315" s="4" t="s">
        <v>701</v>
      </c>
      <c r="E7315" s="4" t="s">
        <v>168</v>
      </c>
    </row>
    <row r="7316" spans="1:5" hidden="1" x14ac:dyDescent="0.15">
      <c r="A7316" s="1" t="s">
        <v>79</v>
      </c>
      <c r="B7316" s="2">
        <v>343586</v>
      </c>
      <c r="C7316" s="3">
        <v>0.19500000000000001</v>
      </c>
      <c r="D7316" s="4" t="s">
        <v>701</v>
      </c>
      <c r="E7316" s="4" t="s">
        <v>168</v>
      </c>
    </row>
    <row r="7317" spans="1:5" hidden="1" x14ac:dyDescent="0.15">
      <c r="A7317" s="1" t="s">
        <v>80</v>
      </c>
      <c r="B7317" s="2">
        <v>145233</v>
      </c>
      <c r="C7317" s="3">
        <v>8.199999999999999E-2</v>
      </c>
      <c r="D7317" s="4" t="s">
        <v>701</v>
      </c>
      <c r="E7317" s="4" t="s">
        <v>168</v>
      </c>
    </row>
    <row r="7318" spans="1:5" ht="26" hidden="1" x14ac:dyDescent="0.15">
      <c r="A7318" s="1" t="s">
        <v>81</v>
      </c>
      <c r="B7318" s="2">
        <v>296791</v>
      </c>
      <c r="C7318" s="3">
        <v>0.16899999999999998</v>
      </c>
      <c r="D7318" s="4" t="s">
        <v>701</v>
      </c>
      <c r="E7318" s="4" t="s">
        <v>168</v>
      </c>
    </row>
    <row r="7319" spans="1:5" hidden="1" x14ac:dyDescent="0.15">
      <c r="A7319" s="1" t="s">
        <v>82</v>
      </c>
      <c r="B7319" s="2">
        <v>225633</v>
      </c>
      <c r="C7319" s="3">
        <v>0.128</v>
      </c>
      <c r="D7319" s="4" t="s">
        <v>701</v>
      </c>
      <c r="E7319" s="4" t="s">
        <v>168</v>
      </c>
    </row>
    <row r="7320" spans="1:5" hidden="1" x14ac:dyDescent="0.15">
      <c r="A7320" s="4"/>
      <c r="B7320" s="4"/>
      <c r="C7320" s="4"/>
      <c r="D7320" s="4" t="s">
        <v>701</v>
      </c>
      <c r="E7320" s="4" t="s">
        <v>168</v>
      </c>
    </row>
    <row r="7321" spans="1:5" hidden="1" x14ac:dyDescent="0.15">
      <c r="A7321" s="5"/>
      <c r="B7321" s="5"/>
      <c r="C7321" s="5"/>
      <c r="D7321" s="4" t="s">
        <v>701</v>
      </c>
      <c r="E7321" s="4" t="s">
        <v>168</v>
      </c>
    </row>
    <row r="7322" spans="1:5" ht="26" hidden="1" x14ac:dyDescent="0.15">
      <c r="A7322" s="1" t="s">
        <v>702</v>
      </c>
      <c r="B7322" s="2">
        <v>615011</v>
      </c>
      <c r="C7322" s="3">
        <v>0.34899999999999998</v>
      </c>
      <c r="D7322" s="4" t="s">
        <v>701</v>
      </c>
      <c r="E7322" s="4" t="s">
        <v>168</v>
      </c>
    </row>
    <row r="7323" spans="1:5" ht="26" hidden="1" x14ac:dyDescent="0.15">
      <c r="A7323" s="1" t="s">
        <v>703</v>
      </c>
      <c r="B7323" s="2">
        <v>683391</v>
      </c>
      <c r="C7323" s="3">
        <v>0.38799999999999996</v>
      </c>
      <c r="D7323" s="4" t="s">
        <v>701</v>
      </c>
      <c r="E7323" s="4" t="s">
        <v>168</v>
      </c>
    </row>
    <row r="7324" spans="1:5" ht="26" hidden="1" x14ac:dyDescent="0.15">
      <c r="A7324" s="1" t="s">
        <v>704</v>
      </c>
      <c r="B7324" s="2">
        <v>493662</v>
      </c>
      <c r="C7324" s="3">
        <v>0.28000000000000003</v>
      </c>
      <c r="D7324" s="4" t="s">
        <v>701</v>
      </c>
      <c r="E7324" s="4" t="s">
        <v>168</v>
      </c>
    </row>
    <row r="7325" spans="1:5" ht="26" hidden="1" x14ac:dyDescent="0.15">
      <c r="A7325" s="1" t="s">
        <v>705</v>
      </c>
      <c r="B7325" s="2">
        <v>240989</v>
      </c>
      <c r="C7325" s="3">
        <v>0.13699999999999998</v>
      </c>
      <c r="D7325" s="4" t="s">
        <v>701</v>
      </c>
      <c r="E7325" s="4" t="s">
        <v>168</v>
      </c>
    </row>
    <row r="7326" spans="1:5" ht="26" hidden="1" x14ac:dyDescent="0.15">
      <c r="A7326" s="1" t="s">
        <v>706</v>
      </c>
      <c r="B7326" s="2">
        <v>97328</v>
      </c>
      <c r="C7326" s="3">
        <v>5.5E-2</v>
      </c>
      <c r="D7326" s="4" t="s">
        <v>701</v>
      </c>
      <c r="E7326" s="4" t="s">
        <v>168</v>
      </c>
    </row>
    <row r="7327" spans="1:5" ht="26" hidden="1" x14ac:dyDescent="0.15">
      <c r="A7327" s="1" t="s">
        <v>707</v>
      </c>
      <c r="B7327" s="2">
        <v>87103</v>
      </c>
      <c r="C7327" s="3">
        <v>4.9000000000000002E-2</v>
      </c>
      <c r="D7327" s="4" t="s">
        <v>701</v>
      </c>
      <c r="E7327" s="4" t="s">
        <v>168</v>
      </c>
    </row>
    <row r="7328" spans="1:5" hidden="1" x14ac:dyDescent="0.15">
      <c r="A7328" s="1" t="s">
        <v>478</v>
      </c>
      <c r="B7328" s="2">
        <v>1214566</v>
      </c>
      <c r="C7328" s="3">
        <v>0.69</v>
      </c>
      <c r="D7328" s="4" t="s">
        <v>701</v>
      </c>
      <c r="E7328" s="4" t="s">
        <v>168</v>
      </c>
    </row>
    <row r="7329" spans="1:5" ht="26" hidden="1" x14ac:dyDescent="0.15">
      <c r="A7329" s="1" t="s">
        <v>169</v>
      </c>
      <c r="B7329" s="2">
        <v>64806</v>
      </c>
      <c r="C7329" s="3">
        <v>3.7000000000000005E-2</v>
      </c>
      <c r="D7329" s="4" t="s">
        <v>701</v>
      </c>
      <c r="E7329" s="4" t="s">
        <v>168</v>
      </c>
    </row>
    <row r="7330" spans="1:5" hidden="1" x14ac:dyDescent="0.15">
      <c r="A7330" s="1" t="s">
        <v>684</v>
      </c>
      <c r="B7330" s="2">
        <v>43213</v>
      </c>
      <c r="C7330" s="3">
        <v>2.5000000000000001E-2</v>
      </c>
      <c r="D7330" s="4" t="s">
        <v>701</v>
      </c>
      <c r="E7330" s="4" t="s">
        <v>168</v>
      </c>
    </row>
    <row r="7331" spans="1:5" ht="26" hidden="1" x14ac:dyDescent="0.15">
      <c r="A7331" s="1" t="s">
        <v>666</v>
      </c>
      <c r="B7331" s="2">
        <v>98396</v>
      </c>
      <c r="C7331" s="3">
        <v>5.5999999999999994E-2</v>
      </c>
      <c r="D7331" s="4" t="s">
        <v>701</v>
      </c>
      <c r="E7331" s="4" t="s">
        <v>168</v>
      </c>
    </row>
    <row r="7332" spans="1:5" ht="26" hidden="1" x14ac:dyDescent="0.15">
      <c r="A7332" s="1" t="s">
        <v>480</v>
      </c>
      <c r="B7332" s="2">
        <v>1153054</v>
      </c>
      <c r="C7332" s="3">
        <v>0.65500000000000003</v>
      </c>
      <c r="D7332" s="4" t="s">
        <v>701</v>
      </c>
      <c r="E7332" s="4" t="s">
        <v>168</v>
      </c>
    </row>
    <row r="7333" spans="1:5" ht="26" hidden="1" x14ac:dyDescent="0.15">
      <c r="A7333" s="1" t="s">
        <v>172</v>
      </c>
      <c r="B7333" s="2">
        <v>188148</v>
      </c>
      <c r="C7333" s="3">
        <v>0.107</v>
      </c>
      <c r="D7333" s="4" t="s">
        <v>701</v>
      </c>
      <c r="E7333" s="4" t="s">
        <v>168</v>
      </c>
    </row>
    <row r="7334" spans="1:5" ht="26" hidden="1" x14ac:dyDescent="0.15">
      <c r="A7334" s="1" t="s">
        <v>174</v>
      </c>
      <c r="B7334" s="2">
        <v>68996</v>
      </c>
      <c r="C7334" s="3">
        <v>3.9E-2</v>
      </c>
      <c r="D7334" s="4" t="s">
        <v>701</v>
      </c>
      <c r="E7334" s="4" t="s">
        <v>168</v>
      </c>
    </row>
    <row r="7335" spans="1:5" ht="26" hidden="1" x14ac:dyDescent="0.15">
      <c r="A7335" s="1" t="s">
        <v>708</v>
      </c>
      <c r="B7335" s="2">
        <v>372887</v>
      </c>
      <c r="C7335" s="3">
        <v>0.21199999999999999</v>
      </c>
      <c r="D7335" s="4" t="s">
        <v>701</v>
      </c>
      <c r="E7335" s="4" t="s">
        <v>168</v>
      </c>
    </row>
    <row r="7336" spans="1:5" hidden="1" x14ac:dyDescent="0.15">
      <c r="A7336" s="1" t="s">
        <v>0</v>
      </c>
      <c r="B7336" s="2">
        <v>7410224</v>
      </c>
      <c r="C7336" s="3">
        <v>1</v>
      </c>
      <c r="D7336" s="4" t="s">
        <v>709</v>
      </c>
      <c r="E7336" s="4" t="s">
        <v>220</v>
      </c>
    </row>
    <row r="7337" spans="1:5" ht="26" hidden="1" x14ac:dyDescent="0.15">
      <c r="A7337" s="1" t="s">
        <v>3</v>
      </c>
      <c r="B7337" s="2">
        <v>69518</v>
      </c>
      <c r="C7337" s="3">
        <v>9.0000000000000011E-3</v>
      </c>
      <c r="D7337" s="4" t="s">
        <v>709</v>
      </c>
      <c r="E7337" s="4" t="s">
        <v>220</v>
      </c>
    </row>
    <row r="7338" spans="1:5" hidden="1" x14ac:dyDescent="0.15">
      <c r="A7338" s="1" t="s">
        <v>4</v>
      </c>
      <c r="B7338" s="2">
        <v>41978</v>
      </c>
      <c r="C7338" s="3">
        <v>6.0000000000000001E-3</v>
      </c>
      <c r="D7338" s="4" t="s">
        <v>709</v>
      </c>
      <c r="E7338" s="4" t="s">
        <v>220</v>
      </c>
    </row>
    <row r="7339" spans="1:5" ht="26" hidden="1" x14ac:dyDescent="0.15">
      <c r="A7339" s="1" t="s">
        <v>5</v>
      </c>
      <c r="B7339" s="2">
        <v>124193</v>
      </c>
      <c r="C7339" s="3">
        <v>1.7000000000000001E-2</v>
      </c>
      <c r="D7339" s="4" t="s">
        <v>709</v>
      </c>
      <c r="E7339" s="4" t="s">
        <v>220</v>
      </c>
    </row>
    <row r="7340" spans="1:5" ht="26" hidden="1" x14ac:dyDescent="0.15">
      <c r="A7340" s="1" t="s">
        <v>6</v>
      </c>
      <c r="B7340" s="2">
        <v>594020</v>
      </c>
      <c r="C7340" s="3">
        <v>0.08</v>
      </c>
      <c r="D7340" s="4" t="s">
        <v>709</v>
      </c>
      <c r="E7340" s="4" t="s">
        <v>220</v>
      </c>
    </row>
    <row r="7341" spans="1:5" ht="26" hidden="1" x14ac:dyDescent="0.15">
      <c r="A7341" s="1" t="s">
        <v>7</v>
      </c>
      <c r="B7341" s="2">
        <v>919473</v>
      </c>
      <c r="C7341" s="3">
        <v>0.124</v>
      </c>
      <c r="D7341" s="4" t="s">
        <v>709</v>
      </c>
      <c r="E7341" s="4" t="s">
        <v>220</v>
      </c>
    </row>
    <row r="7342" spans="1:5" ht="26" hidden="1" x14ac:dyDescent="0.15">
      <c r="A7342" s="1" t="s">
        <v>8</v>
      </c>
      <c r="B7342" s="2">
        <v>59825</v>
      </c>
      <c r="C7342" s="3">
        <v>8.0000000000000002E-3</v>
      </c>
      <c r="D7342" s="4" t="s">
        <v>709</v>
      </c>
      <c r="E7342" s="4" t="s">
        <v>220</v>
      </c>
    </row>
    <row r="7343" spans="1:5" ht="26" hidden="1" x14ac:dyDescent="0.15">
      <c r="A7343" s="1" t="s">
        <v>9</v>
      </c>
      <c r="B7343" s="2">
        <v>202273</v>
      </c>
      <c r="C7343" s="3">
        <v>2.7000000000000003E-2</v>
      </c>
      <c r="D7343" s="4" t="s">
        <v>709</v>
      </c>
      <c r="E7343" s="4" t="s">
        <v>220</v>
      </c>
    </row>
    <row r="7344" spans="1:5" ht="26" hidden="1" x14ac:dyDescent="0.15">
      <c r="A7344" s="1" t="s">
        <v>10</v>
      </c>
      <c r="B7344" s="2">
        <v>105344</v>
      </c>
      <c r="C7344" s="3">
        <v>1.3999999999999999E-2</v>
      </c>
      <c r="D7344" s="4" t="s">
        <v>709</v>
      </c>
      <c r="E7344" s="4" t="s">
        <v>220</v>
      </c>
    </row>
    <row r="7345" spans="1:5" ht="26" hidden="1" x14ac:dyDescent="0.15">
      <c r="A7345" s="1" t="s">
        <v>11</v>
      </c>
      <c r="B7345" s="2">
        <v>376068</v>
      </c>
      <c r="C7345" s="3">
        <v>5.0999999999999997E-2</v>
      </c>
      <c r="D7345" s="4" t="s">
        <v>709</v>
      </c>
      <c r="E7345" s="4" t="s">
        <v>220</v>
      </c>
    </row>
    <row r="7346" spans="1:5" ht="26" hidden="1" x14ac:dyDescent="0.15">
      <c r="A7346" s="1" t="s">
        <v>12</v>
      </c>
      <c r="B7346" s="2">
        <v>109092</v>
      </c>
      <c r="C7346" s="3">
        <v>1.4999999999999999E-2</v>
      </c>
      <c r="D7346" s="4" t="s">
        <v>709</v>
      </c>
      <c r="E7346" s="4" t="s">
        <v>220</v>
      </c>
    </row>
    <row r="7347" spans="1:5" ht="26" hidden="1" x14ac:dyDescent="0.15">
      <c r="A7347" s="1" t="s">
        <v>13</v>
      </c>
      <c r="B7347" s="2">
        <v>45050</v>
      </c>
      <c r="C7347" s="3">
        <v>6.0000000000000001E-3</v>
      </c>
      <c r="D7347" s="4" t="s">
        <v>709</v>
      </c>
      <c r="E7347" s="4" t="s">
        <v>220</v>
      </c>
    </row>
    <row r="7348" spans="1:5" hidden="1" x14ac:dyDescent="0.15">
      <c r="A7348" s="1" t="s">
        <v>14</v>
      </c>
      <c r="B7348" s="2">
        <v>456517</v>
      </c>
      <c r="C7348" s="3">
        <v>6.2E-2</v>
      </c>
      <c r="D7348" s="4" t="s">
        <v>709</v>
      </c>
      <c r="E7348" s="4" t="s">
        <v>220</v>
      </c>
    </row>
    <row r="7349" spans="1:5" ht="26" hidden="1" x14ac:dyDescent="0.15">
      <c r="A7349" s="1" t="s">
        <v>15</v>
      </c>
      <c r="B7349" s="2">
        <v>380247</v>
      </c>
      <c r="C7349" s="3">
        <v>5.0999999999999997E-2</v>
      </c>
      <c r="D7349" s="4" t="s">
        <v>709</v>
      </c>
      <c r="E7349" s="4" t="s">
        <v>220</v>
      </c>
    </row>
    <row r="7350" spans="1:5" ht="26" hidden="1" x14ac:dyDescent="0.15">
      <c r="A7350" s="1" t="s">
        <v>16</v>
      </c>
      <c r="B7350" s="2">
        <v>185706</v>
      </c>
      <c r="C7350" s="3">
        <v>2.5000000000000001E-2</v>
      </c>
      <c r="D7350" s="4" t="s">
        <v>709</v>
      </c>
      <c r="E7350" s="4" t="s">
        <v>220</v>
      </c>
    </row>
    <row r="7351" spans="1:5" ht="26" hidden="1" x14ac:dyDescent="0.15">
      <c r="A7351" s="1" t="s">
        <v>17</v>
      </c>
      <c r="B7351" s="2">
        <v>124582</v>
      </c>
      <c r="C7351" s="3">
        <v>1.7000000000000001E-2</v>
      </c>
      <c r="D7351" s="4" t="s">
        <v>709</v>
      </c>
      <c r="E7351" s="4" t="s">
        <v>220</v>
      </c>
    </row>
    <row r="7352" spans="1:5" hidden="1" x14ac:dyDescent="0.15">
      <c r="A7352" s="1" t="s">
        <v>18</v>
      </c>
      <c r="B7352" s="2">
        <v>64541</v>
      </c>
      <c r="C7352" s="3">
        <v>9.0000000000000011E-3</v>
      </c>
      <c r="D7352" s="4" t="s">
        <v>709</v>
      </c>
      <c r="E7352" s="4" t="s">
        <v>220</v>
      </c>
    </row>
    <row r="7353" spans="1:5" hidden="1" x14ac:dyDescent="0.15">
      <c r="A7353" s="1" t="s">
        <v>19</v>
      </c>
      <c r="B7353" s="2">
        <v>1243145</v>
      </c>
      <c r="C7353" s="3">
        <v>0.16800000000000001</v>
      </c>
      <c r="D7353" s="4" t="s">
        <v>709</v>
      </c>
      <c r="E7353" s="4" t="s">
        <v>220</v>
      </c>
    </row>
    <row r="7354" spans="1:5" hidden="1" x14ac:dyDescent="0.15">
      <c r="A7354" s="1" t="s">
        <v>20</v>
      </c>
      <c r="B7354" s="2">
        <v>200128</v>
      </c>
      <c r="C7354" s="3">
        <v>2.7000000000000003E-2</v>
      </c>
      <c r="D7354" s="4" t="s">
        <v>709</v>
      </c>
      <c r="E7354" s="4" t="s">
        <v>220</v>
      </c>
    </row>
    <row r="7355" spans="1:5" ht="26" hidden="1" x14ac:dyDescent="0.15">
      <c r="A7355" s="1" t="s">
        <v>21</v>
      </c>
      <c r="B7355" s="2">
        <v>141892</v>
      </c>
      <c r="C7355" s="3">
        <v>1.9E-2</v>
      </c>
      <c r="D7355" s="4" t="s">
        <v>709</v>
      </c>
      <c r="E7355" s="4" t="s">
        <v>220</v>
      </c>
    </row>
    <row r="7356" spans="1:5" ht="26" hidden="1" x14ac:dyDescent="0.15">
      <c r="A7356" s="1" t="s">
        <v>22</v>
      </c>
      <c r="B7356" s="2">
        <v>285688</v>
      </c>
      <c r="C7356" s="3">
        <v>3.9E-2</v>
      </c>
      <c r="D7356" s="4" t="s">
        <v>709</v>
      </c>
      <c r="E7356" s="4" t="s">
        <v>220</v>
      </c>
    </row>
    <row r="7357" spans="1:5" ht="26" hidden="1" x14ac:dyDescent="0.15">
      <c r="A7357" s="1" t="s">
        <v>23</v>
      </c>
      <c r="B7357" s="2">
        <v>52812</v>
      </c>
      <c r="C7357" s="3">
        <v>6.9999999999999993E-3</v>
      </c>
      <c r="D7357" s="4" t="s">
        <v>709</v>
      </c>
      <c r="E7357" s="4" t="s">
        <v>220</v>
      </c>
    </row>
    <row r="7358" spans="1:5" ht="26" hidden="1" x14ac:dyDescent="0.15">
      <c r="A7358" s="1" t="s">
        <v>24</v>
      </c>
      <c r="B7358" s="2">
        <v>36904</v>
      </c>
      <c r="C7358" s="3">
        <v>5.0000000000000001E-3</v>
      </c>
      <c r="D7358" s="4" t="s">
        <v>709</v>
      </c>
      <c r="E7358" s="4" t="s">
        <v>220</v>
      </c>
    </row>
    <row r="7359" spans="1:5" ht="26" hidden="1" x14ac:dyDescent="0.15">
      <c r="A7359" s="1" t="s">
        <v>25</v>
      </c>
      <c r="B7359" s="2">
        <v>108844</v>
      </c>
      <c r="C7359" s="3">
        <v>1.4999999999999999E-2</v>
      </c>
      <c r="D7359" s="4" t="s">
        <v>709</v>
      </c>
      <c r="E7359" s="4" t="s">
        <v>220</v>
      </c>
    </row>
    <row r="7360" spans="1:5" hidden="1" x14ac:dyDescent="0.15">
      <c r="A7360" s="1" t="s">
        <v>26</v>
      </c>
      <c r="B7360" s="2">
        <v>86007</v>
      </c>
      <c r="C7360" s="3">
        <v>1.2E-2</v>
      </c>
      <c r="D7360" s="4" t="s">
        <v>709</v>
      </c>
      <c r="E7360" s="4" t="s">
        <v>220</v>
      </c>
    </row>
    <row r="7361" spans="1:5" hidden="1" x14ac:dyDescent="0.15">
      <c r="A7361" s="1" t="s">
        <v>27</v>
      </c>
      <c r="B7361" s="2">
        <v>298357</v>
      </c>
      <c r="C7361" s="3">
        <v>0.04</v>
      </c>
      <c r="D7361" s="4" t="s">
        <v>709</v>
      </c>
      <c r="E7361" s="4" t="s">
        <v>220</v>
      </c>
    </row>
    <row r="7362" spans="1:5" hidden="1" x14ac:dyDescent="0.15">
      <c r="A7362" s="1" t="s">
        <v>28</v>
      </c>
      <c r="B7362" s="2">
        <v>1131723</v>
      </c>
      <c r="C7362" s="3">
        <v>0.153</v>
      </c>
      <c r="D7362" s="4" t="s">
        <v>709</v>
      </c>
      <c r="E7362" s="4" t="s">
        <v>220</v>
      </c>
    </row>
    <row r="7363" spans="1:5" hidden="1" x14ac:dyDescent="0.15">
      <c r="A7363" s="1" t="s">
        <v>29</v>
      </c>
      <c r="B7363" s="2">
        <v>2354468</v>
      </c>
      <c r="C7363" s="3">
        <v>0.318</v>
      </c>
      <c r="D7363" s="4" t="s">
        <v>709</v>
      </c>
      <c r="E7363" s="4" t="s">
        <v>220</v>
      </c>
    </row>
    <row r="7364" spans="1:5" hidden="1" x14ac:dyDescent="0.15">
      <c r="A7364" s="1" t="s">
        <v>30</v>
      </c>
      <c r="B7364" s="2">
        <v>926902</v>
      </c>
      <c r="C7364" s="3">
        <v>0.125</v>
      </c>
      <c r="D7364" s="4" t="s">
        <v>709</v>
      </c>
      <c r="E7364" s="4" t="s">
        <v>220</v>
      </c>
    </row>
    <row r="7365" spans="1:5" ht="39" hidden="1" x14ac:dyDescent="0.15">
      <c r="A7365" s="1" t="s">
        <v>31</v>
      </c>
      <c r="B7365" s="2">
        <v>47939</v>
      </c>
      <c r="C7365" s="3">
        <v>6.0000000000000001E-3</v>
      </c>
      <c r="D7365" s="4" t="s">
        <v>709</v>
      </c>
      <c r="E7365" s="4" t="s">
        <v>220</v>
      </c>
    </row>
    <row r="7366" spans="1:5" hidden="1" x14ac:dyDescent="0.15">
      <c r="A7366" s="1" t="s">
        <v>32</v>
      </c>
      <c r="B7366" s="2">
        <v>217705</v>
      </c>
      <c r="C7366" s="3">
        <v>2.8999999999999998E-2</v>
      </c>
      <c r="D7366" s="4" t="s">
        <v>709</v>
      </c>
      <c r="E7366" s="4" t="s">
        <v>220</v>
      </c>
    </row>
    <row r="7367" spans="1:5" hidden="1" x14ac:dyDescent="0.15">
      <c r="A7367" s="1" t="s">
        <v>33</v>
      </c>
      <c r="B7367" s="2">
        <v>1832951</v>
      </c>
      <c r="C7367" s="3">
        <v>0.247</v>
      </c>
      <c r="D7367" s="4" t="s">
        <v>709</v>
      </c>
      <c r="E7367" s="4" t="s">
        <v>220</v>
      </c>
    </row>
    <row r="7368" spans="1:5" hidden="1" x14ac:dyDescent="0.15">
      <c r="A7368" s="1" t="s">
        <v>34</v>
      </c>
      <c r="B7368" s="2">
        <v>478405</v>
      </c>
      <c r="C7368" s="3">
        <v>6.5000000000000002E-2</v>
      </c>
      <c r="D7368" s="4" t="s">
        <v>709</v>
      </c>
      <c r="E7368" s="4" t="s">
        <v>220</v>
      </c>
    </row>
    <row r="7369" spans="1:5" hidden="1" x14ac:dyDescent="0.15">
      <c r="A7369" s="1" t="s">
        <v>35</v>
      </c>
      <c r="B7369" s="2">
        <v>459554</v>
      </c>
      <c r="C7369" s="3">
        <v>6.2E-2</v>
      </c>
      <c r="D7369" s="4" t="s">
        <v>709</v>
      </c>
      <c r="E7369" s="4" t="s">
        <v>220</v>
      </c>
    </row>
    <row r="7370" spans="1:5" ht="26" hidden="1" x14ac:dyDescent="0.15">
      <c r="A7370" s="1" t="s">
        <v>36</v>
      </c>
      <c r="B7370" s="2">
        <v>37339</v>
      </c>
      <c r="C7370" s="3">
        <v>5.0000000000000001E-3</v>
      </c>
      <c r="D7370" s="4" t="s">
        <v>709</v>
      </c>
      <c r="E7370" s="4" t="s">
        <v>220</v>
      </c>
    </row>
    <row r="7371" spans="1:5" hidden="1" x14ac:dyDescent="0.15">
      <c r="A7371" s="1" t="s">
        <v>37</v>
      </c>
      <c r="B7371" s="2">
        <v>60716</v>
      </c>
      <c r="C7371" s="3">
        <v>8.0000000000000002E-3</v>
      </c>
      <c r="D7371" s="4" t="s">
        <v>709</v>
      </c>
      <c r="E7371" s="4" t="s">
        <v>220</v>
      </c>
    </row>
    <row r="7372" spans="1:5" ht="39" hidden="1" x14ac:dyDescent="0.15">
      <c r="A7372" s="1" t="s">
        <v>38</v>
      </c>
      <c r="B7372" s="2">
        <v>81757</v>
      </c>
      <c r="C7372" s="3">
        <v>1.1000000000000001E-2</v>
      </c>
      <c r="D7372" s="4" t="s">
        <v>709</v>
      </c>
      <c r="E7372" s="4" t="s">
        <v>220</v>
      </c>
    </row>
    <row r="7373" spans="1:5" hidden="1" x14ac:dyDescent="0.15">
      <c r="A7373" s="1" t="s">
        <v>39</v>
      </c>
      <c r="B7373" s="2">
        <v>291611</v>
      </c>
      <c r="C7373" s="3">
        <v>3.9E-2</v>
      </c>
      <c r="D7373" s="4" t="s">
        <v>709</v>
      </c>
      <c r="E7373" s="4" t="s">
        <v>220</v>
      </c>
    </row>
    <row r="7374" spans="1:5" hidden="1" x14ac:dyDescent="0.15">
      <c r="A7374" s="1" t="s">
        <v>40</v>
      </c>
      <c r="B7374" s="2">
        <v>91794</v>
      </c>
      <c r="C7374" s="3">
        <v>1.2E-2</v>
      </c>
      <c r="D7374" s="4" t="s">
        <v>709</v>
      </c>
      <c r="E7374" s="4" t="s">
        <v>220</v>
      </c>
    </row>
    <row r="7375" spans="1:5" hidden="1" x14ac:dyDescent="0.15">
      <c r="A7375" s="1" t="s">
        <v>41</v>
      </c>
      <c r="B7375" s="2">
        <v>162043</v>
      </c>
      <c r="C7375" s="3">
        <v>2.2000000000000002E-2</v>
      </c>
      <c r="D7375" s="4" t="s">
        <v>709</v>
      </c>
      <c r="E7375" s="4" t="s">
        <v>220</v>
      </c>
    </row>
    <row r="7376" spans="1:5" hidden="1" x14ac:dyDescent="0.15">
      <c r="A7376" s="1" t="s">
        <v>42</v>
      </c>
      <c r="B7376" s="2">
        <v>208175</v>
      </c>
      <c r="C7376" s="3">
        <v>2.7999999999999997E-2</v>
      </c>
      <c r="D7376" s="4" t="s">
        <v>709</v>
      </c>
      <c r="E7376" s="4" t="s">
        <v>220</v>
      </c>
    </row>
    <row r="7377" spans="1:5" hidden="1" x14ac:dyDescent="0.15">
      <c r="A7377" s="1" t="s">
        <v>43</v>
      </c>
      <c r="B7377" s="2">
        <v>454060</v>
      </c>
      <c r="C7377" s="3">
        <v>6.0999999999999999E-2</v>
      </c>
      <c r="D7377" s="4" t="s">
        <v>709</v>
      </c>
      <c r="E7377" s="4" t="s">
        <v>220</v>
      </c>
    </row>
    <row r="7378" spans="1:5" ht="26" hidden="1" x14ac:dyDescent="0.15">
      <c r="A7378" s="1" t="s">
        <v>44</v>
      </c>
      <c r="B7378" s="2">
        <v>702361</v>
      </c>
      <c r="C7378" s="3">
        <v>9.5000000000000001E-2</v>
      </c>
      <c r="D7378" s="4" t="s">
        <v>709</v>
      </c>
      <c r="E7378" s="4" t="s">
        <v>220</v>
      </c>
    </row>
    <row r="7379" spans="1:5" hidden="1" x14ac:dyDescent="0.15">
      <c r="A7379" s="1" t="s">
        <v>45</v>
      </c>
      <c r="B7379" s="2">
        <v>889492</v>
      </c>
      <c r="C7379" s="3">
        <v>0.12</v>
      </c>
      <c r="D7379" s="4" t="s">
        <v>709</v>
      </c>
      <c r="E7379" s="4" t="s">
        <v>220</v>
      </c>
    </row>
    <row r="7380" spans="1:5" ht="26" hidden="1" x14ac:dyDescent="0.15">
      <c r="A7380" s="1" t="s">
        <v>46</v>
      </c>
      <c r="B7380" s="2">
        <v>2109455</v>
      </c>
      <c r="C7380" s="3">
        <v>0.28499999999999998</v>
      </c>
      <c r="D7380" s="4" t="s">
        <v>709</v>
      </c>
      <c r="E7380" s="4" t="s">
        <v>220</v>
      </c>
    </row>
    <row r="7381" spans="1:5" hidden="1" x14ac:dyDescent="0.15">
      <c r="A7381" s="1" t="s">
        <v>47</v>
      </c>
      <c r="B7381" s="2">
        <v>2678312</v>
      </c>
      <c r="C7381" s="3">
        <v>0.36099999999999999</v>
      </c>
      <c r="D7381" s="4" t="s">
        <v>709</v>
      </c>
      <c r="E7381" s="4" t="s">
        <v>220</v>
      </c>
    </row>
    <row r="7382" spans="1:5" hidden="1" x14ac:dyDescent="0.15">
      <c r="A7382" s="1" t="s">
        <v>48</v>
      </c>
      <c r="B7382" s="2">
        <v>784566</v>
      </c>
      <c r="C7382" s="3">
        <v>0.106</v>
      </c>
      <c r="D7382" s="4" t="s">
        <v>709</v>
      </c>
      <c r="E7382" s="4" t="s">
        <v>220</v>
      </c>
    </row>
    <row r="7383" spans="1:5" hidden="1" x14ac:dyDescent="0.15">
      <c r="A7383" s="1" t="s">
        <v>49</v>
      </c>
      <c r="B7383" s="2">
        <v>1092672</v>
      </c>
      <c r="C7383" s="3">
        <v>0.14699999999999999</v>
      </c>
      <c r="D7383" s="4" t="s">
        <v>709</v>
      </c>
      <c r="E7383" s="4" t="s">
        <v>220</v>
      </c>
    </row>
    <row r="7384" spans="1:5" ht="26" hidden="1" x14ac:dyDescent="0.15">
      <c r="A7384" s="1" t="s">
        <v>50</v>
      </c>
      <c r="B7384" s="2">
        <v>982933</v>
      </c>
      <c r="C7384" s="3">
        <v>0.13300000000000001</v>
      </c>
      <c r="D7384" s="4" t="s">
        <v>709</v>
      </c>
      <c r="E7384" s="4" t="s">
        <v>220</v>
      </c>
    </row>
    <row r="7385" spans="1:5" hidden="1" x14ac:dyDescent="0.15">
      <c r="A7385" s="1" t="s">
        <v>51</v>
      </c>
      <c r="B7385" s="2">
        <v>2034854</v>
      </c>
      <c r="C7385" s="3">
        <v>0.27500000000000002</v>
      </c>
      <c r="D7385" s="4" t="s">
        <v>709</v>
      </c>
      <c r="E7385" s="4" t="s">
        <v>220</v>
      </c>
    </row>
    <row r="7386" spans="1:5" hidden="1" x14ac:dyDescent="0.15">
      <c r="A7386" s="1" t="s">
        <v>52</v>
      </c>
      <c r="B7386" s="2">
        <v>871785</v>
      </c>
      <c r="C7386" s="3">
        <v>0.11800000000000001</v>
      </c>
      <c r="D7386" s="4" t="s">
        <v>709</v>
      </c>
      <c r="E7386" s="4" t="s">
        <v>220</v>
      </c>
    </row>
    <row r="7387" spans="1:5" ht="26" hidden="1" x14ac:dyDescent="0.15">
      <c r="A7387" s="1" t="s">
        <v>53</v>
      </c>
      <c r="B7387" s="2">
        <v>566765</v>
      </c>
      <c r="C7387" s="3">
        <v>7.5999999999999998E-2</v>
      </c>
      <c r="D7387" s="4" t="s">
        <v>709</v>
      </c>
      <c r="E7387" s="4" t="s">
        <v>220</v>
      </c>
    </row>
    <row r="7388" spans="1:5" hidden="1" x14ac:dyDescent="0.15">
      <c r="A7388" s="1" t="s">
        <v>54</v>
      </c>
      <c r="B7388" s="2">
        <v>2345171</v>
      </c>
      <c r="C7388" s="3">
        <v>0.316</v>
      </c>
      <c r="D7388" s="4" t="s">
        <v>709</v>
      </c>
      <c r="E7388" s="4" t="s">
        <v>220</v>
      </c>
    </row>
    <row r="7389" spans="1:5" ht="26" hidden="1" x14ac:dyDescent="0.15">
      <c r="A7389" s="1" t="s">
        <v>55</v>
      </c>
      <c r="B7389" s="2">
        <v>1615151</v>
      </c>
      <c r="C7389" s="3">
        <v>0.218</v>
      </c>
      <c r="D7389" s="4" t="s">
        <v>709</v>
      </c>
      <c r="E7389" s="4" t="s">
        <v>220</v>
      </c>
    </row>
    <row r="7390" spans="1:5" hidden="1" x14ac:dyDescent="0.15">
      <c r="A7390" s="1" t="s">
        <v>56</v>
      </c>
      <c r="B7390" s="2">
        <v>1601784</v>
      </c>
      <c r="C7390" s="3">
        <v>0.21600000000000003</v>
      </c>
      <c r="D7390" s="4" t="s">
        <v>709</v>
      </c>
      <c r="E7390" s="4" t="s">
        <v>220</v>
      </c>
    </row>
    <row r="7391" spans="1:5" hidden="1" x14ac:dyDescent="0.15">
      <c r="A7391" s="1" t="s">
        <v>57</v>
      </c>
      <c r="B7391" s="2">
        <v>989487</v>
      </c>
      <c r="C7391" s="3">
        <v>0.13400000000000001</v>
      </c>
      <c r="D7391" s="4" t="s">
        <v>709</v>
      </c>
      <c r="E7391" s="4" t="s">
        <v>220</v>
      </c>
    </row>
    <row r="7392" spans="1:5" hidden="1" x14ac:dyDescent="0.15">
      <c r="A7392" s="1" t="s">
        <v>58</v>
      </c>
      <c r="B7392" s="2">
        <v>706555</v>
      </c>
      <c r="C7392" s="3">
        <v>9.5000000000000001E-2</v>
      </c>
      <c r="D7392" s="4" t="s">
        <v>709</v>
      </c>
      <c r="E7392" s="4" t="s">
        <v>220</v>
      </c>
    </row>
    <row r="7393" spans="1:5" hidden="1" x14ac:dyDescent="0.15">
      <c r="A7393" s="1" t="s">
        <v>59</v>
      </c>
      <c r="B7393" s="2">
        <v>4154103</v>
      </c>
      <c r="C7393" s="3">
        <v>0.56100000000000005</v>
      </c>
      <c r="D7393" s="4" t="s">
        <v>709</v>
      </c>
      <c r="E7393" s="4" t="s">
        <v>220</v>
      </c>
    </row>
    <row r="7394" spans="1:5" hidden="1" x14ac:dyDescent="0.15">
      <c r="A7394" s="1" t="s">
        <v>60</v>
      </c>
      <c r="B7394" s="2">
        <v>1351049</v>
      </c>
      <c r="C7394" s="3">
        <v>0.182</v>
      </c>
      <c r="D7394" s="4" t="s">
        <v>709</v>
      </c>
      <c r="E7394" s="4" t="s">
        <v>220</v>
      </c>
    </row>
    <row r="7395" spans="1:5" ht="26" hidden="1" x14ac:dyDescent="0.15">
      <c r="A7395" s="1" t="s">
        <v>61</v>
      </c>
      <c r="B7395" s="2">
        <v>1149714</v>
      </c>
      <c r="C7395" s="3">
        <v>0.155</v>
      </c>
      <c r="D7395" s="4" t="s">
        <v>709</v>
      </c>
      <c r="E7395" s="4" t="s">
        <v>220</v>
      </c>
    </row>
    <row r="7396" spans="1:5" hidden="1" x14ac:dyDescent="0.15">
      <c r="A7396" s="1" t="s">
        <v>62</v>
      </c>
      <c r="B7396" s="2">
        <v>794158</v>
      </c>
      <c r="C7396" s="3">
        <v>0.107</v>
      </c>
      <c r="D7396" s="4" t="s">
        <v>709</v>
      </c>
      <c r="E7396" s="4" t="s">
        <v>220</v>
      </c>
    </row>
    <row r="7397" spans="1:5" ht="26" hidden="1" x14ac:dyDescent="0.15">
      <c r="A7397" s="1" t="s">
        <v>63</v>
      </c>
      <c r="B7397" s="2">
        <v>822155</v>
      </c>
      <c r="C7397" s="3">
        <v>0.111</v>
      </c>
      <c r="D7397" s="4" t="s">
        <v>709</v>
      </c>
      <c r="E7397" s="4" t="s">
        <v>220</v>
      </c>
    </row>
    <row r="7398" spans="1:5" ht="26" hidden="1" x14ac:dyDescent="0.15">
      <c r="A7398" s="1" t="s">
        <v>64</v>
      </c>
      <c r="B7398" s="2">
        <v>605990</v>
      </c>
      <c r="C7398" s="3">
        <v>8.199999999999999E-2</v>
      </c>
      <c r="D7398" s="4" t="s">
        <v>709</v>
      </c>
      <c r="E7398" s="4" t="s">
        <v>220</v>
      </c>
    </row>
    <row r="7399" spans="1:5" hidden="1" x14ac:dyDescent="0.15">
      <c r="A7399" s="1" t="s">
        <v>65</v>
      </c>
      <c r="B7399" s="2">
        <v>865163</v>
      </c>
      <c r="C7399" s="3">
        <v>0.11699999999999999</v>
      </c>
      <c r="D7399" s="4" t="s">
        <v>709</v>
      </c>
      <c r="E7399" s="4" t="s">
        <v>220</v>
      </c>
    </row>
    <row r="7400" spans="1:5" hidden="1" x14ac:dyDescent="0.15">
      <c r="A7400" s="1" t="s">
        <v>66</v>
      </c>
      <c r="B7400" s="2">
        <v>449596</v>
      </c>
      <c r="C7400" s="3">
        <v>6.0999999999999999E-2</v>
      </c>
      <c r="D7400" s="4" t="s">
        <v>709</v>
      </c>
      <c r="E7400" s="4" t="s">
        <v>220</v>
      </c>
    </row>
    <row r="7401" spans="1:5" hidden="1" x14ac:dyDescent="0.15">
      <c r="A7401" s="1" t="s">
        <v>67</v>
      </c>
      <c r="B7401" s="2">
        <v>1377770</v>
      </c>
      <c r="C7401" s="3">
        <v>0.18600000000000003</v>
      </c>
      <c r="D7401" s="4" t="s">
        <v>709</v>
      </c>
      <c r="E7401" s="4" t="s">
        <v>220</v>
      </c>
    </row>
    <row r="7402" spans="1:5" hidden="1" x14ac:dyDescent="0.15">
      <c r="A7402" s="1" t="s">
        <v>68</v>
      </c>
      <c r="B7402" s="2">
        <v>3336204</v>
      </c>
      <c r="C7402" s="3">
        <v>0.45</v>
      </c>
      <c r="D7402" s="4" t="s">
        <v>709</v>
      </c>
      <c r="E7402" s="4" t="s">
        <v>220</v>
      </c>
    </row>
    <row r="7403" spans="1:5" hidden="1" x14ac:dyDescent="0.15">
      <c r="A7403" s="1" t="s">
        <v>69</v>
      </c>
      <c r="B7403" s="2">
        <v>4772449</v>
      </c>
      <c r="C7403" s="3">
        <v>0.64400000000000002</v>
      </c>
      <c r="D7403" s="4" t="s">
        <v>709</v>
      </c>
      <c r="E7403" s="4" t="s">
        <v>220</v>
      </c>
    </row>
    <row r="7404" spans="1:5" hidden="1" x14ac:dyDescent="0.15">
      <c r="A7404" s="1" t="s">
        <v>70</v>
      </c>
      <c r="B7404" s="2">
        <v>2893991</v>
      </c>
      <c r="C7404" s="3">
        <v>0.39100000000000001</v>
      </c>
      <c r="D7404" s="4" t="s">
        <v>709</v>
      </c>
      <c r="E7404" s="4" t="s">
        <v>220</v>
      </c>
    </row>
    <row r="7405" spans="1:5" ht="26" hidden="1" x14ac:dyDescent="0.15">
      <c r="A7405" s="1" t="s">
        <v>71</v>
      </c>
      <c r="B7405" s="2">
        <v>454177</v>
      </c>
      <c r="C7405" s="3">
        <v>6.0999999999999999E-2</v>
      </c>
      <c r="D7405" s="4" t="s">
        <v>709</v>
      </c>
      <c r="E7405" s="4" t="s">
        <v>220</v>
      </c>
    </row>
    <row r="7406" spans="1:5" hidden="1" x14ac:dyDescent="0.15">
      <c r="A7406" s="1" t="s">
        <v>72</v>
      </c>
      <c r="B7406" s="2">
        <v>815198</v>
      </c>
      <c r="C7406" s="3">
        <v>0.11</v>
      </c>
      <c r="D7406" s="4" t="s">
        <v>709</v>
      </c>
      <c r="E7406" s="4" t="s">
        <v>220</v>
      </c>
    </row>
    <row r="7407" spans="1:5" hidden="1" x14ac:dyDescent="0.15">
      <c r="A7407" s="1" t="s">
        <v>73</v>
      </c>
      <c r="B7407" s="2">
        <v>4329052</v>
      </c>
      <c r="C7407" s="3">
        <v>0.58399999999999996</v>
      </c>
      <c r="D7407" s="4" t="s">
        <v>709</v>
      </c>
      <c r="E7407" s="4" t="s">
        <v>220</v>
      </c>
    </row>
    <row r="7408" spans="1:5" hidden="1" x14ac:dyDescent="0.15">
      <c r="A7408" s="1" t="s">
        <v>74</v>
      </c>
      <c r="B7408" s="2">
        <v>1875668</v>
      </c>
      <c r="C7408" s="3">
        <v>0.253</v>
      </c>
      <c r="D7408" s="4" t="s">
        <v>709</v>
      </c>
      <c r="E7408" s="4" t="s">
        <v>220</v>
      </c>
    </row>
    <row r="7409" spans="1:5" hidden="1" x14ac:dyDescent="0.15">
      <c r="A7409" s="1" t="s">
        <v>75</v>
      </c>
      <c r="B7409" s="2">
        <v>1540026</v>
      </c>
      <c r="C7409" s="3">
        <v>0.20800000000000002</v>
      </c>
      <c r="D7409" s="4" t="s">
        <v>709</v>
      </c>
      <c r="E7409" s="4" t="s">
        <v>220</v>
      </c>
    </row>
    <row r="7410" spans="1:5" hidden="1" x14ac:dyDescent="0.15">
      <c r="A7410" s="1" t="s">
        <v>76</v>
      </c>
      <c r="B7410" s="2">
        <v>641002</v>
      </c>
      <c r="C7410" s="3">
        <v>8.6999999999999994E-2</v>
      </c>
      <c r="D7410" s="4" t="s">
        <v>709</v>
      </c>
      <c r="E7410" s="4" t="s">
        <v>220</v>
      </c>
    </row>
    <row r="7411" spans="1:5" hidden="1" x14ac:dyDescent="0.15">
      <c r="A7411" s="1" t="s">
        <v>77</v>
      </c>
      <c r="B7411" s="2">
        <v>521068</v>
      </c>
      <c r="C7411" s="3">
        <v>7.0000000000000007E-2</v>
      </c>
      <c r="D7411" s="4" t="s">
        <v>709</v>
      </c>
      <c r="E7411" s="4" t="s">
        <v>220</v>
      </c>
    </row>
    <row r="7412" spans="1:5" ht="26" hidden="1" x14ac:dyDescent="0.15">
      <c r="A7412" s="1" t="s">
        <v>78</v>
      </c>
      <c r="B7412" s="2">
        <v>586621</v>
      </c>
      <c r="C7412" s="3">
        <v>7.9000000000000001E-2</v>
      </c>
      <c r="D7412" s="4" t="s">
        <v>709</v>
      </c>
      <c r="E7412" s="4" t="s">
        <v>220</v>
      </c>
    </row>
    <row r="7413" spans="1:5" hidden="1" x14ac:dyDescent="0.15">
      <c r="A7413" s="1" t="s">
        <v>79</v>
      </c>
      <c r="B7413" s="2">
        <v>1256836</v>
      </c>
      <c r="C7413" s="3">
        <v>0.17</v>
      </c>
      <c r="D7413" s="4" t="s">
        <v>709</v>
      </c>
      <c r="E7413" s="4" t="s">
        <v>220</v>
      </c>
    </row>
    <row r="7414" spans="1:5" hidden="1" x14ac:dyDescent="0.15">
      <c r="A7414" s="1" t="s">
        <v>80</v>
      </c>
      <c r="B7414" s="2">
        <v>907551</v>
      </c>
      <c r="C7414" s="3">
        <v>0.122</v>
      </c>
      <c r="D7414" s="4" t="s">
        <v>709</v>
      </c>
      <c r="E7414" s="4" t="s">
        <v>220</v>
      </c>
    </row>
    <row r="7415" spans="1:5" ht="26" hidden="1" x14ac:dyDescent="0.15">
      <c r="A7415" s="1" t="s">
        <v>81</v>
      </c>
      <c r="B7415" s="2">
        <v>1255863</v>
      </c>
      <c r="C7415" s="3">
        <v>0.16899999999999998</v>
      </c>
      <c r="D7415" s="4" t="s">
        <v>709</v>
      </c>
      <c r="E7415" s="4" t="s">
        <v>220</v>
      </c>
    </row>
    <row r="7416" spans="1:5" hidden="1" x14ac:dyDescent="0.15">
      <c r="A7416" s="1" t="s">
        <v>82</v>
      </c>
      <c r="B7416" s="2">
        <v>922018</v>
      </c>
      <c r="C7416" s="3">
        <v>0.124</v>
      </c>
      <c r="D7416" s="4" t="s">
        <v>709</v>
      </c>
      <c r="E7416" s="4" t="s">
        <v>220</v>
      </c>
    </row>
    <row r="7417" spans="1:5" hidden="1" x14ac:dyDescent="0.15">
      <c r="A7417" s="4"/>
      <c r="B7417" s="4"/>
      <c r="C7417" s="4"/>
      <c r="D7417" s="4" t="s">
        <v>709</v>
      </c>
      <c r="E7417" s="4" t="s">
        <v>220</v>
      </c>
    </row>
    <row r="7418" spans="1:5" hidden="1" x14ac:dyDescent="0.15">
      <c r="A7418" s="16"/>
      <c r="B7418" s="16"/>
      <c r="C7418" s="16"/>
      <c r="D7418" s="4" t="s">
        <v>709</v>
      </c>
      <c r="E7418" s="4" t="s">
        <v>220</v>
      </c>
    </row>
    <row r="7419" spans="1:5" hidden="1" x14ac:dyDescent="0.15">
      <c r="A7419" s="1" t="s">
        <v>452</v>
      </c>
      <c r="B7419" s="2">
        <v>3319597</v>
      </c>
      <c r="C7419" s="3">
        <v>0.44799999999999995</v>
      </c>
      <c r="D7419" s="4" t="s">
        <v>709</v>
      </c>
      <c r="E7419" s="4" t="s">
        <v>220</v>
      </c>
    </row>
    <row r="7420" spans="1:5" ht="26" hidden="1" x14ac:dyDescent="0.15">
      <c r="A7420" s="1" t="s">
        <v>453</v>
      </c>
      <c r="B7420" s="2">
        <v>2920430</v>
      </c>
      <c r="C7420" s="3">
        <v>0.39399999999999996</v>
      </c>
      <c r="D7420" s="4" t="s">
        <v>709</v>
      </c>
      <c r="E7420" s="4" t="s">
        <v>220</v>
      </c>
    </row>
    <row r="7421" spans="1:5" hidden="1" x14ac:dyDescent="0.15">
      <c r="A7421" s="4"/>
      <c r="B7421" s="4"/>
      <c r="C7421" s="4"/>
      <c r="D7421" s="4" t="s">
        <v>709</v>
      </c>
      <c r="E7421" s="4" t="s">
        <v>220</v>
      </c>
    </row>
    <row r="7422" spans="1:5" hidden="1" x14ac:dyDescent="0.15">
      <c r="A7422" s="16"/>
      <c r="B7422" s="16"/>
      <c r="C7422" s="16"/>
      <c r="D7422" s="4" t="s">
        <v>709</v>
      </c>
      <c r="E7422" s="4" t="s">
        <v>220</v>
      </c>
    </row>
    <row r="7423" spans="1:5" hidden="1" x14ac:dyDescent="0.15">
      <c r="A7423" s="1" t="s">
        <v>710</v>
      </c>
      <c r="B7423" s="2">
        <v>588487</v>
      </c>
      <c r="C7423" s="3">
        <v>7.9000000000000001E-2</v>
      </c>
      <c r="D7423" s="4" t="s">
        <v>709</v>
      </c>
      <c r="E7423" s="4" t="s">
        <v>220</v>
      </c>
    </row>
    <row r="7424" spans="1:5" hidden="1" x14ac:dyDescent="0.15">
      <c r="A7424" s="4"/>
      <c r="B7424" s="4"/>
      <c r="C7424" s="4"/>
      <c r="D7424" s="4" t="s">
        <v>709</v>
      </c>
      <c r="E7424" s="4" t="s">
        <v>220</v>
      </c>
    </row>
    <row r="7425" spans="1:5" hidden="1" x14ac:dyDescent="0.15">
      <c r="A7425" s="16"/>
      <c r="B7425" s="16"/>
      <c r="C7425" s="16"/>
      <c r="D7425" s="4" t="s">
        <v>709</v>
      </c>
      <c r="E7425" s="4" t="s">
        <v>220</v>
      </c>
    </row>
    <row r="7426" spans="1:5" hidden="1" x14ac:dyDescent="0.15">
      <c r="A7426" s="1" t="s">
        <v>455</v>
      </c>
      <c r="B7426" s="2">
        <v>3308993</v>
      </c>
      <c r="C7426" s="3">
        <v>0.44700000000000001</v>
      </c>
      <c r="D7426" s="4" t="s">
        <v>709</v>
      </c>
      <c r="E7426" s="4" t="s">
        <v>220</v>
      </c>
    </row>
    <row r="7427" spans="1:5" hidden="1" x14ac:dyDescent="0.15">
      <c r="A7427" s="4"/>
      <c r="B7427" s="4"/>
      <c r="C7427" s="4"/>
      <c r="D7427" s="4" t="s">
        <v>709</v>
      </c>
      <c r="E7427" s="4" t="s">
        <v>220</v>
      </c>
    </row>
    <row r="7428" spans="1:5" hidden="1" x14ac:dyDescent="0.15">
      <c r="A7428" s="16"/>
      <c r="B7428" s="16"/>
      <c r="C7428" s="16"/>
      <c r="D7428" s="4" t="s">
        <v>709</v>
      </c>
      <c r="E7428" s="4" t="s">
        <v>220</v>
      </c>
    </row>
    <row r="7429" spans="1:5" hidden="1" x14ac:dyDescent="0.15">
      <c r="A7429" s="1" t="s">
        <v>457</v>
      </c>
      <c r="B7429" s="2">
        <v>4398890</v>
      </c>
      <c r="C7429" s="3">
        <v>0.59399999999999997</v>
      </c>
      <c r="D7429" s="4" t="s">
        <v>709</v>
      </c>
      <c r="E7429" s="4" t="s">
        <v>220</v>
      </c>
    </row>
    <row r="7430" spans="1:5" hidden="1" x14ac:dyDescent="0.15">
      <c r="A7430" s="4"/>
      <c r="B7430" s="4"/>
      <c r="C7430" s="4"/>
      <c r="D7430" s="4" t="s">
        <v>709</v>
      </c>
      <c r="E7430" s="4" t="s">
        <v>220</v>
      </c>
    </row>
    <row r="7431" spans="1:5" hidden="1" x14ac:dyDescent="0.15">
      <c r="A7431" s="16"/>
      <c r="B7431" s="16"/>
      <c r="C7431" s="16"/>
      <c r="D7431" s="4" t="s">
        <v>709</v>
      </c>
      <c r="E7431" s="4" t="s">
        <v>220</v>
      </c>
    </row>
    <row r="7432" spans="1:5" ht="26" hidden="1" x14ac:dyDescent="0.15">
      <c r="A7432" s="1" t="s">
        <v>458</v>
      </c>
      <c r="B7432" s="2">
        <v>2377651</v>
      </c>
      <c r="C7432" s="3">
        <v>0.32100000000000001</v>
      </c>
      <c r="D7432" s="4" t="s">
        <v>709</v>
      </c>
      <c r="E7432" s="4" t="s">
        <v>220</v>
      </c>
    </row>
    <row r="7433" spans="1:5" hidden="1" x14ac:dyDescent="0.15">
      <c r="A7433" s="4"/>
      <c r="B7433" s="4"/>
      <c r="C7433" s="4"/>
      <c r="D7433" s="4" t="s">
        <v>709</v>
      </c>
      <c r="E7433" s="4" t="s">
        <v>220</v>
      </c>
    </row>
    <row r="7434" spans="1:5" hidden="1" x14ac:dyDescent="0.15">
      <c r="A7434" s="16"/>
      <c r="B7434" s="16"/>
      <c r="C7434" s="16"/>
      <c r="D7434" s="4" t="s">
        <v>709</v>
      </c>
      <c r="E7434" s="4" t="s">
        <v>220</v>
      </c>
    </row>
    <row r="7435" spans="1:5" ht="26" hidden="1" x14ac:dyDescent="0.15">
      <c r="A7435" s="1" t="s">
        <v>711</v>
      </c>
      <c r="B7435" s="2">
        <v>175815</v>
      </c>
      <c r="C7435" s="3">
        <v>2.4E-2</v>
      </c>
      <c r="D7435" s="4" t="s">
        <v>709</v>
      </c>
      <c r="E7435" s="4" t="s">
        <v>220</v>
      </c>
    </row>
    <row r="7436" spans="1:5" ht="26" hidden="1" x14ac:dyDescent="0.15">
      <c r="A7436" s="1" t="s">
        <v>712</v>
      </c>
      <c r="B7436" s="2">
        <v>585902</v>
      </c>
      <c r="C7436" s="3">
        <v>7.9000000000000001E-2</v>
      </c>
      <c r="D7436" s="4" t="s">
        <v>709</v>
      </c>
      <c r="E7436" s="4" t="s">
        <v>220</v>
      </c>
    </row>
    <row r="7437" spans="1:5" hidden="1" x14ac:dyDescent="0.15">
      <c r="A7437" s="4"/>
      <c r="B7437" s="4"/>
      <c r="C7437" s="4"/>
      <c r="D7437" s="4" t="s">
        <v>709</v>
      </c>
      <c r="E7437" s="4" t="s">
        <v>220</v>
      </c>
    </row>
    <row r="7438" spans="1:5" hidden="1" x14ac:dyDescent="0.15">
      <c r="A7438" s="16"/>
      <c r="B7438" s="16"/>
      <c r="C7438" s="16"/>
      <c r="D7438" s="4" t="s">
        <v>709</v>
      </c>
      <c r="E7438" s="4" t="s">
        <v>220</v>
      </c>
    </row>
    <row r="7439" spans="1:5" ht="26" hidden="1" x14ac:dyDescent="0.15">
      <c r="A7439" s="1" t="s">
        <v>713</v>
      </c>
      <c r="B7439" s="2">
        <v>417870</v>
      </c>
      <c r="C7439" s="3">
        <v>5.5999999999999994E-2</v>
      </c>
      <c r="D7439" s="4" t="s">
        <v>709</v>
      </c>
      <c r="E7439" s="4" t="s">
        <v>220</v>
      </c>
    </row>
    <row r="7440" spans="1:5" ht="26" hidden="1" x14ac:dyDescent="0.15">
      <c r="A7440" s="1" t="s">
        <v>212</v>
      </c>
      <c r="B7440" s="2">
        <v>759095</v>
      </c>
      <c r="C7440" s="3">
        <v>0.10199999999999999</v>
      </c>
      <c r="D7440" s="4" t="s">
        <v>709</v>
      </c>
      <c r="E7440" s="4" t="s">
        <v>220</v>
      </c>
    </row>
    <row r="7441" spans="1:5" ht="26" hidden="1" x14ac:dyDescent="0.15">
      <c r="A7441" s="1" t="s">
        <v>213</v>
      </c>
      <c r="B7441" s="2">
        <v>808476</v>
      </c>
      <c r="C7441" s="3">
        <v>0.109</v>
      </c>
      <c r="D7441" s="4" t="s">
        <v>709</v>
      </c>
      <c r="E7441" s="4" t="s">
        <v>220</v>
      </c>
    </row>
    <row r="7442" spans="1:5" ht="39" hidden="1" x14ac:dyDescent="0.15">
      <c r="A7442" s="1" t="s">
        <v>714</v>
      </c>
      <c r="B7442" s="2">
        <v>284418</v>
      </c>
      <c r="C7442" s="3">
        <v>3.7999999999999999E-2</v>
      </c>
      <c r="D7442" s="4" t="s">
        <v>709</v>
      </c>
      <c r="E7442" s="4" t="s">
        <v>220</v>
      </c>
    </row>
    <row r="7443" spans="1:5" ht="26" hidden="1" x14ac:dyDescent="0.15">
      <c r="A7443" s="1" t="s">
        <v>715</v>
      </c>
      <c r="B7443" s="2">
        <v>428817</v>
      </c>
      <c r="C7443" s="3">
        <v>5.7999999999999996E-2</v>
      </c>
      <c r="D7443" s="4" t="s">
        <v>709</v>
      </c>
      <c r="E7443" s="4" t="s">
        <v>220</v>
      </c>
    </row>
    <row r="7444" spans="1:5" ht="39" hidden="1" x14ac:dyDescent="0.15">
      <c r="A7444" s="1" t="s">
        <v>716</v>
      </c>
      <c r="B7444" s="2">
        <v>581353</v>
      </c>
      <c r="C7444" s="3">
        <v>7.8E-2</v>
      </c>
      <c r="D7444" s="4" t="s">
        <v>709</v>
      </c>
      <c r="E7444" s="4" t="s">
        <v>220</v>
      </c>
    </row>
    <row r="7445" spans="1:5" ht="26" hidden="1" x14ac:dyDescent="0.15">
      <c r="A7445" s="1" t="s">
        <v>717</v>
      </c>
      <c r="B7445" s="2">
        <v>773153</v>
      </c>
      <c r="C7445" s="3">
        <v>0.10400000000000001</v>
      </c>
      <c r="D7445" s="4" t="s">
        <v>709</v>
      </c>
      <c r="E7445" s="4" t="s">
        <v>220</v>
      </c>
    </row>
    <row r="7446" spans="1:5" ht="26" hidden="1" x14ac:dyDescent="0.15">
      <c r="A7446" s="1" t="s">
        <v>537</v>
      </c>
      <c r="B7446" s="2">
        <v>655540</v>
      </c>
      <c r="C7446" s="3">
        <v>8.8000000000000009E-2</v>
      </c>
      <c r="D7446" s="4" t="s">
        <v>709</v>
      </c>
      <c r="E7446" s="4" t="s">
        <v>220</v>
      </c>
    </row>
    <row r="7447" spans="1:5" ht="26" hidden="1" x14ac:dyDescent="0.15">
      <c r="A7447" s="1" t="s">
        <v>181</v>
      </c>
      <c r="B7447" s="2">
        <v>1039296</v>
      </c>
      <c r="C7447" s="3">
        <v>0.14000000000000001</v>
      </c>
      <c r="D7447" s="4" t="s">
        <v>709</v>
      </c>
      <c r="E7447" s="4" t="s">
        <v>220</v>
      </c>
    </row>
    <row r="7448" spans="1:5" hidden="1" x14ac:dyDescent="0.15">
      <c r="A7448" s="1" t="s">
        <v>0</v>
      </c>
      <c r="B7448" s="2">
        <v>2288528</v>
      </c>
      <c r="C7448" s="3">
        <v>1</v>
      </c>
      <c r="D7448" s="4" t="s">
        <v>718</v>
      </c>
      <c r="E7448" s="4" t="s">
        <v>317</v>
      </c>
    </row>
    <row r="7449" spans="1:5" ht="26" hidden="1" x14ac:dyDescent="0.15">
      <c r="A7449" s="1" t="s">
        <v>3</v>
      </c>
      <c r="B7449" s="2">
        <v>31496</v>
      </c>
      <c r="C7449" s="3">
        <v>1.3999999999999999E-2</v>
      </c>
      <c r="D7449" s="4" t="s">
        <v>718</v>
      </c>
      <c r="E7449" s="4" t="s">
        <v>317</v>
      </c>
    </row>
    <row r="7450" spans="1:5" hidden="1" x14ac:dyDescent="0.15">
      <c r="A7450" s="1" t="s">
        <v>4</v>
      </c>
      <c r="B7450" s="2">
        <v>34569</v>
      </c>
      <c r="C7450" s="3">
        <v>1.4999999999999999E-2</v>
      </c>
      <c r="D7450" s="4" t="s">
        <v>718</v>
      </c>
      <c r="E7450" s="4" t="s">
        <v>317</v>
      </c>
    </row>
    <row r="7451" spans="1:5" ht="26" hidden="1" x14ac:dyDescent="0.15">
      <c r="A7451" s="1" t="s">
        <v>5</v>
      </c>
      <c r="B7451" s="2">
        <v>113982</v>
      </c>
      <c r="C7451" s="3">
        <v>0.05</v>
      </c>
      <c r="D7451" s="4" t="s">
        <v>718</v>
      </c>
      <c r="E7451" s="4" t="s">
        <v>317</v>
      </c>
    </row>
    <row r="7452" spans="1:5" ht="26" hidden="1" x14ac:dyDescent="0.15">
      <c r="A7452" s="1" t="s">
        <v>6</v>
      </c>
      <c r="B7452" s="2">
        <v>353070</v>
      </c>
      <c r="C7452" s="3">
        <v>0.154</v>
      </c>
      <c r="D7452" s="4" t="s">
        <v>718</v>
      </c>
      <c r="E7452" s="4" t="s">
        <v>317</v>
      </c>
    </row>
    <row r="7453" spans="1:5" ht="26" hidden="1" x14ac:dyDescent="0.15">
      <c r="A7453" s="1" t="s">
        <v>7</v>
      </c>
      <c r="B7453" s="2">
        <v>439528</v>
      </c>
      <c r="C7453" s="3">
        <v>0.192</v>
      </c>
      <c r="D7453" s="4" t="s">
        <v>718</v>
      </c>
      <c r="E7453" s="4" t="s">
        <v>317</v>
      </c>
    </row>
    <row r="7454" spans="1:5" ht="26" hidden="1" x14ac:dyDescent="0.15">
      <c r="A7454" s="1" t="s">
        <v>8</v>
      </c>
      <c r="B7454" s="2">
        <v>6248</v>
      </c>
      <c r="C7454" s="3">
        <v>3.0000000000000001E-3</v>
      </c>
      <c r="D7454" s="4" t="s">
        <v>718</v>
      </c>
      <c r="E7454" s="4" t="s">
        <v>317</v>
      </c>
    </row>
    <row r="7455" spans="1:5" ht="26" hidden="1" x14ac:dyDescent="0.15">
      <c r="A7455" s="1" t="s">
        <v>9</v>
      </c>
      <c r="B7455" s="2">
        <v>31266</v>
      </c>
      <c r="C7455" s="3">
        <v>1.3999999999999999E-2</v>
      </c>
      <c r="D7455" s="4" t="s">
        <v>718</v>
      </c>
      <c r="E7455" s="4" t="s">
        <v>317</v>
      </c>
    </row>
    <row r="7456" spans="1:5" ht="26" hidden="1" x14ac:dyDescent="0.15">
      <c r="A7456" s="1" t="s">
        <v>10</v>
      </c>
      <c r="B7456" s="2">
        <v>37020</v>
      </c>
      <c r="C7456" s="3">
        <v>1.6E-2</v>
      </c>
      <c r="D7456" s="4" t="s">
        <v>718</v>
      </c>
      <c r="E7456" s="4" t="s">
        <v>317</v>
      </c>
    </row>
    <row r="7457" spans="1:5" ht="26" hidden="1" x14ac:dyDescent="0.15">
      <c r="A7457" s="1" t="s">
        <v>11</v>
      </c>
      <c r="B7457" s="2">
        <v>112011</v>
      </c>
      <c r="C7457" s="3">
        <v>4.9000000000000002E-2</v>
      </c>
      <c r="D7457" s="4" t="s">
        <v>718</v>
      </c>
      <c r="E7457" s="4" t="s">
        <v>317</v>
      </c>
    </row>
    <row r="7458" spans="1:5" ht="26" hidden="1" x14ac:dyDescent="0.15">
      <c r="A7458" s="1" t="s">
        <v>12</v>
      </c>
      <c r="B7458" s="2">
        <v>50159</v>
      </c>
      <c r="C7458" s="3">
        <v>2.2000000000000002E-2</v>
      </c>
      <c r="D7458" s="4" t="s">
        <v>718</v>
      </c>
      <c r="E7458" s="4" t="s">
        <v>317</v>
      </c>
    </row>
    <row r="7459" spans="1:5" ht="26" hidden="1" x14ac:dyDescent="0.15">
      <c r="A7459" s="1" t="s">
        <v>13</v>
      </c>
      <c r="B7459" s="2">
        <v>27580</v>
      </c>
      <c r="C7459" s="3">
        <v>1.2E-2</v>
      </c>
      <c r="D7459" s="4" t="s">
        <v>718</v>
      </c>
      <c r="E7459" s="4" t="s">
        <v>317</v>
      </c>
    </row>
    <row r="7460" spans="1:5" hidden="1" x14ac:dyDescent="0.15">
      <c r="A7460" s="1" t="s">
        <v>14</v>
      </c>
      <c r="B7460" s="2">
        <v>153069</v>
      </c>
      <c r="C7460" s="3">
        <v>6.7000000000000004E-2</v>
      </c>
      <c r="D7460" s="4" t="s">
        <v>718</v>
      </c>
      <c r="E7460" s="4" t="s">
        <v>317</v>
      </c>
    </row>
    <row r="7461" spans="1:5" ht="26" hidden="1" x14ac:dyDescent="0.15">
      <c r="A7461" s="1" t="s">
        <v>15</v>
      </c>
      <c r="B7461" s="2">
        <v>121386</v>
      </c>
      <c r="C7461" s="3">
        <v>5.2999999999999999E-2</v>
      </c>
      <c r="D7461" s="4" t="s">
        <v>718</v>
      </c>
      <c r="E7461" s="4" t="s">
        <v>317</v>
      </c>
    </row>
    <row r="7462" spans="1:5" ht="26" hidden="1" x14ac:dyDescent="0.15">
      <c r="A7462" s="1" t="s">
        <v>16</v>
      </c>
      <c r="B7462" s="2">
        <v>67518</v>
      </c>
      <c r="C7462" s="3">
        <v>0.03</v>
      </c>
      <c r="D7462" s="4" t="s">
        <v>718</v>
      </c>
      <c r="E7462" s="4" t="s">
        <v>317</v>
      </c>
    </row>
    <row r="7463" spans="1:5" ht="26" hidden="1" x14ac:dyDescent="0.15">
      <c r="A7463" s="1" t="s">
        <v>17</v>
      </c>
      <c r="B7463" s="2">
        <v>40603</v>
      </c>
      <c r="C7463" s="3">
        <v>1.8000000000000002E-2</v>
      </c>
      <c r="D7463" s="4" t="s">
        <v>718</v>
      </c>
      <c r="E7463" s="4" t="s">
        <v>317</v>
      </c>
    </row>
    <row r="7464" spans="1:5" hidden="1" x14ac:dyDescent="0.15">
      <c r="A7464" s="1" t="s">
        <v>18</v>
      </c>
      <c r="B7464" s="2">
        <v>21707</v>
      </c>
      <c r="C7464" s="3">
        <v>9.0000000000000011E-3</v>
      </c>
      <c r="D7464" s="4" t="s">
        <v>718</v>
      </c>
      <c r="E7464" s="4" t="s">
        <v>317</v>
      </c>
    </row>
    <row r="7465" spans="1:5" hidden="1" x14ac:dyDescent="0.15">
      <c r="A7465" s="1" t="s">
        <v>19</v>
      </c>
      <c r="B7465" s="2">
        <v>160002</v>
      </c>
      <c r="C7465" s="3">
        <v>7.0000000000000007E-2</v>
      </c>
      <c r="D7465" s="4" t="s">
        <v>718</v>
      </c>
      <c r="E7465" s="4" t="s">
        <v>317</v>
      </c>
    </row>
    <row r="7466" spans="1:5" hidden="1" x14ac:dyDescent="0.15">
      <c r="A7466" s="1" t="s">
        <v>20</v>
      </c>
      <c r="B7466" s="2">
        <v>32059</v>
      </c>
      <c r="C7466" s="3">
        <v>1.3999999999999999E-2</v>
      </c>
      <c r="D7466" s="4" t="s">
        <v>718</v>
      </c>
      <c r="E7466" s="4" t="s">
        <v>317</v>
      </c>
    </row>
    <row r="7467" spans="1:5" ht="26" hidden="1" x14ac:dyDescent="0.15">
      <c r="A7467" s="1" t="s">
        <v>21</v>
      </c>
      <c r="B7467" s="2">
        <v>52072</v>
      </c>
      <c r="C7467" s="3">
        <v>2.3E-2</v>
      </c>
      <c r="D7467" s="4" t="s">
        <v>718</v>
      </c>
      <c r="E7467" s="4" t="s">
        <v>317</v>
      </c>
    </row>
    <row r="7468" spans="1:5" ht="26" hidden="1" x14ac:dyDescent="0.15">
      <c r="A7468" s="1" t="s">
        <v>22</v>
      </c>
      <c r="B7468" s="2">
        <v>32585</v>
      </c>
      <c r="C7468" s="3">
        <v>1.3999999999999999E-2</v>
      </c>
      <c r="D7468" s="4" t="s">
        <v>718</v>
      </c>
      <c r="E7468" s="4" t="s">
        <v>317</v>
      </c>
    </row>
    <row r="7469" spans="1:5" ht="26" hidden="1" x14ac:dyDescent="0.15">
      <c r="A7469" s="1" t="s">
        <v>23</v>
      </c>
      <c r="B7469" s="2">
        <v>39924</v>
      </c>
      <c r="C7469" s="3">
        <v>1.7000000000000001E-2</v>
      </c>
      <c r="D7469" s="4" t="s">
        <v>718</v>
      </c>
      <c r="E7469" s="4" t="s">
        <v>317</v>
      </c>
    </row>
    <row r="7470" spans="1:5" ht="26" hidden="1" x14ac:dyDescent="0.15">
      <c r="A7470" s="1" t="s">
        <v>24</v>
      </c>
      <c r="B7470" s="2">
        <v>7948</v>
      </c>
      <c r="C7470" s="3">
        <v>3.0000000000000001E-3</v>
      </c>
      <c r="D7470" s="4" t="s">
        <v>718</v>
      </c>
      <c r="E7470" s="4" t="s">
        <v>317</v>
      </c>
    </row>
    <row r="7471" spans="1:5" ht="26" hidden="1" x14ac:dyDescent="0.15">
      <c r="A7471" s="1" t="s">
        <v>25</v>
      </c>
      <c r="B7471" s="2">
        <v>70336</v>
      </c>
      <c r="C7471" s="3">
        <v>3.1E-2</v>
      </c>
      <c r="D7471" s="4" t="s">
        <v>718</v>
      </c>
      <c r="E7471" s="4" t="s">
        <v>317</v>
      </c>
    </row>
    <row r="7472" spans="1:5" hidden="1" x14ac:dyDescent="0.15">
      <c r="A7472" s="1" t="s">
        <v>26</v>
      </c>
      <c r="B7472" s="2">
        <v>24227</v>
      </c>
      <c r="C7472" s="3">
        <v>1.1000000000000001E-2</v>
      </c>
      <c r="D7472" s="4" t="s">
        <v>718</v>
      </c>
      <c r="E7472" s="4" t="s">
        <v>317</v>
      </c>
    </row>
    <row r="7473" spans="1:5" hidden="1" x14ac:dyDescent="0.15">
      <c r="A7473" s="1" t="s">
        <v>27</v>
      </c>
      <c r="B7473" s="2">
        <v>296485</v>
      </c>
      <c r="C7473" s="3">
        <v>0.13</v>
      </c>
      <c r="D7473" s="4" t="s">
        <v>718</v>
      </c>
      <c r="E7473" s="4" t="s">
        <v>317</v>
      </c>
    </row>
    <row r="7474" spans="1:5" hidden="1" x14ac:dyDescent="0.15">
      <c r="A7474" s="1" t="s">
        <v>28</v>
      </c>
      <c r="B7474" s="2">
        <v>138281</v>
      </c>
      <c r="C7474" s="3">
        <v>0.06</v>
      </c>
      <c r="D7474" s="4" t="s">
        <v>718</v>
      </c>
      <c r="E7474" s="4" t="s">
        <v>317</v>
      </c>
    </row>
    <row r="7475" spans="1:5" hidden="1" x14ac:dyDescent="0.15">
      <c r="A7475" s="1" t="s">
        <v>29</v>
      </c>
      <c r="B7475" s="2">
        <v>677373</v>
      </c>
      <c r="C7475" s="3">
        <v>0.29600000000000004</v>
      </c>
      <c r="D7475" s="4" t="s">
        <v>718</v>
      </c>
      <c r="E7475" s="4" t="s">
        <v>317</v>
      </c>
    </row>
    <row r="7476" spans="1:5" hidden="1" x14ac:dyDescent="0.15">
      <c r="A7476" s="1" t="s">
        <v>30</v>
      </c>
      <c r="B7476" s="2">
        <v>55472</v>
      </c>
      <c r="C7476" s="3">
        <v>2.4E-2</v>
      </c>
      <c r="D7476" s="4" t="s">
        <v>718</v>
      </c>
      <c r="E7476" s="4" t="s">
        <v>317</v>
      </c>
    </row>
    <row r="7477" spans="1:5" ht="39" hidden="1" x14ac:dyDescent="0.15">
      <c r="A7477" s="1" t="s">
        <v>31</v>
      </c>
      <c r="B7477" s="2">
        <v>17733</v>
      </c>
      <c r="C7477" s="3">
        <v>8.0000000000000002E-3</v>
      </c>
      <c r="D7477" s="4" t="s">
        <v>718</v>
      </c>
      <c r="E7477" s="4" t="s">
        <v>317</v>
      </c>
    </row>
    <row r="7478" spans="1:5" hidden="1" x14ac:dyDescent="0.15">
      <c r="A7478" s="1" t="s">
        <v>32</v>
      </c>
      <c r="B7478" s="2">
        <v>83464</v>
      </c>
      <c r="C7478" s="3">
        <v>3.6000000000000004E-2</v>
      </c>
      <c r="D7478" s="4" t="s">
        <v>718</v>
      </c>
      <c r="E7478" s="4" t="s">
        <v>317</v>
      </c>
    </row>
    <row r="7479" spans="1:5" hidden="1" x14ac:dyDescent="0.15">
      <c r="A7479" s="1" t="s">
        <v>33</v>
      </c>
      <c r="B7479" s="2">
        <v>509379</v>
      </c>
      <c r="C7479" s="3">
        <v>0.223</v>
      </c>
      <c r="D7479" s="4" t="s">
        <v>718</v>
      </c>
      <c r="E7479" s="4" t="s">
        <v>317</v>
      </c>
    </row>
    <row r="7480" spans="1:5" hidden="1" x14ac:dyDescent="0.15">
      <c r="A7480" s="1" t="s">
        <v>34</v>
      </c>
      <c r="B7480" s="2">
        <v>180580</v>
      </c>
      <c r="C7480" s="3">
        <v>7.9000000000000001E-2</v>
      </c>
      <c r="D7480" s="4" t="s">
        <v>718</v>
      </c>
      <c r="E7480" s="4" t="s">
        <v>317</v>
      </c>
    </row>
    <row r="7481" spans="1:5" hidden="1" x14ac:dyDescent="0.15">
      <c r="A7481" s="1" t="s">
        <v>35</v>
      </c>
      <c r="B7481" s="2">
        <v>127508</v>
      </c>
      <c r="C7481" s="3">
        <v>5.5999999999999994E-2</v>
      </c>
      <c r="D7481" s="4" t="s">
        <v>718</v>
      </c>
      <c r="E7481" s="4" t="s">
        <v>317</v>
      </c>
    </row>
    <row r="7482" spans="1:5" ht="26" hidden="1" x14ac:dyDescent="0.15">
      <c r="A7482" s="1" t="s">
        <v>36</v>
      </c>
      <c r="B7482" s="2">
        <v>48779</v>
      </c>
      <c r="C7482" s="3">
        <v>2.1000000000000001E-2</v>
      </c>
      <c r="D7482" s="4" t="s">
        <v>718</v>
      </c>
      <c r="E7482" s="4" t="s">
        <v>317</v>
      </c>
    </row>
    <row r="7483" spans="1:5" hidden="1" x14ac:dyDescent="0.15">
      <c r="A7483" s="1" t="s">
        <v>37</v>
      </c>
      <c r="B7483" s="2">
        <v>28385</v>
      </c>
      <c r="C7483" s="3">
        <v>1.2E-2</v>
      </c>
      <c r="D7483" s="4" t="s">
        <v>718</v>
      </c>
      <c r="E7483" s="4" t="s">
        <v>317</v>
      </c>
    </row>
    <row r="7484" spans="1:5" ht="39" hidden="1" x14ac:dyDescent="0.15">
      <c r="A7484" s="1" t="s">
        <v>38</v>
      </c>
      <c r="B7484" s="2">
        <v>24460</v>
      </c>
      <c r="C7484" s="3">
        <v>1.1000000000000001E-2</v>
      </c>
      <c r="D7484" s="4" t="s">
        <v>718</v>
      </c>
      <c r="E7484" s="4" t="s">
        <v>317</v>
      </c>
    </row>
    <row r="7485" spans="1:5" hidden="1" x14ac:dyDescent="0.15">
      <c r="A7485" s="1" t="s">
        <v>39</v>
      </c>
      <c r="B7485" s="2">
        <v>155340</v>
      </c>
      <c r="C7485" s="3">
        <v>6.8000000000000005E-2</v>
      </c>
      <c r="D7485" s="4" t="s">
        <v>718</v>
      </c>
      <c r="E7485" s="4" t="s">
        <v>317</v>
      </c>
    </row>
    <row r="7486" spans="1:5" hidden="1" x14ac:dyDescent="0.15">
      <c r="A7486" s="1" t="s">
        <v>40</v>
      </c>
      <c r="B7486" s="2">
        <v>24857</v>
      </c>
      <c r="C7486" s="3">
        <v>1.1000000000000001E-2</v>
      </c>
      <c r="D7486" s="4" t="s">
        <v>718</v>
      </c>
      <c r="E7486" s="4" t="s">
        <v>317</v>
      </c>
    </row>
    <row r="7487" spans="1:5" hidden="1" x14ac:dyDescent="0.15">
      <c r="A7487" s="1" t="s">
        <v>41</v>
      </c>
      <c r="B7487" s="2">
        <v>63660</v>
      </c>
      <c r="C7487" s="3">
        <v>2.7999999999999997E-2</v>
      </c>
      <c r="D7487" s="4" t="s">
        <v>718</v>
      </c>
      <c r="E7487" s="4" t="s">
        <v>317</v>
      </c>
    </row>
    <row r="7488" spans="1:5" hidden="1" x14ac:dyDescent="0.15">
      <c r="A7488" s="1" t="s">
        <v>42</v>
      </c>
      <c r="B7488" s="2">
        <v>112867</v>
      </c>
      <c r="C7488" s="3">
        <v>4.9000000000000002E-2</v>
      </c>
      <c r="D7488" s="4" t="s">
        <v>718</v>
      </c>
      <c r="E7488" s="4" t="s">
        <v>317</v>
      </c>
    </row>
    <row r="7489" spans="1:5" hidden="1" x14ac:dyDescent="0.15">
      <c r="A7489" s="1" t="s">
        <v>43</v>
      </c>
      <c r="B7489" s="2">
        <v>188367</v>
      </c>
      <c r="C7489" s="3">
        <v>8.199999999999999E-2</v>
      </c>
      <c r="D7489" s="4" t="s">
        <v>718</v>
      </c>
      <c r="E7489" s="4" t="s">
        <v>317</v>
      </c>
    </row>
    <row r="7490" spans="1:5" ht="26" hidden="1" x14ac:dyDescent="0.15">
      <c r="A7490" s="1" t="s">
        <v>44</v>
      </c>
      <c r="B7490" s="2">
        <v>272295</v>
      </c>
      <c r="C7490" s="3">
        <v>0.11900000000000001</v>
      </c>
      <c r="D7490" s="4" t="s">
        <v>718</v>
      </c>
      <c r="E7490" s="4" t="s">
        <v>317</v>
      </c>
    </row>
    <row r="7491" spans="1:5" hidden="1" x14ac:dyDescent="0.15">
      <c r="A7491" s="1" t="s">
        <v>45</v>
      </c>
      <c r="B7491" s="2">
        <v>500746</v>
      </c>
      <c r="C7491" s="3">
        <v>0.21899999999999997</v>
      </c>
      <c r="D7491" s="4" t="s">
        <v>718</v>
      </c>
      <c r="E7491" s="4" t="s">
        <v>317</v>
      </c>
    </row>
    <row r="7492" spans="1:5" ht="26" hidden="1" x14ac:dyDescent="0.15">
      <c r="A7492" s="1" t="s">
        <v>46</v>
      </c>
      <c r="B7492" s="2">
        <v>978712</v>
      </c>
      <c r="C7492" s="3">
        <v>0.42799999999999999</v>
      </c>
      <c r="D7492" s="4" t="s">
        <v>718</v>
      </c>
      <c r="E7492" s="4" t="s">
        <v>317</v>
      </c>
    </row>
    <row r="7493" spans="1:5" hidden="1" x14ac:dyDescent="0.15">
      <c r="A7493" s="1" t="s">
        <v>47</v>
      </c>
      <c r="B7493" s="2">
        <v>1030797</v>
      </c>
      <c r="C7493" s="3">
        <v>0.45</v>
      </c>
      <c r="D7493" s="4" t="s">
        <v>718</v>
      </c>
      <c r="E7493" s="4" t="s">
        <v>317</v>
      </c>
    </row>
    <row r="7494" spans="1:5" hidden="1" x14ac:dyDescent="0.15">
      <c r="A7494" s="1" t="s">
        <v>48</v>
      </c>
      <c r="B7494" s="2">
        <v>133138</v>
      </c>
      <c r="C7494" s="3">
        <v>5.7999999999999996E-2</v>
      </c>
      <c r="D7494" s="4" t="s">
        <v>718</v>
      </c>
      <c r="E7494" s="4" t="s">
        <v>317</v>
      </c>
    </row>
    <row r="7495" spans="1:5" hidden="1" x14ac:dyDescent="0.15">
      <c r="A7495" s="1" t="s">
        <v>49</v>
      </c>
      <c r="B7495" s="2">
        <v>193373</v>
      </c>
      <c r="C7495" s="3">
        <v>8.4000000000000005E-2</v>
      </c>
      <c r="D7495" s="4" t="s">
        <v>718</v>
      </c>
      <c r="E7495" s="4" t="s">
        <v>317</v>
      </c>
    </row>
    <row r="7496" spans="1:5" ht="26" hidden="1" x14ac:dyDescent="0.15">
      <c r="A7496" s="1" t="s">
        <v>50</v>
      </c>
      <c r="B7496" s="2">
        <v>378467</v>
      </c>
      <c r="C7496" s="3">
        <v>0.16500000000000001</v>
      </c>
      <c r="D7496" s="4" t="s">
        <v>718</v>
      </c>
      <c r="E7496" s="4" t="s">
        <v>317</v>
      </c>
    </row>
    <row r="7497" spans="1:5" hidden="1" x14ac:dyDescent="0.15">
      <c r="A7497" s="1" t="s">
        <v>51</v>
      </c>
      <c r="B7497" s="2">
        <v>595925</v>
      </c>
      <c r="C7497" s="3">
        <v>0.26</v>
      </c>
      <c r="D7497" s="4" t="s">
        <v>718</v>
      </c>
      <c r="E7497" s="4" t="s">
        <v>317</v>
      </c>
    </row>
    <row r="7498" spans="1:5" hidden="1" x14ac:dyDescent="0.15">
      <c r="A7498" s="1" t="s">
        <v>52</v>
      </c>
      <c r="B7498" s="2">
        <v>250247</v>
      </c>
      <c r="C7498" s="3">
        <v>0.109</v>
      </c>
      <c r="D7498" s="4" t="s">
        <v>718</v>
      </c>
      <c r="E7498" s="4" t="s">
        <v>317</v>
      </c>
    </row>
    <row r="7499" spans="1:5" ht="26" hidden="1" x14ac:dyDescent="0.15">
      <c r="A7499" s="1" t="s">
        <v>53</v>
      </c>
      <c r="B7499" s="2">
        <v>174073</v>
      </c>
      <c r="C7499" s="3">
        <v>7.5999999999999998E-2</v>
      </c>
      <c r="D7499" s="4" t="s">
        <v>718</v>
      </c>
      <c r="E7499" s="4" t="s">
        <v>317</v>
      </c>
    </row>
    <row r="7500" spans="1:5" hidden="1" x14ac:dyDescent="0.15">
      <c r="A7500" s="1" t="s">
        <v>54</v>
      </c>
      <c r="B7500" s="2">
        <v>731737</v>
      </c>
      <c r="C7500" s="3">
        <v>0.32</v>
      </c>
      <c r="D7500" s="4" t="s">
        <v>718</v>
      </c>
      <c r="E7500" s="4" t="s">
        <v>317</v>
      </c>
    </row>
    <row r="7501" spans="1:5" ht="26" hidden="1" x14ac:dyDescent="0.15">
      <c r="A7501" s="1" t="s">
        <v>55</v>
      </c>
      <c r="B7501" s="2">
        <v>653030</v>
      </c>
      <c r="C7501" s="3">
        <v>0.28499999999999998</v>
      </c>
      <c r="D7501" s="4" t="s">
        <v>718</v>
      </c>
      <c r="E7501" s="4" t="s">
        <v>317</v>
      </c>
    </row>
    <row r="7502" spans="1:5" hidden="1" x14ac:dyDescent="0.15">
      <c r="A7502" s="1" t="s">
        <v>56</v>
      </c>
      <c r="B7502" s="2">
        <v>474111</v>
      </c>
      <c r="C7502" s="3">
        <v>0.20699999999999999</v>
      </c>
      <c r="D7502" s="4" t="s">
        <v>718</v>
      </c>
      <c r="E7502" s="4" t="s">
        <v>317</v>
      </c>
    </row>
    <row r="7503" spans="1:5" hidden="1" x14ac:dyDescent="0.15">
      <c r="A7503" s="1" t="s">
        <v>57</v>
      </c>
      <c r="B7503" s="2">
        <v>304011</v>
      </c>
      <c r="C7503" s="3">
        <v>0.13300000000000001</v>
      </c>
      <c r="D7503" s="4" t="s">
        <v>718</v>
      </c>
      <c r="E7503" s="4" t="s">
        <v>317</v>
      </c>
    </row>
    <row r="7504" spans="1:5" hidden="1" x14ac:dyDescent="0.15">
      <c r="A7504" s="1" t="s">
        <v>58</v>
      </c>
      <c r="B7504" s="2">
        <v>221181</v>
      </c>
      <c r="C7504" s="3">
        <v>9.6999999999999989E-2</v>
      </c>
      <c r="D7504" s="4" t="s">
        <v>718</v>
      </c>
      <c r="E7504" s="4" t="s">
        <v>317</v>
      </c>
    </row>
    <row r="7505" spans="1:5" hidden="1" x14ac:dyDescent="0.15">
      <c r="A7505" s="1" t="s">
        <v>59</v>
      </c>
      <c r="B7505" s="2">
        <v>786372</v>
      </c>
      <c r="C7505" s="3">
        <v>0.34399999999999997</v>
      </c>
      <c r="D7505" s="4" t="s">
        <v>718</v>
      </c>
      <c r="E7505" s="4" t="s">
        <v>317</v>
      </c>
    </row>
    <row r="7506" spans="1:5" hidden="1" x14ac:dyDescent="0.15">
      <c r="A7506" s="1" t="s">
        <v>60</v>
      </c>
      <c r="B7506" s="2">
        <v>250574</v>
      </c>
      <c r="C7506" s="3">
        <v>0.109</v>
      </c>
      <c r="D7506" s="4" t="s">
        <v>718</v>
      </c>
      <c r="E7506" s="4" t="s">
        <v>317</v>
      </c>
    </row>
    <row r="7507" spans="1:5" ht="26" hidden="1" x14ac:dyDescent="0.15">
      <c r="A7507" s="1" t="s">
        <v>61</v>
      </c>
      <c r="B7507" s="2">
        <v>313476</v>
      </c>
      <c r="C7507" s="3">
        <v>0.13699999999999998</v>
      </c>
      <c r="D7507" s="4" t="s">
        <v>718</v>
      </c>
      <c r="E7507" s="4" t="s">
        <v>317</v>
      </c>
    </row>
    <row r="7508" spans="1:5" hidden="1" x14ac:dyDescent="0.15">
      <c r="A7508" s="1" t="s">
        <v>62</v>
      </c>
      <c r="B7508" s="2">
        <v>140299</v>
      </c>
      <c r="C7508" s="3">
        <v>6.0999999999999999E-2</v>
      </c>
      <c r="D7508" s="4" t="s">
        <v>718</v>
      </c>
      <c r="E7508" s="4" t="s">
        <v>317</v>
      </c>
    </row>
    <row r="7509" spans="1:5" ht="26" hidden="1" x14ac:dyDescent="0.15">
      <c r="A7509" s="1" t="s">
        <v>63</v>
      </c>
      <c r="B7509" s="2">
        <v>354348</v>
      </c>
      <c r="C7509" s="3">
        <v>0.155</v>
      </c>
      <c r="D7509" s="4" t="s">
        <v>718</v>
      </c>
      <c r="E7509" s="4" t="s">
        <v>317</v>
      </c>
    </row>
    <row r="7510" spans="1:5" ht="26" hidden="1" x14ac:dyDescent="0.15">
      <c r="A7510" s="1" t="s">
        <v>64</v>
      </c>
      <c r="B7510" s="2">
        <v>139498</v>
      </c>
      <c r="C7510" s="3">
        <v>6.0999999999999999E-2</v>
      </c>
      <c r="D7510" s="4" t="s">
        <v>718</v>
      </c>
      <c r="E7510" s="4" t="s">
        <v>317</v>
      </c>
    </row>
    <row r="7511" spans="1:5" hidden="1" x14ac:dyDescent="0.15">
      <c r="A7511" s="1" t="s">
        <v>65</v>
      </c>
      <c r="B7511" s="2">
        <v>406987</v>
      </c>
      <c r="C7511" s="3">
        <v>0.17800000000000002</v>
      </c>
      <c r="D7511" s="4" t="s">
        <v>718</v>
      </c>
      <c r="E7511" s="4" t="s">
        <v>317</v>
      </c>
    </row>
    <row r="7512" spans="1:5" hidden="1" x14ac:dyDescent="0.15">
      <c r="A7512" s="1" t="s">
        <v>66</v>
      </c>
      <c r="B7512" s="2">
        <v>164696</v>
      </c>
      <c r="C7512" s="3">
        <v>7.2000000000000008E-2</v>
      </c>
      <c r="D7512" s="4" t="s">
        <v>718</v>
      </c>
      <c r="E7512" s="4" t="s">
        <v>317</v>
      </c>
    </row>
    <row r="7513" spans="1:5" hidden="1" x14ac:dyDescent="0.15">
      <c r="A7513" s="1" t="s">
        <v>67</v>
      </c>
      <c r="B7513" s="2">
        <v>910684</v>
      </c>
      <c r="C7513" s="3">
        <v>0.39799999999999996</v>
      </c>
      <c r="D7513" s="4" t="s">
        <v>718</v>
      </c>
      <c r="E7513" s="4" t="s">
        <v>317</v>
      </c>
    </row>
    <row r="7514" spans="1:5" hidden="1" x14ac:dyDescent="0.15">
      <c r="A7514" s="1" t="s">
        <v>68</v>
      </c>
      <c r="B7514" s="2">
        <v>669420</v>
      </c>
      <c r="C7514" s="3">
        <v>0.29299999999999998</v>
      </c>
      <c r="D7514" s="4" t="s">
        <v>718</v>
      </c>
      <c r="E7514" s="4" t="s">
        <v>317</v>
      </c>
    </row>
    <row r="7515" spans="1:5" hidden="1" x14ac:dyDescent="0.15">
      <c r="A7515" s="1" t="s">
        <v>69</v>
      </c>
      <c r="B7515" s="2">
        <v>1409234</v>
      </c>
      <c r="C7515" s="3">
        <v>0.61599999999999999</v>
      </c>
      <c r="D7515" s="4" t="s">
        <v>718</v>
      </c>
      <c r="E7515" s="4" t="s">
        <v>317</v>
      </c>
    </row>
    <row r="7516" spans="1:5" hidden="1" x14ac:dyDescent="0.15">
      <c r="A7516" s="1" t="s">
        <v>70</v>
      </c>
      <c r="B7516" s="2">
        <v>337024</v>
      </c>
      <c r="C7516" s="3">
        <v>0.14699999999999999</v>
      </c>
      <c r="D7516" s="4" t="s">
        <v>718</v>
      </c>
      <c r="E7516" s="4" t="s">
        <v>317</v>
      </c>
    </row>
    <row r="7517" spans="1:5" ht="26" hidden="1" x14ac:dyDescent="0.15">
      <c r="A7517" s="1" t="s">
        <v>71</v>
      </c>
      <c r="B7517" s="2">
        <v>101703</v>
      </c>
      <c r="C7517" s="3">
        <v>4.4000000000000004E-2</v>
      </c>
      <c r="D7517" s="4" t="s">
        <v>718</v>
      </c>
      <c r="E7517" s="4" t="s">
        <v>317</v>
      </c>
    </row>
    <row r="7518" spans="1:5" hidden="1" x14ac:dyDescent="0.15">
      <c r="A7518" s="1" t="s">
        <v>72</v>
      </c>
      <c r="B7518" s="2">
        <v>362379</v>
      </c>
      <c r="C7518" s="3">
        <v>0.158</v>
      </c>
      <c r="D7518" s="4" t="s">
        <v>718</v>
      </c>
      <c r="E7518" s="4" t="s">
        <v>317</v>
      </c>
    </row>
    <row r="7519" spans="1:5" hidden="1" x14ac:dyDescent="0.15">
      <c r="A7519" s="1" t="s">
        <v>73</v>
      </c>
      <c r="B7519" s="2">
        <v>1216226</v>
      </c>
      <c r="C7519" s="3">
        <v>0.53100000000000003</v>
      </c>
      <c r="D7519" s="4" t="s">
        <v>718</v>
      </c>
      <c r="E7519" s="4" t="s">
        <v>317</v>
      </c>
    </row>
    <row r="7520" spans="1:5" hidden="1" x14ac:dyDescent="0.15">
      <c r="A7520" s="1" t="s">
        <v>74</v>
      </c>
      <c r="B7520" s="2">
        <v>647272</v>
      </c>
      <c r="C7520" s="3">
        <v>0.28300000000000003</v>
      </c>
      <c r="D7520" s="4" t="s">
        <v>718</v>
      </c>
      <c r="E7520" s="4" t="s">
        <v>317</v>
      </c>
    </row>
    <row r="7521" spans="1:5" hidden="1" x14ac:dyDescent="0.15">
      <c r="A7521" s="1" t="s">
        <v>75</v>
      </c>
      <c r="B7521" s="2">
        <v>443018</v>
      </c>
      <c r="C7521" s="3">
        <v>0.19399999999999998</v>
      </c>
      <c r="D7521" s="4" t="s">
        <v>718</v>
      </c>
      <c r="E7521" s="4" t="s">
        <v>317</v>
      </c>
    </row>
    <row r="7522" spans="1:5" hidden="1" x14ac:dyDescent="0.15">
      <c r="A7522" s="1" t="s">
        <v>76</v>
      </c>
      <c r="B7522" s="2">
        <v>330328</v>
      </c>
      <c r="C7522" s="3">
        <v>0.14400000000000002</v>
      </c>
      <c r="D7522" s="4" t="s">
        <v>718</v>
      </c>
      <c r="E7522" s="4" t="s">
        <v>317</v>
      </c>
    </row>
    <row r="7523" spans="1:5" hidden="1" x14ac:dyDescent="0.15">
      <c r="A7523" s="1" t="s">
        <v>77</v>
      </c>
      <c r="B7523" s="2">
        <v>239195</v>
      </c>
      <c r="C7523" s="3">
        <v>0.105</v>
      </c>
      <c r="D7523" s="4" t="s">
        <v>718</v>
      </c>
      <c r="E7523" s="4" t="s">
        <v>317</v>
      </c>
    </row>
    <row r="7524" spans="1:5" ht="26" hidden="1" x14ac:dyDescent="0.15">
      <c r="A7524" s="1" t="s">
        <v>78</v>
      </c>
      <c r="B7524" s="2">
        <v>218825</v>
      </c>
      <c r="C7524" s="3">
        <v>9.6000000000000002E-2</v>
      </c>
      <c r="D7524" s="4" t="s">
        <v>718</v>
      </c>
      <c r="E7524" s="4" t="s">
        <v>317</v>
      </c>
    </row>
    <row r="7525" spans="1:5" hidden="1" x14ac:dyDescent="0.15">
      <c r="A7525" s="1" t="s">
        <v>79</v>
      </c>
      <c r="B7525" s="2">
        <v>433679</v>
      </c>
      <c r="C7525" s="3">
        <v>0.19</v>
      </c>
      <c r="D7525" s="4" t="s">
        <v>718</v>
      </c>
      <c r="E7525" s="4" t="s">
        <v>317</v>
      </c>
    </row>
    <row r="7526" spans="1:5" hidden="1" x14ac:dyDescent="0.15">
      <c r="A7526" s="1" t="s">
        <v>80</v>
      </c>
      <c r="B7526" s="2">
        <v>220323</v>
      </c>
      <c r="C7526" s="3">
        <v>9.6000000000000002E-2</v>
      </c>
      <c r="D7526" s="4" t="s">
        <v>718</v>
      </c>
      <c r="E7526" s="4" t="s">
        <v>317</v>
      </c>
    </row>
    <row r="7527" spans="1:5" ht="26" hidden="1" x14ac:dyDescent="0.15">
      <c r="A7527" s="1" t="s">
        <v>81</v>
      </c>
      <c r="B7527" s="2">
        <v>333414</v>
      </c>
      <c r="C7527" s="3">
        <v>0.14599999999999999</v>
      </c>
      <c r="D7527" s="4" t="s">
        <v>718</v>
      </c>
      <c r="E7527" s="4" t="s">
        <v>317</v>
      </c>
    </row>
    <row r="7528" spans="1:5" hidden="1" x14ac:dyDescent="0.15">
      <c r="A7528" s="1" t="s">
        <v>82</v>
      </c>
      <c r="B7528" s="2">
        <v>401742</v>
      </c>
      <c r="C7528" s="3">
        <v>0.17600000000000002</v>
      </c>
      <c r="D7528" s="4" t="s">
        <v>718</v>
      </c>
      <c r="E7528" s="4" t="s">
        <v>317</v>
      </c>
    </row>
    <row r="7529" spans="1:5" hidden="1" x14ac:dyDescent="0.15">
      <c r="A7529" s="4"/>
      <c r="B7529" s="4"/>
      <c r="C7529" s="4"/>
      <c r="D7529" s="4" t="s">
        <v>718</v>
      </c>
      <c r="E7529" s="4" t="s">
        <v>317</v>
      </c>
    </row>
    <row r="7530" spans="1:5" hidden="1" x14ac:dyDescent="0.15">
      <c r="A7530" s="4"/>
      <c r="B7530" s="4"/>
      <c r="C7530" s="4"/>
      <c r="D7530" s="4" t="s">
        <v>718</v>
      </c>
      <c r="E7530" s="4" t="s">
        <v>317</v>
      </c>
    </row>
    <row r="7531" spans="1:5" hidden="1" x14ac:dyDescent="0.15">
      <c r="A7531" s="4"/>
      <c r="B7531" s="4"/>
      <c r="C7531" s="4"/>
      <c r="D7531" s="4" t="s">
        <v>718</v>
      </c>
      <c r="E7531" s="4" t="s">
        <v>317</v>
      </c>
    </row>
    <row r="7532" spans="1:5" hidden="1" x14ac:dyDescent="0.15">
      <c r="A7532" s="4"/>
      <c r="B7532" s="4"/>
      <c r="C7532" s="4"/>
      <c r="D7532" s="4" t="s">
        <v>718</v>
      </c>
      <c r="E7532" s="4" t="s">
        <v>317</v>
      </c>
    </row>
    <row r="7533" spans="1:5" hidden="1" x14ac:dyDescent="0.15">
      <c r="A7533" s="4"/>
      <c r="B7533" s="4"/>
      <c r="C7533" s="4"/>
      <c r="D7533" s="4" t="s">
        <v>718</v>
      </c>
      <c r="E7533" s="4" t="s">
        <v>317</v>
      </c>
    </row>
    <row r="7534" spans="1:5" hidden="1" x14ac:dyDescent="0.15">
      <c r="A7534" s="4"/>
      <c r="B7534" s="4"/>
      <c r="C7534" s="4"/>
      <c r="D7534" s="4" t="s">
        <v>718</v>
      </c>
      <c r="E7534" s="4" t="s">
        <v>317</v>
      </c>
    </row>
    <row r="7535" spans="1:5" hidden="1" x14ac:dyDescent="0.15">
      <c r="A7535" s="16"/>
      <c r="B7535" s="16"/>
      <c r="C7535" s="16"/>
      <c r="D7535" s="4" t="s">
        <v>718</v>
      </c>
      <c r="E7535" s="4" t="s">
        <v>317</v>
      </c>
    </row>
    <row r="7536" spans="1:5" ht="26" hidden="1" x14ac:dyDescent="0.15">
      <c r="A7536" s="1" t="s">
        <v>310</v>
      </c>
      <c r="B7536" s="2">
        <v>1220777</v>
      </c>
      <c r="C7536" s="3">
        <v>0.53299999999999992</v>
      </c>
      <c r="D7536" s="4" t="s">
        <v>718</v>
      </c>
      <c r="E7536" s="4" t="s">
        <v>317</v>
      </c>
    </row>
    <row r="7537" spans="1:5" hidden="1" x14ac:dyDescent="0.15">
      <c r="A7537" s="4"/>
      <c r="B7537" s="4"/>
      <c r="C7537" s="4"/>
      <c r="D7537" s="4" t="s">
        <v>718</v>
      </c>
      <c r="E7537" s="4" t="s">
        <v>317</v>
      </c>
    </row>
    <row r="7538" spans="1:5" hidden="1" x14ac:dyDescent="0.15">
      <c r="A7538" s="16"/>
      <c r="B7538" s="16"/>
      <c r="C7538" s="16"/>
      <c r="D7538" s="4" t="s">
        <v>718</v>
      </c>
      <c r="E7538" s="4" t="s">
        <v>317</v>
      </c>
    </row>
    <row r="7539" spans="1:5" ht="26" hidden="1" x14ac:dyDescent="0.15">
      <c r="A7539" s="1" t="s">
        <v>318</v>
      </c>
      <c r="B7539" s="2">
        <v>358914</v>
      </c>
      <c r="C7539" s="3">
        <v>0.157</v>
      </c>
      <c r="D7539" s="4" t="s">
        <v>718</v>
      </c>
      <c r="E7539" s="4" t="s">
        <v>317</v>
      </c>
    </row>
    <row r="7540" spans="1:5" hidden="1" x14ac:dyDescent="0.15">
      <c r="A7540" s="4"/>
      <c r="B7540" s="4"/>
      <c r="C7540" s="4"/>
      <c r="D7540" s="4" t="s">
        <v>718</v>
      </c>
      <c r="E7540" s="4" t="s">
        <v>317</v>
      </c>
    </row>
    <row r="7541" spans="1:5" hidden="1" x14ac:dyDescent="0.15">
      <c r="A7541" s="16"/>
      <c r="B7541" s="16"/>
      <c r="C7541" s="16"/>
      <c r="D7541" s="4" t="s">
        <v>718</v>
      </c>
      <c r="E7541" s="4" t="s">
        <v>317</v>
      </c>
    </row>
    <row r="7542" spans="1:5" ht="26" hidden="1" x14ac:dyDescent="0.15">
      <c r="A7542" s="1" t="s">
        <v>719</v>
      </c>
      <c r="B7542" s="2">
        <v>138403</v>
      </c>
      <c r="C7542" s="3">
        <v>0.06</v>
      </c>
      <c r="D7542" s="4" t="s">
        <v>718</v>
      </c>
      <c r="E7542" s="4" t="s">
        <v>317</v>
      </c>
    </row>
    <row r="7543" spans="1:5" ht="26" hidden="1" x14ac:dyDescent="0.15">
      <c r="A7543" s="1" t="s">
        <v>720</v>
      </c>
      <c r="B7543" s="2">
        <v>212199</v>
      </c>
      <c r="C7543" s="3">
        <v>9.3000000000000013E-2</v>
      </c>
      <c r="D7543" s="4" t="s">
        <v>718</v>
      </c>
      <c r="E7543" s="4" t="s">
        <v>317</v>
      </c>
    </row>
    <row r="7544" spans="1:5" hidden="1" x14ac:dyDescent="0.15">
      <c r="A7544" s="4"/>
      <c r="B7544" s="4"/>
      <c r="C7544" s="4"/>
      <c r="D7544" s="4" t="s">
        <v>718</v>
      </c>
      <c r="E7544" s="4" t="s">
        <v>317</v>
      </c>
    </row>
    <row r="7545" spans="1:5" hidden="1" x14ac:dyDescent="0.15">
      <c r="A7545" s="16"/>
      <c r="B7545" s="16"/>
      <c r="C7545" s="16"/>
      <c r="D7545" s="4" t="s">
        <v>718</v>
      </c>
      <c r="E7545" s="4" t="s">
        <v>317</v>
      </c>
    </row>
    <row r="7546" spans="1:5" ht="26" hidden="1" x14ac:dyDescent="0.15">
      <c r="A7546" s="1" t="s">
        <v>721</v>
      </c>
      <c r="B7546" s="2">
        <v>110793</v>
      </c>
      <c r="C7546" s="3">
        <v>4.8000000000000001E-2</v>
      </c>
      <c r="D7546" s="4" t="s">
        <v>718</v>
      </c>
      <c r="E7546" s="4" t="s">
        <v>317</v>
      </c>
    </row>
    <row r="7547" spans="1:5" ht="26" hidden="1" x14ac:dyDescent="0.15">
      <c r="A7547" s="1" t="s">
        <v>722</v>
      </c>
      <c r="B7547" s="2">
        <v>82084</v>
      </c>
      <c r="C7547" s="3">
        <v>3.6000000000000004E-2</v>
      </c>
      <c r="D7547" s="4" t="s">
        <v>718</v>
      </c>
      <c r="E7547" s="4" t="s">
        <v>317</v>
      </c>
    </row>
    <row r="7548" spans="1:5" ht="26" hidden="1" x14ac:dyDescent="0.15">
      <c r="A7548" s="1" t="s">
        <v>599</v>
      </c>
      <c r="B7548" s="2">
        <v>413309</v>
      </c>
      <c r="C7548" s="3">
        <v>0.18100000000000002</v>
      </c>
      <c r="D7548" s="4" t="s">
        <v>718</v>
      </c>
      <c r="E7548" s="4" t="s">
        <v>317</v>
      </c>
    </row>
    <row r="7549" spans="1:5" ht="26" hidden="1" x14ac:dyDescent="0.15">
      <c r="A7549" s="1" t="s">
        <v>723</v>
      </c>
      <c r="B7549" s="2">
        <v>323873</v>
      </c>
      <c r="C7549" s="3">
        <v>0.14199999999999999</v>
      </c>
      <c r="D7549" s="4" t="s">
        <v>718</v>
      </c>
      <c r="E7549" s="4" t="s">
        <v>317</v>
      </c>
    </row>
    <row r="7550" spans="1:5" ht="39" hidden="1" x14ac:dyDescent="0.15">
      <c r="A7550" s="1" t="s">
        <v>724</v>
      </c>
      <c r="B7550" s="2">
        <v>197560</v>
      </c>
      <c r="C7550" s="3">
        <v>8.5999999999999993E-2</v>
      </c>
      <c r="D7550" s="4" t="s">
        <v>718</v>
      </c>
      <c r="E7550" s="4" t="s">
        <v>317</v>
      </c>
    </row>
    <row r="7551" spans="1:5" ht="26" hidden="1" x14ac:dyDescent="0.15">
      <c r="A7551" s="1" t="s">
        <v>330</v>
      </c>
      <c r="B7551" s="2">
        <v>196255</v>
      </c>
      <c r="C7551" s="3">
        <v>8.5999999999999993E-2</v>
      </c>
      <c r="D7551" s="4" t="s">
        <v>718</v>
      </c>
      <c r="E7551" s="4" t="s">
        <v>317</v>
      </c>
    </row>
    <row r="7552" spans="1:5" ht="39" hidden="1" x14ac:dyDescent="0.15">
      <c r="A7552" s="1" t="s">
        <v>597</v>
      </c>
      <c r="B7552" s="2">
        <v>329530</v>
      </c>
      <c r="C7552" s="3">
        <v>0.14400000000000002</v>
      </c>
      <c r="D7552" s="4" t="s">
        <v>718</v>
      </c>
      <c r="E7552" s="4" t="s">
        <v>317</v>
      </c>
    </row>
    <row r="7553" spans="1:5" ht="26" hidden="1" x14ac:dyDescent="0.15">
      <c r="A7553" s="1" t="s">
        <v>725</v>
      </c>
      <c r="B7553" s="2">
        <v>336276</v>
      </c>
      <c r="C7553" s="3">
        <v>0.14699999999999999</v>
      </c>
      <c r="D7553" s="4" t="s">
        <v>718</v>
      </c>
      <c r="E7553" s="4" t="s">
        <v>317</v>
      </c>
    </row>
    <row r="7554" spans="1:5" ht="26" hidden="1" x14ac:dyDescent="0.15">
      <c r="A7554" s="1" t="s">
        <v>600</v>
      </c>
      <c r="B7554" s="2">
        <v>604237</v>
      </c>
      <c r="C7554" s="3">
        <v>0.26400000000000001</v>
      </c>
      <c r="D7554" s="4" t="s">
        <v>718</v>
      </c>
      <c r="E7554" s="4" t="s">
        <v>317</v>
      </c>
    </row>
    <row r="7555" spans="1:5" ht="26" hidden="1" x14ac:dyDescent="0.15">
      <c r="A7555" s="1" t="s">
        <v>601</v>
      </c>
      <c r="B7555" s="2">
        <v>488198</v>
      </c>
      <c r="C7555" s="3">
        <v>0.21299999999999999</v>
      </c>
      <c r="D7555" s="4" t="s">
        <v>718</v>
      </c>
      <c r="E7555" s="4" t="s">
        <v>317</v>
      </c>
    </row>
    <row r="7556" spans="1:5" ht="26" hidden="1" x14ac:dyDescent="0.15">
      <c r="A7556" s="1" t="s">
        <v>726</v>
      </c>
      <c r="B7556" s="2">
        <v>47720</v>
      </c>
      <c r="C7556" s="3">
        <v>2.1000000000000001E-2</v>
      </c>
      <c r="D7556" s="4" t="s">
        <v>718</v>
      </c>
      <c r="E7556" s="4" t="s">
        <v>317</v>
      </c>
    </row>
    <row r="7557" spans="1:5" hidden="1" x14ac:dyDescent="0.15">
      <c r="A7557" s="1" t="s">
        <v>0</v>
      </c>
      <c r="B7557" s="2">
        <v>1260798</v>
      </c>
      <c r="C7557" s="3">
        <v>1</v>
      </c>
      <c r="D7557" s="4" t="s">
        <v>727</v>
      </c>
      <c r="E7557" s="4" t="s">
        <v>191</v>
      </c>
    </row>
    <row r="7558" spans="1:5" ht="26" hidden="1" x14ac:dyDescent="0.15">
      <c r="A7558" s="1" t="s">
        <v>3</v>
      </c>
      <c r="B7558" s="2">
        <v>19310</v>
      </c>
      <c r="C7558" s="3">
        <v>1.4999999999999999E-2</v>
      </c>
      <c r="D7558" s="4" t="s">
        <v>727</v>
      </c>
      <c r="E7558" s="4" t="s">
        <v>191</v>
      </c>
    </row>
    <row r="7559" spans="1:5" hidden="1" x14ac:dyDescent="0.15">
      <c r="A7559" s="1" t="s">
        <v>4</v>
      </c>
      <c r="B7559" s="2">
        <v>8039</v>
      </c>
      <c r="C7559" s="3">
        <v>6.0000000000000001E-3</v>
      </c>
      <c r="D7559" s="4" t="s">
        <v>727</v>
      </c>
      <c r="E7559" s="4" t="s">
        <v>191</v>
      </c>
    </row>
    <row r="7560" spans="1:5" ht="26" hidden="1" x14ac:dyDescent="0.15">
      <c r="A7560" s="1" t="s">
        <v>5</v>
      </c>
      <c r="B7560" s="2">
        <v>16148</v>
      </c>
      <c r="C7560" s="3">
        <v>1.3000000000000001E-2</v>
      </c>
      <c r="D7560" s="4" t="s">
        <v>727</v>
      </c>
      <c r="E7560" s="4" t="s">
        <v>191</v>
      </c>
    </row>
    <row r="7561" spans="1:5" ht="26" hidden="1" x14ac:dyDescent="0.15">
      <c r="A7561" s="1" t="s">
        <v>6</v>
      </c>
      <c r="B7561" s="2">
        <v>70847</v>
      </c>
      <c r="C7561" s="3">
        <v>5.5999999999999994E-2</v>
      </c>
      <c r="D7561" s="4" t="s">
        <v>727</v>
      </c>
      <c r="E7561" s="4" t="s">
        <v>191</v>
      </c>
    </row>
    <row r="7562" spans="1:5" ht="26" hidden="1" x14ac:dyDescent="0.15">
      <c r="A7562" s="1" t="s">
        <v>7</v>
      </c>
      <c r="B7562" s="2">
        <v>125510</v>
      </c>
      <c r="C7562" s="3">
        <v>0.1</v>
      </c>
      <c r="D7562" s="4" t="s">
        <v>727</v>
      </c>
      <c r="E7562" s="4" t="s">
        <v>191</v>
      </c>
    </row>
    <row r="7563" spans="1:5" ht="26" hidden="1" x14ac:dyDescent="0.15">
      <c r="A7563" s="1" t="s">
        <v>8</v>
      </c>
      <c r="B7563" s="2">
        <v>15736</v>
      </c>
      <c r="C7563" s="3">
        <v>1.2E-2</v>
      </c>
      <c r="D7563" s="4" t="s">
        <v>727</v>
      </c>
      <c r="E7563" s="4" t="s">
        <v>191</v>
      </c>
    </row>
    <row r="7564" spans="1:5" ht="26" hidden="1" x14ac:dyDescent="0.15">
      <c r="A7564" s="1" t="s">
        <v>9</v>
      </c>
      <c r="B7564" s="2">
        <v>30017</v>
      </c>
      <c r="C7564" s="3">
        <v>2.4E-2</v>
      </c>
      <c r="D7564" s="4" t="s">
        <v>727</v>
      </c>
      <c r="E7564" s="4" t="s">
        <v>191</v>
      </c>
    </row>
    <row r="7565" spans="1:5" ht="26" hidden="1" x14ac:dyDescent="0.15">
      <c r="A7565" s="1" t="s">
        <v>10</v>
      </c>
      <c r="B7565" s="2">
        <v>24426</v>
      </c>
      <c r="C7565" s="3">
        <v>1.9E-2</v>
      </c>
      <c r="D7565" s="4" t="s">
        <v>727</v>
      </c>
      <c r="E7565" s="4" t="s">
        <v>191</v>
      </c>
    </row>
    <row r="7566" spans="1:5" ht="26" hidden="1" x14ac:dyDescent="0.15">
      <c r="A7566" s="1" t="s">
        <v>11</v>
      </c>
      <c r="B7566" s="2">
        <v>56303</v>
      </c>
      <c r="C7566" s="3">
        <v>4.4999999999999998E-2</v>
      </c>
      <c r="D7566" s="4" t="s">
        <v>727</v>
      </c>
      <c r="E7566" s="4" t="s">
        <v>191</v>
      </c>
    </row>
    <row r="7567" spans="1:5" ht="26" hidden="1" x14ac:dyDescent="0.15">
      <c r="A7567" s="1" t="s">
        <v>12</v>
      </c>
      <c r="B7567" s="2">
        <v>16815</v>
      </c>
      <c r="C7567" s="3">
        <v>1.3000000000000001E-2</v>
      </c>
      <c r="D7567" s="4" t="s">
        <v>727</v>
      </c>
      <c r="E7567" s="4" t="s">
        <v>191</v>
      </c>
    </row>
    <row r="7568" spans="1:5" ht="26" hidden="1" x14ac:dyDescent="0.15">
      <c r="A7568" s="1" t="s">
        <v>13</v>
      </c>
      <c r="B7568" s="2">
        <v>7102</v>
      </c>
      <c r="C7568" s="3">
        <v>6.0000000000000001E-3</v>
      </c>
      <c r="D7568" s="4" t="s">
        <v>727</v>
      </c>
      <c r="E7568" s="4" t="s">
        <v>191</v>
      </c>
    </row>
    <row r="7569" spans="1:5" hidden="1" x14ac:dyDescent="0.15">
      <c r="A7569" s="1" t="s">
        <v>14</v>
      </c>
      <c r="B7569" s="2">
        <v>63012</v>
      </c>
      <c r="C7569" s="3">
        <v>0.05</v>
      </c>
      <c r="D7569" s="4" t="s">
        <v>727</v>
      </c>
      <c r="E7569" s="4" t="s">
        <v>191</v>
      </c>
    </row>
    <row r="7570" spans="1:5" ht="26" hidden="1" x14ac:dyDescent="0.15">
      <c r="A7570" s="1" t="s">
        <v>15</v>
      </c>
      <c r="B7570" s="2">
        <v>46521</v>
      </c>
      <c r="C7570" s="3">
        <v>3.7000000000000005E-2</v>
      </c>
      <c r="D7570" s="4" t="s">
        <v>727</v>
      </c>
      <c r="E7570" s="4" t="s">
        <v>191</v>
      </c>
    </row>
    <row r="7571" spans="1:5" ht="26" hidden="1" x14ac:dyDescent="0.15">
      <c r="A7571" s="1" t="s">
        <v>16</v>
      </c>
      <c r="B7571" s="2">
        <v>30483</v>
      </c>
      <c r="C7571" s="3">
        <v>2.4E-2</v>
      </c>
      <c r="D7571" s="4" t="s">
        <v>727</v>
      </c>
      <c r="E7571" s="4" t="s">
        <v>191</v>
      </c>
    </row>
    <row r="7572" spans="1:5" ht="26" hidden="1" x14ac:dyDescent="0.15">
      <c r="A7572" s="1" t="s">
        <v>17</v>
      </c>
      <c r="B7572" s="2">
        <v>27417</v>
      </c>
      <c r="C7572" s="3">
        <v>2.2000000000000002E-2</v>
      </c>
      <c r="D7572" s="4" t="s">
        <v>727</v>
      </c>
      <c r="E7572" s="4" t="s">
        <v>191</v>
      </c>
    </row>
    <row r="7573" spans="1:5" hidden="1" x14ac:dyDescent="0.15">
      <c r="A7573" s="1" t="s">
        <v>18</v>
      </c>
      <c r="B7573" s="2">
        <v>24869</v>
      </c>
      <c r="C7573" s="3">
        <v>0.02</v>
      </c>
      <c r="D7573" s="4" t="s">
        <v>727</v>
      </c>
      <c r="E7573" s="4" t="s">
        <v>191</v>
      </c>
    </row>
    <row r="7574" spans="1:5" hidden="1" x14ac:dyDescent="0.15">
      <c r="A7574" s="1" t="s">
        <v>19</v>
      </c>
      <c r="B7574" s="2">
        <v>105780</v>
      </c>
      <c r="C7574" s="3">
        <v>8.4000000000000005E-2</v>
      </c>
      <c r="D7574" s="4" t="s">
        <v>727</v>
      </c>
      <c r="E7574" s="4" t="s">
        <v>191</v>
      </c>
    </row>
    <row r="7575" spans="1:5" hidden="1" x14ac:dyDescent="0.15">
      <c r="A7575" s="1" t="s">
        <v>20</v>
      </c>
      <c r="B7575" s="2">
        <v>14790</v>
      </c>
      <c r="C7575" s="3">
        <v>1.2E-2</v>
      </c>
      <c r="D7575" s="4" t="s">
        <v>727</v>
      </c>
      <c r="E7575" s="4" t="s">
        <v>191</v>
      </c>
    </row>
    <row r="7576" spans="1:5" ht="26" hidden="1" x14ac:dyDescent="0.15">
      <c r="A7576" s="1" t="s">
        <v>21</v>
      </c>
      <c r="B7576" s="2">
        <v>32109</v>
      </c>
      <c r="C7576" s="3">
        <v>2.5000000000000001E-2</v>
      </c>
      <c r="D7576" s="4" t="s">
        <v>727</v>
      </c>
      <c r="E7576" s="4" t="s">
        <v>191</v>
      </c>
    </row>
    <row r="7577" spans="1:5" ht="26" hidden="1" x14ac:dyDescent="0.15">
      <c r="A7577" s="1" t="s">
        <v>22</v>
      </c>
      <c r="B7577" s="2">
        <v>7885</v>
      </c>
      <c r="C7577" s="3">
        <v>6.0000000000000001E-3</v>
      </c>
      <c r="D7577" s="4" t="s">
        <v>727</v>
      </c>
      <c r="E7577" s="4" t="s">
        <v>191</v>
      </c>
    </row>
    <row r="7578" spans="1:5" ht="26" hidden="1" x14ac:dyDescent="0.15">
      <c r="A7578" s="1" t="s">
        <v>23</v>
      </c>
      <c r="B7578" s="2">
        <v>20683</v>
      </c>
      <c r="C7578" s="3">
        <v>1.6E-2</v>
      </c>
      <c r="D7578" s="4" t="s">
        <v>727</v>
      </c>
      <c r="E7578" s="4" t="s">
        <v>191</v>
      </c>
    </row>
    <row r="7579" spans="1:5" ht="26" hidden="1" x14ac:dyDescent="0.15">
      <c r="A7579" s="1" t="s">
        <v>24</v>
      </c>
      <c r="B7579" s="2">
        <v>14470</v>
      </c>
      <c r="C7579" s="3">
        <v>1.1000000000000001E-2</v>
      </c>
      <c r="D7579" s="4" t="s">
        <v>727</v>
      </c>
      <c r="E7579" s="4" t="s">
        <v>191</v>
      </c>
    </row>
    <row r="7580" spans="1:5" ht="26" hidden="1" x14ac:dyDescent="0.15">
      <c r="A7580" s="1" t="s">
        <v>25</v>
      </c>
      <c r="B7580" s="2">
        <v>31491</v>
      </c>
      <c r="C7580" s="3">
        <v>2.5000000000000001E-2</v>
      </c>
      <c r="D7580" s="4" t="s">
        <v>727</v>
      </c>
      <c r="E7580" s="4" t="s">
        <v>191</v>
      </c>
    </row>
    <row r="7581" spans="1:5" hidden="1" x14ac:dyDescent="0.15">
      <c r="A7581" s="1" t="s">
        <v>26</v>
      </c>
      <c r="B7581" s="2">
        <v>13063</v>
      </c>
      <c r="C7581" s="3">
        <v>0.01</v>
      </c>
      <c r="D7581" s="4" t="s">
        <v>727</v>
      </c>
      <c r="E7581" s="4" t="s">
        <v>191</v>
      </c>
    </row>
    <row r="7582" spans="1:5" hidden="1" x14ac:dyDescent="0.15">
      <c r="A7582" s="1" t="s">
        <v>27</v>
      </c>
      <c r="B7582" s="2">
        <v>101962</v>
      </c>
      <c r="C7582" s="3">
        <v>8.1000000000000003E-2</v>
      </c>
      <c r="D7582" s="4" t="s">
        <v>727</v>
      </c>
      <c r="E7582" s="4" t="s">
        <v>191</v>
      </c>
    </row>
    <row r="7583" spans="1:5" hidden="1" x14ac:dyDescent="0.15">
      <c r="A7583" s="1" t="s">
        <v>28</v>
      </c>
      <c r="B7583" s="2">
        <v>49863</v>
      </c>
      <c r="C7583" s="3">
        <v>0.04</v>
      </c>
      <c r="D7583" s="4" t="s">
        <v>727</v>
      </c>
      <c r="E7583" s="4" t="s">
        <v>191</v>
      </c>
    </row>
    <row r="7584" spans="1:5" hidden="1" x14ac:dyDescent="0.15">
      <c r="A7584" s="1" t="s">
        <v>29</v>
      </c>
      <c r="B7584" s="2">
        <v>431080</v>
      </c>
      <c r="C7584" s="3">
        <v>0.34200000000000003</v>
      </c>
      <c r="D7584" s="4" t="s">
        <v>727</v>
      </c>
      <c r="E7584" s="4" t="s">
        <v>191</v>
      </c>
    </row>
    <row r="7585" spans="1:5" hidden="1" x14ac:dyDescent="0.15">
      <c r="A7585" s="1" t="s">
        <v>30</v>
      </c>
      <c r="B7585" s="2">
        <v>284565</v>
      </c>
      <c r="C7585" s="3">
        <v>0.22600000000000001</v>
      </c>
      <c r="D7585" s="4" t="s">
        <v>727</v>
      </c>
      <c r="E7585" s="4" t="s">
        <v>191</v>
      </c>
    </row>
    <row r="7586" spans="1:5" ht="39" hidden="1" x14ac:dyDescent="0.15">
      <c r="A7586" s="1" t="s">
        <v>31</v>
      </c>
      <c r="B7586" s="2">
        <v>3767</v>
      </c>
      <c r="C7586" s="3">
        <v>3.0000000000000001E-3</v>
      </c>
      <c r="D7586" s="4" t="s">
        <v>727</v>
      </c>
      <c r="E7586" s="4" t="s">
        <v>191</v>
      </c>
    </row>
    <row r="7587" spans="1:5" hidden="1" x14ac:dyDescent="0.15">
      <c r="A7587" s="1" t="s">
        <v>32</v>
      </c>
      <c r="B7587" s="2">
        <v>37618</v>
      </c>
      <c r="C7587" s="3">
        <v>0.03</v>
      </c>
      <c r="D7587" s="4" t="s">
        <v>727</v>
      </c>
      <c r="E7587" s="4" t="s">
        <v>191</v>
      </c>
    </row>
    <row r="7588" spans="1:5" hidden="1" x14ac:dyDescent="0.15">
      <c r="A7588" s="1" t="s">
        <v>33</v>
      </c>
      <c r="B7588" s="2">
        <v>280191</v>
      </c>
      <c r="C7588" s="3">
        <v>0.222</v>
      </c>
      <c r="D7588" s="4" t="s">
        <v>727</v>
      </c>
      <c r="E7588" s="4" t="s">
        <v>191</v>
      </c>
    </row>
    <row r="7589" spans="1:5" hidden="1" x14ac:dyDescent="0.15">
      <c r="A7589" s="1" t="s">
        <v>34</v>
      </c>
      <c r="B7589" s="2">
        <v>108990</v>
      </c>
      <c r="C7589" s="3">
        <v>8.5999999999999993E-2</v>
      </c>
      <c r="D7589" s="4" t="s">
        <v>727</v>
      </c>
      <c r="E7589" s="4" t="s">
        <v>191</v>
      </c>
    </row>
    <row r="7590" spans="1:5" hidden="1" x14ac:dyDescent="0.15">
      <c r="A7590" s="1" t="s">
        <v>35</v>
      </c>
      <c r="B7590" s="2">
        <v>53397</v>
      </c>
      <c r="C7590" s="3">
        <v>4.2000000000000003E-2</v>
      </c>
      <c r="D7590" s="4" t="s">
        <v>727</v>
      </c>
      <c r="E7590" s="4" t="s">
        <v>191</v>
      </c>
    </row>
    <row r="7591" spans="1:5" ht="26" hidden="1" x14ac:dyDescent="0.15">
      <c r="A7591" s="1" t="s">
        <v>36</v>
      </c>
      <c r="B7591" s="2">
        <v>14273</v>
      </c>
      <c r="C7591" s="3">
        <v>1.1000000000000001E-2</v>
      </c>
      <c r="D7591" s="4" t="s">
        <v>727</v>
      </c>
      <c r="E7591" s="4" t="s">
        <v>191</v>
      </c>
    </row>
    <row r="7592" spans="1:5" hidden="1" x14ac:dyDescent="0.15">
      <c r="A7592" s="1" t="s">
        <v>37</v>
      </c>
      <c r="B7592" s="2">
        <v>9583</v>
      </c>
      <c r="C7592" s="3">
        <v>8.0000000000000002E-3</v>
      </c>
      <c r="D7592" s="4" t="s">
        <v>727</v>
      </c>
      <c r="E7592" s="4" t="s">
        <v>191</v>
      </c>
    </row>
    <row r="7593" spans="1:5" ht="39" hidden="1" x14ac:dyDescent="0.15">
      <c r="A7593" s="1" t="s">
        <v>38</v>
      </c>
      <c r="B7593" s="2">
        <v>24159</v>
      </c>
      <c r="C7593" s="3">
        <v>1.9E-2</v>
      </c>
      <c r="D7593" s="4" t="s">
        <v>727</v>
      </c>
      <c r="E7593" s="4" t="s">
        <v>191</v>
      </c>
    </row>
    <row r="7594" spans="1:5" hidden="1" x14ac:dyDescent="0.15">
      <c r="A7594" s="1" t="s">
        <v>39</v>
      </c>
      <c r="B7594" s="2">
        <v>47020</v>
      </c>
      <c r="C7594" s="3">
        <v>3.7000000000000005E-2</v>
      </c>
      <c r="D7594" s="4" t="s">
        <v>727</v>
      </c>
      <c r="E7594" s="4" t="s">
        <v>191</v>
      </c>
    </row>
    <row r="7595" spans="1:5" hidden="1" x14ac:dyDescent="0.15">
      <c r="A7595" s="1" t="s">
        <v>40</v>
      </c>
      <c r="B7595" s="2">
        <v>5936</v>
      </c>
      <c r="C7595" s="3">
        <v>5.0000000000000001E-3</v>
      </c>
      <c r="D7595" s="4" t="s">
        <v>727</v>
      </c>
      <c r="E7595" s="4" t="s">
        <v>191</v>
      </c>
    </row>
    <row r="7596" spans="1:5" hidden="1" x14ac:dyDescent="0.15">
      <c r="A7596" s="1" t="s">
        <v>41</v>
      </c>
      <c r="B7596" s="2">
        <v>34353</v>
      </c>
      <c r="C7596" s="3">
        <v>2.7000000000000003E-2</v>
      </c>
      <c r="D7596" s="4" t="s">
        <v>727</v>
      </c>
      <c r="E7596" s="4" t="s">
        <v>191</v>
      </c>
    </row>
    <row r="7597" spans="1:5" hidden="1" x14ac:dyDescent="0.15">
      <c r="A7597" s="1" t="s">
        <v>42</v>
      </c>
      <c r="B7597" s="2">
        <v>31783</v>
      </c>
      <c r="C7597" s="3">
        <v>2.5000000000000001E-2</v>
      </c>
      <c r="D7597" s="4" t="s">
        <v>727</v>
      </c>
      <c r="E7597" s="4" t="s">
        <v>191</v>
      </c>
    </row>
    <row r="7598" spans="1:5" hidden="1" x14ac:dyDescent="0.15">
      <c r="A7598" s="1" t="s">
        <v>43</v>
      </c>
      <c r="B7598" s="2">
        <v>138273</v>
      </c>
      <c r="C7598" s="3">
        <v>0.11</v>
      </c>
      <c r="D7598" s="4" t="s">
        <v>727</v>
      </c>
      <c r="E7598" s="4" t="s">
        <v>191</v>
      </c>
    </row>
    <row r="7599" spans="1:5" ht="26" hidden="1" x14ac:dyDescent="0.15">
      <c r="A7599" s="1" t="s">
        <v>44</v>
      </c>
      <c r="B7599" s="2">
        <v>116361</v>
      </c>
      <c r="C7599" s="3">
        <v>9.1999999999999998E-2</v>
      </c>
      <c r="D7599" s="4" t="s">
        <v>727</v>
      </c>
      <c r="E7599" s="4" t="s">
        <v>191</v>
      </c>
    </row>
    <row r="7600" spans="1:5" hidden="1" x14ac:dyDescent="0.15">
      <c r="A7600" s="1" t="s">
        <v>45</v>
      </c>
      <c r="B7600" s="2">
        <v>119528</v>
      </c>
      <c r="C7600" s="3">
        <v>9.5000000000000001E-2</v>
      </c>
      <c r="D7600" s="4" t="s">
        <v>727</v>
      </c>
      <c r="E7600" s="4" t="s">
        <v>191</v>
      </c>
    </row>
    <row r="7601" spans="1:5" ht="26" hidden="1" x14ac:dyDescent="0.15">
      <c r="A7601" s="1" t="s">
        <v>46</v>
      </c>
      <c r="B7601" s="2">
        <v>293815</v>
      </c>
      <c r="C7601" s="3">
        <v>0.23300000000000001</v>
      </c>
      <c r="D7601" s="4" t="s">
        <v>727</v>
      </c>
      <c r="E7601" s="4" t="s">
        <v>191</v>
      </c>
    </row>
    <row r="7602" spans="1:5" hidden="1" x14ac:dyDescent="0.15">
      <c r="A7602" s="1" t="s">
        <v>47</v>
      </c>
      <c r="B7602" s="2">
        <v>400857</v>
      </c>
      <c r="C7602" s="3">
        <v>0.318</v>
      </c>
      <c r="D7602" s="4" t="s">
        <v>727</v>
      </c>
      <c r="E7602" s="4" t="s">
        <v>191</v>
      </c>
    </row>
    <row r="7603" spans="1:5" hidden="1" x14ac:dyDescent="0.15">
      <c r="A7603" s="1" t="s">
        <v>48</v>
      </c>
      <c r="B7603" s="2">
        <v>205721</v>
      </c>
      <c r="C7603" s="3">
        <v>0.16300000000000001</v>
      </c>
      <c r="D7603" s="4" t="s">
        <v>727</v>
      </c>
      <c r="E7603" s="4" t="s">
        <v>191</v>
      </c>
    </row>
    <row r="7604" spans="1:5" hidden="1" x14ac:dyDescent="0.15">
      <c r="A7604" s="1" t="s">
        <v>49</v>
      </c>
      <c r="B7604" s="2">
        <v>114153</v>
      </c>
      <c r="C7604" s="3">
        <v>9.0999999999999998E-2</v>
      </c>
      <c r="D7604" s="4" t="s">
        <v>727</v>
      </c>
      <c r="E7604" s="4" t="s">
        <v>191</v>
      </c>
    </row>
    <row r="7605" spans="1:5" ht="26" hidden="1" x14ac:dyDescent="0.15">
      <c r="A7605" s="1" t="s">
        <v>50</v>
      </c>
      <c r="B7605" s="2">
        <v>175123</v>
      </c>
      <c r="C7605" s="3">
        <v>0.13900000000000001</v>
      </c>
      <c r="D7605" s="4" t="s">
        <v>727</v>
      </c>
      <c r="E7605" s="4" t="s">
        <v>191</v>
      </c>
    </row>
    <row r="7606" spans="1:5" hidden="1" x14ac:dyDescent="0.15">
      <c r="A7606" s="1" t="s">
        <v>51</v>
      </c>
      <c r="B7606" s="2">
        <v>335720</v>
      </c>
      <c r="C7606" s="3">
        <v>0.26600000000000001</v>
      </c>
      <c r="D7606" s="4" t="s">
        <v>727</v>
      </c>
      <c r="E7606" s="4" t="s">
        <v>191</v>
      </c>
    </row>
    <row r="7607" spans="1:5" hidden="1" x14ac:dyDescent="0.15">
      <c r="A7607" s="1" t="s">
        <v>52</v>
      </c>
      <c r="B7607" s="2">
        <v>175727</v>
      </c>
      <c r="C7607" s="3">
        <v>0.13900000000000001</v>
      </c>
      <c r="D7607" s="4" t="s">
        <v>727</v>
      </c>
      <c r="E7607" s="4" t="s">
        <v>191</v>
      </c>
    </row>
    <row r="7608" spans="1:5" ht="26" hidden="1" x14ac:dyDescent="0.15">
      <c r="A7608" s="1" t="s">
        <v>53</v>
      </c>
      <c r="B7608" s="2">
        <v>134039</v>
      </c>
      <c r="C7608" s="3">
        <v>0.106</v>
      </c>
      <c r="D7608" s="4" t="s">
        <v>727</v>
      </c>
      <c r="E7608" s="4" t="s">
        <v>191</v>
      </c>
    </row>
    <row r="7609" spans="1:5" hidden="1" x14ac:dyDescent="0.15">
      <c r="A7609" s="1" t="s">
        <v>54</v>
      </c>
      <c r="B7609" s="2">
        <v>361741</v>
      </c>
      <c r="C7609" s="3">
        <v>0.28699999999999998</v>
      </c>
      <c r="D7609" s="4" t="s">
        <v>727</v>
      </c>
      <c r="E7609" s="4" t="s">
        <v>191</v>
      </c>
    </row>
    <row r="7610" spans="1:5" ht="26" hidden="1" x14ac:dyDescent="0.15">
      <c r="A7610" s="1" t="s">
        <v>55</v>
      </c>
      <c r="B7610" s="2">
        <v>332922</v>
      </c>
      <c r="C7610" s="3">
        <v>0.26400000000000001</v>
      </c>
      <c r="D7610" s="4" t="s">
        <v>727</v>
      </c>
      <c r="E7610" s="4" t="s">
        <v>191</v>
      </c>
    </row>
    <row r="7611" spans="1:5" hidden="1" x14ac:dyDescent="0.15">
      <c r="A7611" s="1" t="s">
        <v>56</v>
      </c>
      <c r="B7611" s="2">
        <v>291751</v>
      </c>
      <c r="C7611" s="3">
        <v>0.23100000000000001</v>
      </c>
      <c r="D7611" s="4" t="s">
        <v>727</v>
      </c>
      <c r="E7611" s="4" t="s">
        <v>191</v>
      </c>
    </row>
    <row r="7612" spans="1:5" hidden="1" x14ac:dyDescent="0.15">
      <c r="A7612" s="1" t="s">
        <v>57</v>
      </c>
      <c r="B7612" s="2">
        <v>200024</v>
      </c>
      <c r="C7612" s="3">
        <v>0.159</v>
      </c>
      <c r="D7612" s="4" t="s">
        <v>727</v>
      </c>
      <c r="E7612" s="4" t="s">
        <v>191</v>
      </c>
    </row>
    <row r="7613" spans="1:5" hidden="1" x14ac:dyDescent="0.15">
      <c r="A7613" s="1" t="s">
        <v>58</v>
      </c>
      <c r="B7613" s="2">
        <v>174577</v>
      </c>
      <c r="C7613" s="3">
        <v>0.13800000000000001</v>
      </c>
      <c r="D7613" s="4" t="s">
        <v>727</v>
      </c>
      <c r="E7613" s="4" t="s">
        <v>191</v>
      </c>
    </row>
    <row r="7614" spans="1:5" hidden="1" x14ac:dyDescent="0.15">
      <c r="A7614" s="1" t="s">
        <v>59</v>
      </c>
      <c r="B7614" s="2">
        <v>459813</v>
      </c>
      <c r="C7614" s="3">
        <v>0.36499999999999999</v>
      </c>
      <c r="D7614" s="4" t="s">
        <v>727</v>
      </c>
      <c r="E7614" s="4" t="s">
        <v>191</v>
      </c>
    </row>
    <row r="7615" spans="1:5" hidden="1" x14ac:dyDescent="0.15">
      <c r="A7615" s="1" t="s">
        <v>60</v>
      </c>
      <c r="B7615" s="2">
        <v>165919</v>
      </c>
      <c r="C7615" s="3">
        <v>0.13200000000000001</v>
      </c>
      <c r="D7615" s="4" t="s">
        <v>727</v>
      </c>
      <c r="E7615" s="4" t="s">
        <v>191</v>
      </c>
    </row>
    <row r="7616" spans="1:5" ht="26" hidden="1" x14ac:dyDescent="0.15">
      <c r="A7616" s="1" t="s">
        <v>61</v>
      </c>
      <c r="B7616" s="2">
        <v>191604</v>
      </c>
      <c r="C7616" s="3">
        <v>0.152</v>
      </c>
      <c r="D7616" s="4" t="s">
        <v>727</v>
      </c>
      <c r="E7616" s="4" t="s">
        <v>191</v>
      </c>
    </row>
    <row r="7617" spans="1:5" hidden="1" x14ac:dyDescent="0.15">
      <c r="A7617" s="1" t="s">
        <v>62</v>
      </c>
      <c r="B7617" s="2">
        <v>44816</v>
      </c>
      <c r="C7617" s="3">
        <v>3.6000000000000004E-2</v>
      </c>
      <c r="D7617" s="4" t="s">
        <v>727</v>
      </c>
      <c r="E7617" s="4" t="s">
        <v>191</v>
      </c>
    </row>
    <row r="7618" spans="1:5" ht="26" hidden="1" x14ac:dyDescent="0.15">
      <c r="A7618" s="1" t="s">
        <v>63</v>
      </c>
      <c r="B7618" s="2">
        <v>211585</v>
      </c>
      <c r="C7618" s="3">
        <v>0.16800000000000001</v>
      </c>
      <c r="D7618" s="4" t="s">
        <v>727</v>
      </c>
      <c r="E7618" s="4" t="s">
        <v>191</v>
      </c>
    </row>
    <row r="7619" spans="1:5" ht="26" hidden="1" x14ac:dyDescent="0.15">
      <c r="A7619" s="1" t="s">
        <v>64</v>
      </c>
      <c r="B7619" s="2">
        <v>180985</v>
      </c>
      <c r="C7619" s="3">
        <v>0.14400000000000002</v>
      </c>
      <c r="D7619" s="4" t="s">
        <v>727</v>
      </c>
      <c r="E7619" s="4" t="s">
        <v>191</v>
      </c>
    </row>
    <row r="7620" spans="1:5" hidden="1" x14ac:dyDescent="0.15">
      <c r="A7620" s="1" t="s">
        <v>65</v>
      </c>
      <c r="B7620" s="2">
        <v>165666</v>
      </c>
      <c r="C7620" s="3">
        <v>0.13100000000000001</v>
      </c>
      <c r="D7620" s="4" t="s">
        <v>727</v>
      </c>
      <c r="E7620" s="4" t="s">
        <v>191</v>
      </c>
    </row>
    <row r="7621" spans="1:5" hidden="1" x14ac:dyDescent="0.15">
      <c r="A7621" s="1" t="s">
        <v>66</v>
      </c>
      <c r="B7621" s="2">
        <v>107832</v>
      </c>
      <c r="C7621" s="3">
        <v>8.5999999999999993E-2</v>
      </c>
      <c r="D7621" s="4" t="s">
        <v>727</v>
      </c>
      <c r="E7621" s="4" t="s">
        <v>191</v>
      </c>
    </row>
    <row r="7622" spans="1:5" hidden="1" x14ac:dyDescent="0.15">
      <c r="A7622" s="1" t="s">
        <v>67</v>
      </c>
      <c r="B7622" s="2">
        <v>391977</v>
      </c>
      <c r="C7622" s="3">
        <v>0.311</v>
      </c>
      <c r="D7622" s="4" t="s">
        <v>727</v>
      </c>
      <c r="E7622" s="4" t="s">
        <v>191</v>
      </c>
    </row>
    <row r="7623" spans="1:5" hidden="1" x14ac:dyDescent="0.15">
      <c r="A7623" s="1" t="s">
        <v>68</v>
      </c>
      <c r="B7623" s="2">
        <v>273728</v>
      </c>
      <c r="C7623" s="3">
        <v>0.217</v>
      </c>
      <c r="D7623" s="4" t="s">
        <v>727</v>
      </c>
      <c r="E7623" s="4" t="s">
        <v>191</v>
      </c>
    </row>
    <row r="7624" spans="1:5" hidden="1" x14ac:dyDescent="0.15">
      <c r="A7624" s="1" t="s">
        <v>69</v>
      </c>
      <c r="B7624" s="2">
        <v>872817</v>
      </c>
      <c r="C7624" s="3">
        <v>0.69200000000000006</v>
      </c>
      <c r="D7624" s="4" t="s">
        <v>727</v>
      </c>
      <c r="E7624" s="4" t="s">
        <v>191</v>
      </c>
    </row>
    <row r="7625" spans="1:5" hidden="1" x14ac:dyDescent="0.15">
      <c r="A7625" s="1" t="s">
        <v>70</v>
      </c>
      <c r="B7625" s="2">
        <v>670468</v>
      </c>
      <c r="C7625" s="3">
        <v>0.53200000000000003</v>
      </c>
      <c r="D7625" s="4" t="s">
        <v>727</v>
      </c>
      <c r="E7625" s="4" t="s">
        <v>191</v>
      </c>
    </row>
    <row r="7626" spans="1:5" ht="26" hidden="1" x14ac:dyDescent="0.15">
      <c r="A7626" s="1" t="s">
        <v>71</v>
      </c>
      <c r="B7626" s="2">
        <v>50702</v>
      </c>
      <c r="C7626" s="3">
        <v>0.04</v>
      </c>
      <c r="D7626" s="4" t="s">
        <v>727</v>
      </c>
      <c r="E7626" s="4" t="s">
        <v>191</v>
      </c>
    </row>
    <row r="7627" spans="1:5" hidden="1" x14ac:dyDescent="0.15">
      <c r="A7627" s="1" t="s">
        <v>72</v>
      </c>
      <c r="B7627" s="2">
        <v>163271</v>
      </c>
      <c r="C7627" s="3">
        <v>0.129</v>
      </c>
      <c r="D7627" s="4" t="s">
        <v>727</v>
      </c>
      <c r="E7627" s="4" t="s">
        <v>191</v>
      </c>
    </row>
    <row r="7628" spans="1:5" hidden="1" x14ac:dyDescent="0.15">
      <c r="A7628" s="1" t="s">
        <v>73</v>
      </c>
      <c r="B7628" s="2">
        <v>736972</v>
      </c>
      <c r="C7628" s="3">
        <v>0.58499999999999996</v>
      </c>
      <c r="D7628" s="4" t="s">
        <v>727</v>
      </c>
      <c r="E7628" s="4" t="s">
        <v>191</v>
      </c>
    </row>
    <row r="7629" spans="1:5" hidden="1" x14ac:dyDescent="0.15">
      <c r="A7629" s="1" t="s">
        <v>74</v>
      </c>
      <c r="B7629" s="2">
        <v>375420</v>
      </c>
      <c r="C7629" s="3">
        <v>0.29799999999999999</v>
      </c>
      <c r="D7629" s="4" t="s">
        <v>727</v>
      </c>
      <c r="E7629" s="4" t="s">
        <v>191</v>
      </c>
    </row>
    <row r="7630" spans="1:5" hidden="1" x14ac:dyDescent="0.15">
      <c r="A7630" s="1" t="s">
        <v>75</v>
      </c>
      <c r="B7630" s="2">
        <v>194167</v>
      </c>
      <c r="C7630" s="3">
        <v>0.154</v>
      </c>
      <c r="D7630" s="4" t="s">
        <v>727</v>
      </c>
      <c r="E7630" s="4" t="s">
        <v>191</v>
      </c>
    </row>
    <row r="7631" spans="1:5" hidden="1" x14ac:dyDescent="0.15">
      <c r="A7631" s="1" t="s">
        <v>76</v>
      </c>
      <c r="B7631" s="2">
        <v>155669</v>
      </c>
      <c r="C7631" s="3">
        <v>0.12300000000000001</v>
      </c>
      <c r="D7631" s="4" t="s">
        <v>727</v>
      </c>
      <c r="E7631" s="4" t="s">
        <v>191</v>
      </c>
    </row>
    <row r="7632" spans="1:5" hidden="1" x14ac:dyDescent="0.15">
      <c r="A7632" s="1" t="s">
        <v>77</v>
      </c>
      <c r="B7632" s="2">
        <v>124267</v>
      </c>
      <c r="C7632" s="3">
        <v>9.9000000000000005E-2</v>
      </c>
      <c r="D7632" s="4" t="s">
        <v>727</v>
      </c>
      <c r="E7632" s="4" t="s">
        <v>191</v>
      </c>
    </row>
    <row r="7633" spans="1:5" ht="26" hidden="1" x14ac:dyDescent="0.15">
      <c r="A7633" s="1" t="s">
        <v>78</v>
      </c>
      <c r="B7633" s="2">
        <v>185635</v>
      </c>
      <c r="C7633" s="3">
        <v>0.14699999999999999</v>
      </c>
      <c r="D7633" s="4" t="s">
        <v>727</v>
      </c>
      <c r="E7633" s="4" t="s">
        <v>191</v>
      </c>
    </row>
    <row r="7634" spans="1:5" hidden="1" x14ac:dyDescent="0.15">
      <c r="A7634" s="1" t="s">
        <v>79</v>
      </c>
      <c r="B7634" s="2">
        <v>185210</v>
      </c>
      <c r="C7634" s="3">
        <v>0.14699999999999999</v>
      </c>
      <c r="D7634" s="4" t="s">
        <v>727</v>
      </c>
      <c r="E7634" s="4" t="s">
        <v>191</v>
      </c>
    </row>
    <row r="7635" spans="1:5" hidden="1" x14ac:dyDescent="0.15">
      <c r="A7635" s="1" t="s">
        <v>80</v>
      </c>
      <c r="B7635" s="2">
        <v>72638</v>
      </c>
      <c r="C7635" s="3">
        <v>5.7999999999999996E-2</v>
      </c>
      <c r="D7635" s="4" t="s">
        <v>727</v>
      </c>
      <c r="E7635" s="4" t="s">
        <v>191</v>
      </c>
    </row>
    <row r="7636" spans="1:5" ht="26" hidden="1" x14ac:dyDescent="0.15">
      <c r="A7636" s="1" t="s">
        <v>81</v>
      </c>
      <c r="B7636" s="2">
        <v>191942</v>
      </c>
      <c r="C7636" s="3">
        <v>0.152</v>
      </c>
      <c r="D7636" s="4" t="s">
        <v>727</v>
      </c>
      <c r="E7636" s="4" t="s">
        <v>191</v>
      </c>
    </row>
    <row r="7637" spans="1:5" hidden="1" x14ac:dyDescent="0.15">
      <c r="A7637" s="1" t="s">
        <v>82</v>
      </c>
      <c r="B7637" s="2">
        <v>165801</v>
      </c>
      <c r="C7637" s="3">
        <v>0.13200000000000001</v>
      </c>
      <c r="D7637" s="4" t="s">
        <v>727</v>
      </c>
      <c r="E7637" s="4" t="s">
        <v>191</v>
      </c>
    </row>
    <row r="7638" spans="1:5" hidden="1" x14ac:dyDescent="0.15">
      <c r="A7638" s="4"/>
      <c r="B7638" s="4"/>
      <c r="C7638" s="4"/>
      <c r="D7638" s="4" t="s">
        <v>727</v>
      </c>
      <c r="E7638" s="4" t="s">
        <v>191</v>
      </c>
    </row>
    <row r="7639" spans="1:5" hidden="1" x14ac:dyDescent="0.15">
      <c r="A7639" s="5"/>
      <c r="B7639" s="5"/>
      <c r="C7639" s="5"/>
      <c r="D7639" s="4" t="s">
        <v>727</v>
      </c>
      <c r="E7639" s="4" t="s">
        <v>191</v>
      </c>
    </row>
    <row r="7640" spans="1:5" hidden="1" x14ac:dyDescent="0.15">
      <c r="A7640" s="1" t="s">
        <v>199</v>
      </c>
      <c r="B7640" s="2">
        <v>809534</v>
      </c>
      <c r="C7640" s="3">
        <v>0.64200000000000002</v>
      </c>
      <c r="D7640" s="4" t="s">
        <v>727</v>
      </c>
      <c r="E7640" s="4" t="s">
        <v>191</v>
      </c>
    </row>
    <row r="7641" spans="1:5" hidden="1" x14ac:dyDescent="0.15">
      <c r="A7641" s="4"/>
      <c r="B7641" s="4"/>
      <c r="C7641" s="4"/>
      <c r="D7641" s="4" t="s">
        <v>727</v>
      </c>
      <c r="E7641" s="4" t="s">
        <v>191</v>
      </c>
    </row>
    <row r="7642" spans="1:5" hidden="1" x14ac:dyDescent="0.15">
      <c r="A7642" s="5"/>
      <c r="B7642" s="5"/>
      <c r="C7642" s="5"/>
      <c r="D7642" s="4" t="s">
        <v>727</v>
      </c>
      <c r="E7642" s="4" t="s">
        <v>191</v>
      </c>
    </row>
    <row r="7643" spans="1:5" hidden="1" x14ac:dyDescent="0.15">
      <c r="A7643" s="1" t="s">
        <v>200</v>
      </c>
      <c r="B7643" s="2">
        <v>608262</v>
      </c>
      <c r="C7643" s="3">
        <v>0.48200000000000004</v>
      </c>
      <c r="D7643" s="4" t="s">
        <v>727</v>
      </c>
      <c r="E7643" s="4" t="s">
        <v>191</v>
      </c>
    </row>
    <row r="7644" spans="1:5" hidden="1" x14ac:dyDescent="0.15">
      <c r="A7644" s="4"/>
      <c r="B7644" s="4"/>
      <c r="C7644" s="4"/>
      <c r="D7644" s="4" t="s">
        <v>727</v>
      </c>
      <c r="E7644" s="4" t="s">
        <v>191</v>
      </c>
    </row>
    <row r="7645" spans="1:5" hidden="1" x14ac:dyDescent="0.15">
      <c r="A7645" s="5"/>
      <c r="B7645" s="5"/>
      <c r="C7645" s="5"/>
      <c r="D7645" s="4" t="s">
        <v>727</v>
      </c>
      <c r="E7645" s="4" t="s">
        <v>191</v>
      </c>
    </row>
    <row r="7646" spans="1:5" ht="39" hidden="1" x14ac:dyDescent="0.15">
      <c r="A7646" s="1" t="s">
        <v>728</v>
      </c>
      <c r="B7646" s="2">
        <v>14081</v>
      </c>
      <c r="C7646" s="3">
        <v>1.1000000000000001E-2</v>
      </c>
      <c r="D7646" s="4" t="s">
        <v>727</v>
      </c>
      <c r="E7646" s="4" t="s">
        <v>191</v>
      </c>
    </row>
    <row r="7647" spans="1:5" ht="26" hidden="1" x14ac:dyDescent="0.15">
      <c r="A7647" s="1" t="s">
        <v>729</v>
      </c>
      <c r="B7647" s="2">
        <v>15959</v>
      </c>
      <c r="C7647" s="3">
        <v>1.3000000000000001E-2</v>
      </c>
      <c r="D7647" s="4" t="s">
        <v>727</v>
      </c>
      <c r="E7647" s="4" t="s">
        <v>191</v>
      </c>
    </row>
    <row r="7648" spans="1:5" ht="39" hidden="1" x14ac:dyDescent="0.15">
      <c r="A7648" s="1" t="s">
        <v>730</v>
      </c>
      <c r="B7648" s="2">
        <v>47655</v>
      </c>
      <c r="C7648" s="3">
        <v>3.7999999999999999E-2</v>
      </c>
      <c r="D7648" s="4" t="s">
        <v>727</v>
      </c>
      <c r="E7648" s="4" t="s">
        <v>191</v>
      </c>
    </row>
    <row r="7649" spans="1:5" ht="26" hidden="1" x14ac:dyDescent="0.15">
      <c r="A7649" s="1" t="s">
        <v>731</v>
      </c>
      <c r="B7649" s="2">
        <v>24180</v>
      </c>
      <c r="C7649" s="3">
        <v>1.9E-2</v>
      </c>
      <c r="D7649" s="4" t="s">
        <v>727</v>
      </c>
      <c r="E7649" s="4" t="s">
        <v>191</v>
      </c>
    </row>
    <row r="7650" spans="1:5" ht="26" hidden="1" x14ac:dyDescent="0.15">
      <c r="A7650" s="1" t="s">
        <v>732</v>
      </c>
      <c r="B7650" s="2">
        <v>51668</v>
      </c>
      <c r="C7650" s="3">
        <v>4.0999999999999995E-2</v>
      </c>
      <c r="D7650" s="4" t="s">
        <v>727</v>
      </c>
      <c r="E7650" s="4" t="s">
        <v>191</v>
      </c>
    </row>
    <row r="7651" spans="1:5" ht="26" hidden="1" x14ac:dyDescent="0.15">
      <c r="A7651" s="1" t="s">
        <v>733</v>
      </c>
      <c r="B7651" s="2">
        <v>91338</v>
      </c>
      <c r="C7651" s="3">
        <v>7.2000000000000008E-2</v>
      </c>
      <c r="D7651" s="4" t="s">
        <v>727</v>
      </c>
      <c r="E7651" s="4" t="s">
        <v>191</v>
      </c>
    </row>
    <row r="7652" spans="1:5" hidden="1" x14ac:dyDescent="0.15">
      <c r="A7652" s="4"/>
      <c r="B7652" s="4"/>
      <c r="C7652" s="4"/>
      <c r="D7652" s="4" t="s">
        <v>727</v>
      </c>
      <c r="E7652" s="4" t="s">
        <v>191</v>
      </c>
    </row>
    <row r="7653" spans="1:5" hidden="1" x14ac:dyDescent="0.15">
      <c r="A7653" s="5" t="s">
        <v>397</v>
      </c>
      <c r="B7653" s="5"/>
      <c r="C7653" s="5"/>
      <c r="D7653" s="4" t="s">
        <v>727</v>
      </c>
      <c r="E7653" s="4" t="s">
        <v>191</v>
      </c>
    </row>
    <row r="7654" spans="1:5" ht="26" hidden="1" x14ac:dyDescent="0.15">
      <c r="A7654" s="1" t="s">
        <v>734</v>
      </c>
      <c r="B7654" s="2">
        <v>219247</v>
      </c>
      <c r="C7654" s="3">
        <v>0.17399999999999999</v>
      </c>
      <c r="D7654" s="4" t="s">
        <v>727</v>
      </c>
      <c r="E7654" s="4" t="s">
        <v>191</v>
      </c>
    </row>
    <row r="7655" spans="1:5" hidden="1" x14ac:dyDescent="0.15">
      <c r="A7655" s="4"/>
      <c r="B7655" s="4"/>
      <c r="C7655" s="4"/>
      <c r="D7655" s="4" t="s">
        <v>727</v>
      </c>
      <c r="E7655" s="4" t="s">
        <v>191</v>
      </c>
    </row>
    <row r="7656" spans="1:5" hidden="1" x14ac:dyDescent="0.15">
      <c r="A7656" s="5"/>
      <c r="B7656" s="5"/>
      <c r="C7656" s="5"/>
      <c r="D7656" s="4" t="s">
        <v>727</v>
      </c>
      <c r="E7656" s="4" t="s">
        <v>191</v>
      </c>
    </row>
    <row r="7657" spans="1:5" ht="26" hidden="1" x14ac:dyDescent="0.15">
      <c r="A7657" s="1" t="s">
        <v>735</v>
      </c>
      <c r="B7657" s="2">
        <v>6752</v>
      </c>
      <c r="C7657" s="3">
        <v>5.0000000000000001E-3</v>
      </c>
      <c r="D7657" s="4" t="s">
        <v>727</v>
      </c>
      <c r="E7657" s="4" t="s">
        <v>191</v>
      </c>
    </row>
    <row r="7658" spans="1:5" hidden="1" x14ac:dyDescent="0.15">
      <c r="A7658" s="4"/>
      <c r="B7658" s="4"/>
      <c r="C7658" s="4"/>
      <c r="D7658" s="4" t="s">
        <v>727</v>
      </c>
      <c r="E7658" s="4" t="s">
        <v>191</v>
      </c>
    </row>
    <row r="7659" spans="1:5" hidden="1" x14ac:dyDescent="0.15">
      <c r="A7659" s="5"/>
      <c r="B7659" s="5"/>
      <c r="C7659" s="5"/>
      <c r="D7659" s="4" t="s">
        <v>727</v>
      </c>
      <c r="E7659" s="4" t="s">
        <v>191</v>
      </c>
    </row>
    <row r="7660" spans="1:5" ht="26" hidden="1" x14ac:dyDescent="0.15">
      <c r="A7660" s="1" t="s">
        <v>194</v>
      </c>
      <c r="B7660" s="2">
        <v>69283</v>
      </c>
      <c r="C7660" s="3">
        <v>5.5E-2</v>
      </c>
      <c r="D7660" s="4" t="s">
        <v>727</v>
      </c>
      <c r="E7660" s="4" t="s">
        <v>191</v>
      </c>
    </row>
    <row r="7661" spans="1:5" hidden="1" x14ac:dyDescent="0.15">
      <c r="A7661" s="4"/>
      <c r="B7661" s="4"/>
      <c r="C7661" s="4"/>
      <c r="D7661" s="4" t="s">
        <v>727</v>
      </c>
      <c r="E7661" s="4" t="s">
        <v>191</v>
      </c>
    </row>
    <row r="7662" spans="1:5" hidden="1" x14ac:dyDescent="0.15">
      <c r="A7662" s="5"/>
      <c r="B7662" s="5"/>
      <c r="C7662" s="5"/>
      <c r="D7662" s="4" t="s">
        <v>727</v>
      </c>
      <c r="E7662" s="4" t="s">
        <v>191</v>
      </c>
    </row>
    <row r="7663" spans="1:5" ht="26" hidden="1" x14ac:dyDescent="0.15">
      <c r="A7663" s="1" t="s">
        <v>736</v>
      </c>
      <c r="B7663" s="2">
        <v>73940</v>
      </c>
      <c r="C7663" s="3">
        <v>5.9000000000000004E-2</v>
      </c>
      <c r="D7663" s="4" t="s">
        <v>727</v>
      </c>
      <c r="E7663" s="4" t="s">
        <v>191</v>
      </c>
    </row>
    <row r="7664" spans="1:5" hidden="1" x14ac:dyDescent="0.15">
      <c r="A7664" s="1" t="s">
        <v>0</v>
      </c>
      <c r="B7664" s="2">
        <v>5443213</v>
      </c>
      <c r="C7664" s="3">
        <v>1</v>
      </c>
      <c r="D7664" s="4" t="s">
        <v>737</v>
      </c>
      <c r="E7664" s="4" t="s">
        <v>738</v>
      </c>
    </row>
    <row r="7665" spans="1:5" ht="26" hidden="1" x14ac:dyDescent="0.15">
      <c r="A7665" s="1" t="s">
        <v>3</v>
      </c>
      <c r="B7665" s="2">
        <v>24810</v>
      </c>
      <c r="C7665" s="3">
        <v>5.0000000000000001E-3</v>
      </c>
      <c r="D7665" s="4" t="s">
        <v>737</v>
      </c>
      <c r="E7665" s="4" t="s">
        <v>738</v>
      </c>
    </row>
    <row r="7666" spans="1:5" hidden="1" x14ac:dyDescent="0.15">
      <c r="A7666" s="1" t="s">
        <v>4</v>
      </c>
      <c r="B7666" s="2">
        <v>35392</v>
      </c>
      <c r="C7666" s="3">
        <v>6.9999999999999993E-3</v>
      </c>
      <c r="D7666" s="4" t="s">
        <v>737</v>
      </c>
      <c r="E7666" s="4" t="s">
        <v>738</v>
      </c>
    </row>
    <row r="7667" spans="1:5" ht="26" hidden="1" x14ac:dyDescent="0.15">
      <c r="A7667" s="1" t="s">
        <v>5</v>
      </c>
      <c r="B7667" s="2">
        <v>54240</v>
      </c>
      <c r="C7667" s="3">
        <v>0.01</v>
      </c>
      <c r="D7667" s="4" t="s">
        <v>737</v>
      </c>
      <c r="E7667" s="4" t="s">
        <v>738</v>
      </c>
    </row>
    <row r="7668" spans="1:5" ht="26" hidden="1" x14ac:dyDescent="0.15">
      <c r="A7668" s="1" t="s">
        <v>6</v>
      </c>
      <c r="B7668" s="2">
        <v>316220</v>
      </c>
      <c r="C7668" s="3">
        <v>5.7999999999999996E-2</v>
      </c>
      <c r="D7668" s="4" t="s">
        <v>737</v>
      </c>
      <c r="E7668" s="4" t="s">
        <v>738</v>
      </c>
    </row>
    <row r="7669" spans="1:5" ht="26" hidden="1" x14ac:dyDescent="0.15">
      <c r="A7669" s="1" t="s">
        <v>7</v>
      </c>
      <c r="B7669" s="2">
        <v>450690</v>
      </c>
      <c r="C7669" s="3">
        <v>8.3000000000000004E-2</v>
      </c>
      <c r="D7669" s="4" t="s">
        <v>737</v>
      </c>
      <c r="E7669" s="4" t="s">
        <v>738</v>
      </c>
    </row>
    <row r="7670" spans="1:5" ht="26" hidden="1" x14ac:dyDescent="0.15">
      <c r="A7670" s="1" t="s">
        <v>8</v>
      </c>
      <c r="B7670" s="2">
        <v>177621</v>
      </c>
      <c r="C7670" s="3">
        <v>3.3000000000000002E-2</v>
      </c>
      <c r="D7670" s="4" t="s">
        <v>737</v>
      </c>
      <c r="E7670" s="4" t="s">
        <v>738</v>
      </c>
    </row>
    <row r="7671" spans="1:5" ht="26" hidden="1" x14ac:dyDescent="0.15">
      <c r="A7671" s="1" t="s">
        <v>9</v>
      </c>
      <c r="B7671" s="2">
        <v>207031</v>
      </c>
      <c r="C7671" s="3">
        <v>3.7999999999999999E-2</v>
      </c>
      <c r="D7671" s="4" t="s">
        <v>737</v>
      </c>
      <c r="E7671" s="4" t="s">
        <v>738</v>
      </c>
    </row>
    <row r="7672" spans="1:5" ht="26" hidden="1" x14ac:dyDescent="0.15">
      <c r="A7672" s="1" t="s">
        <v>10</v>
      </c>
      <c r="B7672" s="2">
        <v>54294</v>
      </c>
      <c r="C7672" s="3">
        <v>0.01</v>
      </c>
      <c r="D7672" s="4" t="s">
        <v>737</v>
      </c>
      <c r="E7672" s="4" t="s">
        <v>738</v>
      </c>
    </row>
    <row r="7673" spans="1:5" ht="26" hidden="1" x14ac:dyDescent="0.15">
      <c r="A7673" s="1" t="s">
        <v>11</v>
      </c>
      <c r="B7673" s="2">
        <v>344223</v>
      </c>
      <c r="C7673" s="3">
        <v>6.3E-2</v>
      </c>
      <c r="D7673" s="4" t="s">
        <v>737</v>
      </c>
      <c r="E7673" s="4" t="s">
        <v>738</v>
      </c>
    </row>
    <row r="7674" spans="1:5" ht="26" hidden="1" x14ac:dyDescent="0.15">
      <c r="A7674" s="1" t="s">
        <v>12</v>
      </c>
      <c r="B7674" s="2">
        <v>63127</v>
      </c>
      <c r="C7674" s="3">
        <v>1.2E-2</v>
      </c>
      <c r="D7674" s="4" t="s">
        <v>737</v>
      </c>
      <c r="E7674" s="4" t="s">
        <v>738</v>
      </c>
    </row>
    <row r="7675" spans="1:5" ht="26" hidden="1" x14ac:dyDescent="0.15">
      <c r="A7675" s="1" t="s">
        <v>13</v>
      </c>
      <c r="B7675" s="2">
        <v>23177</v>
      </c>
      <c r="C7675" s="3">
        <v>4.0000000000000001E-3</v>
      </c>
      <c r="D7675" s="4" t="s">
        <v>737</v>
      </c>
      <c r="E7675" s="4" t="s">
        <v>738</v>
      </c>
    </row>
    <row r="7676" spans="1:5" hidden="1" x14ac:dyDescent="0.15">
      <c r="A7676" s="1" t="s">
        <v>14</v>
      </c>
      <c r="B7676" s="2">
        <v>331793</v>
      </c>
      <c r="C7676" s="3">
        <v>6.0999999999999999E-2</v>
      </c>
      <c r="D7676" s="4" t="s">
        <v>737</v>
      </c>
      <c r="E7676" s="4" t="s">
        <v>738</v>
      </c>
    </row>
    <row r="7677" spans="1:5" ht="26" hidden="1" x14ac:dyDescent="0.15">
      <c r="A7677" s="1" t="s">
        <v>15</v>
      </c>
      <c r="B7677" s="2">
        <v>272118</v>
      </c>
      <c r="C7677" s="3">
        <v>0.05</v>
      </c>
      <c r="D7677" s="4" t="s">
        <v>737</v>
      </c>
      <c r="E7677" s="4" t="s">
        <v>738</v>
      </c>
    </row>
    <row r="7678" spans="1:5" ht="26" hidden="1" x14ac:dyDescent="0.15">
      <c r="A7678" s="1" t="s">
        <v>16</v>
      </c>
      <c r="B7678" s="2">
        <v>172189</v>
      </c>
      <c r="C7678" s="3">
        <v>3.2000000000000001E-2</v>
      </c>
      <c r="D7678" s="4" t="s">
        <v>737</v>
      </c>
      <c r="E7678" s="4" t="s">
        <v>738</v>
      </c>
    </row>
    <row r="7679" spans="1:5" ht="26" hidden="1" x14ac:dyDescent="0.15">
      <c r="A7679" s="1" t="s">
        <v>17</v>
      </c>
      <c r="B7679" s="2">
        <v>54901</v>
      </c>
      <c r="C7679" s="3">
        <v>0.01</v>
      </c>
      <c r="D7679" s="4" t="s">
        <v>737</v>
      </c>
      <c r="E7679" s="4" t="s">
        <v>738</v>
      </c>
    </row>
    <row r="7680" spans="1:5" hidden="1" x14ac:dyDescent="0.15">
      <c r="A7680" s="1" t="s">
        <v>18</v>
      </c>
      <c r="B7680" s="2">
        <v>71132</v>
      </c>
      <c r="C7680" s="3">
        <v>1.3000000000000001E-2</v>
      </c>
      <c r="D7680" s="4" t="s">
        <v>737</v>
      </c>
      <c r="E7680" s="4" t="s">
        <v>738</v>
      </c>
    </row>
    <row r="7681" spans="1:5" hidden="1" x14ac:dyDescent="0.15">
      <c r="A7681" s="1" t="s">
        <v>19</v>
      </c>
      <c r="B7681" s="2">
        <v>1390221</v>
      </c>
      <c r="C7681" s="3">
        <v>0.255</v>
      </c>
      <c r="D7681" s="4" t="s">
        <v>737</v>
      </c>
      <c r="E7681" s="4" t="s">
        <v>738</v>
      </c>
    </row>
    <row r="7682" spans="1:5" hidden="1" x14ac:dyDescent="0.15">
      <c r="A7682" s="1" t="s">
        <v>20</v>
      </c>
      <c r="B7682" s="2">
        <v>100626</v>
      </c>
      <c r="C7682" s="3">
        <v>1.8000000000000002E-2</v>
      </c>
      <c r="D7682" s="4" t="s">
        <v>737</v>
      </c>
      <c r="E7682" s="4" t="s">
        <v>738</v>
      </c>
    </row>
    <row r="7683" spans="1:5" ht="26" hidden="1" x14ac:dyDescent="0.15">
      <c r="A7683" s="1" t="s">
        <v>21</v>
      </c>
      <c r="B7683" s="2">
        <v>166565</v>
      </c>
      <c r="C7683" s="3">
        <v>3.1E-2</v>
      </c>
      <c r="D7683" s="4" t="s">
        <v>737</v>
      </c>
      <c r="E7683" s="4" t="s">
        <v>738</v>
      </c>
    </row>
    <row r="7684" spans="1:5" ht="26" hidden="1" x14ac:dyDescent="0.15">
      <c r="A7684" s="1" t="s">
        <v>22</v>
      </c>
      <c r="B7684" s="2">
        <v>28469</v>
      </c>
      <c r="C7684" s="3">
        <v>5.0000000000000001E-3</v>
      </c>
      <c r="D7684" s="4" t="s">
        <v>737</v>
      </c>
      <c r="E7684" s="4" t="s">
        <v>738</v>
      </c>
    </row>
    <row r="7685" spans="1:5" ht="26" hidden="1" x14ac:dyDescent="0.15">
      <c r="A7685" s="1" t="s">
        <v>23</v>
      </c>
      <c r="B7685" s="2">
        <v>71856</v>
      </c>
      <c r="C7685" s="3">
        <v>1.3000000000000001E-2</v>
      </c>
      <c r="D7685" s="4" t="s">
        <v>737</v>
      </c>
      <c r="E7685" s="4" t="s">
        <v>738</v>
      </c>
    </row>
    <row r="7686" spans="1:5" ht="26" hidden="1" x14ac:dyDescent="0.15">
      <c r="A7686" s="1" t="s">
        <v>24</v>
      </c>
      <c r="B7686" s="2">
        <v>58494</v>
      </c>
      <c r="C7686" s="3">
        <v>1.1000000000000001E-2</v>
      </c>
      <c r="D7686" s="4" t="s">
        <v>737</v>
      </c>
      <c r="E7686" s="4" t="s">
        <v>738</v>
      </c>
    </row>
    <row r="7687" spans="1:5" ht="26" hidden="1" x14ac:dyDescent="0.15">
      <c r="A7687" s="1" t="s">
        <v>25</v>
      </c>
      <c r="B7687" s="2">
        <v>43702</v>
      </c>
      <c r="C7687" s="3">
        <v>8.0000000000000002E-3</v>
      </c>
      <c r="D7687" s="4" t="s">
        <v>737</v>
      </c>
      <c r="E7687" s="4" t="s">
        <v>738</v>
      </c>
    </row>
    <row r="7688" spans="1:5" hidden="1" x14ac:dyDescent="0.15">
      <c r="A7688" s="1" t="s">
        <v>26</v>
      </c>
      <c r="B7688" s="2">
        <v>24601</v>
      </c>
      <c r="C7688" s="3">
        <v>5.0000000000000001E-3</v>
      </c>
      <c r="D7688" s="4" t="s">
        <v>737</v>
      </c>
      <c r="E7688" s="4" t="s">
        <v>738</v>
      </c>
    </row>
    <row r="7689" spans="1:5" hidden="1" x14ac:dyDescent="0.15">
      <c r="A7689" s="1" t="s">
        <v>27</v>
      </c>
      <c r="B7689" s="2">
        <v>225636</v>
      </c>
      <c r="C7689" s="3">
        <v>4.0999999999999995E-2</v>
      </c>
      <c r="D7689" s="4" t="s">
        <v>737</v>
      </c>
      <c r="E7689" s="4" t="s">
        <v>738</v>
      </c>
    </row>
    <row r="7690" spans="1:5" hidden="1" x14ac:dyDescent="0.15">
      <c r="A7690" s="1" t="s">
        <v>28</v>
      </c>
      <c r="B7690" s="2">
        <v>739674</v>
      </c>
      <c r="C7690" s="3">
        <v>0.13600000000000001</v>
      </c>
      <c r="D7690" s="4" t="s">
        <v>737</v>
      </c>
      <c r="E7690" s="4" t="s">
        <v>738</v>
      </c>
    </row>
    <row r="7691" spans="1:5" hidden="1" x14ac:dyDescent="0.15">
      <c r="A7691" s="1" t="s">
        <v>29</v>
      </c>
      <c r="B7691" s="2">
        <v>2183027</v>
      </c>
      <c r="C7691" s="3">
        <v>0.40100000000000002</v>
      </c>
      <c r="D7691" s="4" t="s">
        <v>737</v>
      </c>
      <c r="E7691" s="4" t="s">
        <v>738</v>
      </c>
    </row>
    <row r="7692" spans="1:5" hidden="1" x14ac:dyDescent="0.15">
      <c r="A7692" s="1" t="s">
        <v>30</v>
      </c>
      <c r="B7692" s="2">
        <v>801434</v>
      </c>
      <c r="C7692" s="3">
        <v>0.14699999999999999</v>
      </c>
      <c r="D7692" s="4" t="s">
        <v>737</v>
      </c>
      <c r="E7692" s="4" t="s">
        <v>738</v>
      </c>
    </row>
    <row r="7693" spans="1:5" ht="39" hidden="1" x14ac:dyDescent="0.15">
      <c r="A7693" s="1" t="s">
        <v>31</v>
      </c>
      <c r="B7693" s="2">
        <v>31165</v>
      </c>
      <c r="C7693" s="3">
        <v>6.0000000000000001E-3</v>
      </c>
      <c r="D7693" s="4" t="s">
        <v>737</v>
      </c>
      <c r="E7693" s="4" t="s">
        <v>738</v>
      </c>
    </row>
    <row r="7694" spans="1:5" hidden="1" x14ac:dyDescent="0.15">
      <c r="A7694" s="1" t="s">
        <v>32</v>
      </c>
      <c r="B7694" s="2">
        <v>59037</v>
      </c>
      <c r="C7694" s="3">
        <v>1.1000000000000001E-2</v>
      </c>
      <c r="D7694" s="4" t="s">
        <v>737</v>
      </c>
      <c r="E7694" s="4" t="s">
        <v>738</v>
      </c>
    </row>
    <row r="7695" spans="1:5" hidden="1" x14ac:dyDescent="0.15">
      <c r="A7695" s="1" t="s">
        <v>33</v>
      </c>
      <c r="B7695" s="2">
        <v>1487339</v>
      </c>
      <c r="C7695" s="3">
        <v>0.27300000000000002</v>
      </c>
      <c r="D7695" s="4" t="s">
        <v>737</v>
      </c>
      <c r="E7695" s="4" t="s">
        <v>738</v>
      </c>
    </row>
    <row r="7696" spans="1:5" hidden="1" x14ac:dyDescent="0.15">
      <c r="A7696" s="1" t="s">
        <v>34</v>
      </c>
      <c r="B7696" s="2">
        <v>480775</v>
      </c>
      <c r="C7696" s="3">
        <v>8.8000000000000009E-2</v>
      </c>
      <c r="D7696" s="4" t="s">
        <v>737</v>
      </c>
      <c r="E7696" s="4" t="s">
        <v>738</v>
      </c>
    </row>
    <row r="7697" spans="1:5" hidden="1" x14ac:dyDescent="0.15">
      <c r="A7697" s="1" t="s">
        <v>35</v>
      </c>
      <c r="B7697" s="2">
        <v>139580</v>
      </c>
      <c r="C7697" s="3">
        <v>2.6000000000000002E-2</v>
      </c>
      <c r="D7697" s="4" t="s">
        <v>737</v>
      </c>
      <c r="E7697" s="4" t="s">
        <v>738</v>
      </c>
    </row>
    <row r="7698" spans="1:5" ht="26" hidden="1" x14ac:dyDescent="0.15">
      <c r="A7698" s="1" t="s">
        <v>36</v>
      </c>
      <c r="B7698" s="2">
        <v>53928</v>
      </c>
      <c r="C7698" s="3">
        <v>0.01</v>
      </c>
      <c r="D7698" s="4" t="s">
        <v>737</v>
      </c>
      <c r="E7698" s="4" t="s">
        <v>738</v>
      </c>
    </row>
    <row r="7699" spans="1:5" hidden="1" x14ac:dyDescent="0.15">
      <c r="A7699" s="1" t="s">
        <v>37</v>
      </c>
      <c r="B7699" s="2">
        <v>26360</v>
      </c>
      <c r="C7699" s="3">
        <v>5.0000000000000001E-3</v>
      </c>
      <c r="D7699" s="4" t="s">
        <v>737</v>
      </c>
      <c r="E7699" s="4" t="s">
        <v>738</v>
      </c>
    </row>
    <row r="7700" spans="1:5" ht="39" hidden="1" x14ac:dyDescent="0.15">
      <c r="A7700" s="1" t="s">
        <v>38</v>
      </c>
      <c r="B7700" s="2">
        <v>34103</v>
      </c>
      <c r="C7700" s="3">
        <v>6.0000000000000001E-3</v>
      </c>
      <c r="D7700" s="4" t="s">
        <v>737</v>
      </c>
      <c r="E7700" s="4" t="s">
        <v>738</v>
      </c>
    </row>
    <row r="7701" spans="1:5" hidden="1" x14ac:dyDescent="0.15">
      <c r="A7701" s="1" t="s">
        <v>39</v>
      </c>
      <c r="B7701" s="2">
        <v>87089</v>
      </c>
      <c r="C7701" s="3">
        <v>1.6E-2</v>
      </c>
      <c r="D7701" s="4" t="s">
        <v>737</v>
      </c>
      <c r="E7701" s="4" t="s">
        <v>738</v>
      </c>
    </row>
    <row r="7702" spans="1:5" hidden="1" x14ac:dyDescent="0.15">
      <c r="A7702" s="1" t="s">
        <v>40</v>
      </c>
      <c r="B7702" s="2">
        <v>44475</v>
      </c>
      <c r="C7702" s="3">
        <v>8.0000000000000002E-3</v>
      </c>
      <c r="D7702" s="4" t="s">
        <v>737</v>
      </c>
      <c r="E7702" s="4" t="s">
        <v>738</v>
      </c>
    </row>
    <row r="7703" spans="1:5" hidden="1" x14ac:dyDescent="0.15">
      <c r="A7703" s="1" t="s">
        <v>41</v>
      </c>
      <c r="B7703" s="2">
        <v>139957</v>
      </c>
      <c r="C7703" s="3">
        <v>2.6000000000000002E-2</v>
      </c>
      <c r="D7703" s="4" t="s">
        <v>737</v>
      </c>
      <c r="E7703" s="4" t="s">
        <v>738</v>
      </c>
    </row>
    <row r="7704" spans="1:5" hidden="1" x14ac:dyDescent="0.15">
      <c r="A7704" s="1" t="s">
        <v>42</v>
      </c>
      <c r="B7704" s="2">
        <v>153637</v>
      </c>
      <c r="C7704" s="3">
        <v>2.7999999999999997E-2</v>
      </c>
      <c r="D7704" s="4" t="s">
        <v>737</v>
      </c>
      <c r="E7704" s="4" t="s">
        <v>738</v>
      </c>
    </row>
    <row r="7705" spans="1:5" hidden="1" x14ac:dyDescent="0.15">
      <c r="A7705" s="1" t="s">
        <v>43</v>
      </c>
      <c r="B7705" s="2">
        <v>207344</v>
      </c>
      <c r="C7705" s="3">
        <v>3.7999999999999999E-2</v>
      </c>
      <c r="D7705" s="4" t="s">
        <v>737</v>
      </c>
      <c r="E7705" s="4" t="s">
        <v>738</v>
      </c>
    </row>
    <row r="7706" spans="1:5" ht="26" hidden="1" x14ac:dyDescent="0.15">
      <c r="A7706" s="1" t="s">
        <v>44</v>
      </c>
      <c r="B7706" s="2">
        <v>410382</v>
      </c>
      <c r="C7706" s="3">
        <v>7.4999999999999997E-2</v>
      </c>
      <c r="D7706" s="4" t="s">
        <v>737</v>
      </c>
      <c r="E7706" s="4" t="s">
        <v>738</v>
      </c>
    </row>
    <row r="7707" spans="1:5" hidden="1" x14ac:dyDescent="0.15">
      <c r="A7707" s="1" t="s">
        <v>45</v>
      </c>
      <c r="B7707" s="2">
        <v>672346</v>
      </c>
      <c r="C7707" s="3">
        <v>0.124</v>
      </c>
      <c r="D7707" s="4" t="s">
        <v>737</v>
      </c>
      <c r="E7707" s="4" t="s">
        <v>738</v>
      </c>
    </row>
    <row r="7708" spans="1:5" ht="26" hidden="1" x14ac:dyDescent="0.15">
      <c r="A7708" s="1" t="s">
        <v>46</v>
      </c>
      <c r="B7708" s="2">
        <v>1388854</v>
      </c>
      <c r="C7708" s="3">
        <v>0.255</v>
      </c>
      <c r="D7708" s="4" t="s">
        <v>737</v>
      </c>
      <c r="E7708" s="4" t="s">
        <v>738</v>
      </c>
    </row>
    <row r="7709" spans="1:5" hidden="1" x14ac:dyDescent="0.15">
      <c r="A7709" s="1" t="s">
        <v>47</v>
      </c>
      <c r="B7709" s="2">
        <v>1798069</v>
      </c>
      <c r="C7709" s="3">
        <v>0.33</v>
      </c>
      <c r="D7709" s="4" t="s">
        <v>737</v>
      </c>
      <c r="E7709" s="4" t="s">
        <v>738</v>
      </c>
    </row>
    <row r="7710" spans="1:5" hidden="1" x14ac:dyDescent="0.15">
      <c r="A7710" s="1" t="s">
        <v>48</v>
      </c>
      <c r="B7710" s="2">
        <v>1083053</v>
      </c>
      <c r="C7710" s="3">
        <v>0.19899999999999998</v>
      </c>
      <c r="D7710" s="4" t="s">
        <v>737</v>
      </c>
      <c r="E7710" s="4" t="s">
        <v>738</v>
      </c>
    </row>
    <row r="7711" spans="1:5" hidden="1" x14ac:dyDescent="0.15">
      <c r="A7711" s="1" t="s">
        <v>49</v>
      </c>
      <c r="B7711" s="2">
        <v>836646</v>
      </c>
      <c r="C7711" s="3">
        <v>0.154</v>
      </c>
      <c r="D7711" s="4" t="s">
        <v>737</v>
      </c>
      <c r="E7711" s="4" t="s">
        <v>738</v>
      </c>
    </row>
    <row r="7712" spans="1:5" ht="26" hidden="1" x14ac:dyDescent="0.15">
      <c r="A7712" s="1" t="s">
        <v>50</v>
      </c>
      <c r="B7712" s="2">
        <v>719046</v>
      </c>
      <c r="C7712" s="3">
        <v>0.13200000000000001</v>
      </c>
      <c r="D7712" s="4" t="s">
        <v>737</v>
      </c>
      <c r="E7712" s="4" t="s">
        <v>738</v>
      </c>
    </row>
    <row r="7713" spans="1:5" hidden="1" x14ac:dyDescent="0.15">
      <c r="A7713" s="1" t="s">
        <v>51</v>
      </c>
      <c r="B7713" s="2">
        <v>1753841</v>
      </c>
      <c r="C7713" s="3">
        <v>0.32200000000000001</v>
      </c>
      <c r="D7713" s="4" t="s">
        <v>737</v>
      </c>
      <c r="E7713" s="4" t="s">
        <v>738</v>
      </c>
    </row>
    <row r="7714" spans="1:5" hidden="1" x14ac:dyDescent="0.15">
      <c r="A7714" s="1" t="s">
        <v>52</v>
      </c>
      <c r="B7714" s="2">
        <v>503470</v>
      </c>
      <c r="C7714" s="3">
        <v>9.1999999999999998E-2</v>
      </c>
      <c r="D7714" s="4" t="s">
        <v>737</v>
      </c>
      <c r="E7714" s="4" t="s">
        <v>738</v>
      </c>
    </row>
    <row r="7715" spans="1:5" ht="26" hidden="1" x14ac:dyDescent="0.15">
      <c r="A7715" s="1" t="s">
        <v>53</v>
      </c>
      <c r="B7715" s="2">
        <v>266889</v>
      </c>
      <c r="C7715" s="3">
        <v>4.9000000000000002E-2</v>
      </c>
      <c r="D7715" s="4" t="s">
        <v>737</v>
      </c>
      <c r="E7715" s="4" t="s">
        <v>738</v>
      </c>
    </row>
    <row r="7716" spans="1:5" hidden="1" x14ac:dyDescent="0.15">
      <c r="A7716" s="1" t="s">
        <v>54</v>
      </c>
      <c r="B7716" s="2">
        <v>1819039</v>
      </c>
      <c r="C7716" s="3">
        <v>0.33399999999999996</v>
      </c>
      <c r="D7716" s="4" t="s">
        <v>737</v>
      </c>
      <c r="E7716" s="4" t="s">
        <v>738</v>
      </c>
    </row>
    <row r="7717" spans="1:5" ht="26" hidden="1" x14ac:dyDescent="0.15">
      <c r="A7717" s="1" t="s">
        <v>55</v>
      </c>
      <c r="B7717" s="2">
        <v>1294569</v>
      </c>
      <c r="C7717" s="3">
        <v>0.23800000000000002</v>
      </c>
      <c r="D7717" s="4" t="s">
        <v>737</v>
      </c>
      <c r="E7717" s="4" t="s">
        <v>738</v>
      </c>
    </row>
    <row r="7718" spans="1:5" hidden="1" x14ac:dyDescent="0.15">
      <c r="A7718" s="1" t="s">
        <v>56</v>
      </c>
      <c r="B7718" s="2">
        <v>1172810</v>
      </c>
      <c r="C7718" s="3">
        <v>0.215</v>
      </c>
      <c r="D7718" s="4" t="s">
        <v>737</v>
      </c>
      <c r="E7718" s="4" t="s">
        <v>738</v>
      </c>
    </row>
    <row r="7719" spans="1:5" hidden="1" x14ac:dyDescent="0.15">
      <c r="A7719" s="1" t="s">
        <v>57</v>
      </c>
      <c r="B7719" s="2">
        <v>461621</v>
      </c>
      <c r="C7719" s="3">
        <v>8.5000000000000006E-2</v>
      </c>
      <c r="D7719" s="4" t="s">
        <v>737</v>
      </c>
      <c r="E7719" s="4" t="s">
        <v>738</v>
      </c>
    </row>
    <row r="7720" spans="1:5" hidden="1" x14ac:dyDescent="0.15">
      <c r="A7720" s="1" t="s">
        <v>58</v>
      </c>
      <c r="B7720" s="2">
        <v>712023</v>
      </c>
      <c r="C7720" s="3">
        <v>0.13100000000000001</v>
      </c>
      <c r="D7720" s="4" t="s">
        <v>737</v>
      </c>
      <c r="E7720" s="4" t="s">
        <v>738</v>
      </c>
    </row>
    <row r="7721" spans="1:5" hidden="1" x14ac:dyDescent="0.15">
      <c r="A7721" s="1" t="s">
        <v>59</v>
      </c>
      <c r="B7721" s="2">
        <v>3626009</v>
      </c>
      <c r="C7721" s="3">
        <v>0.66599999999999993</v>
      </c>
      <c r="D7721" s="4" t="s">
        <v>737</v>
      </c>
      <c r="E7721" s="4" t="s">
        <v>738</v>
      </c>
    </row>
    <row r="7722" spans="1:5" hidden="1" x14ac:dyDescent="0.15">
      <c r="A7722" s="1" t="s">
        <v>60</v>
      </c>
      <c r="B7722" s="2">
        <v>994727</v>
      </c>
      <c r="C7722" s="3">
        <v>0.183</v>
      </c>
      <c r="D7722" s="4" t="s">
        <v>737</v>
      </c>
      <c r="E7722" s="4" t="s">
        <v>738</v>
      </c>
    </row>
    <row r="7723" spans="1:5" ht="26" hidden="1" x14ac:dyDescent="0.15">
      <c r="A7723" s="1" t="s">
        <v>61</v>
      </c>
      <c r="B7723" s="2">
        <v>894837</v>
      </c>
      <c r="C7723" s="3">
        <v>0.16399999999999998</v>
      </c>
      <c r="D7723" s="4" t="s">
        <v>737</v>
      </c>
      <c r="E7723" s="4" t="s">
        <v>738</v>
      </c>
    </row>
    <row r="7724" spans="1:5" hidden="1" x14ac:dyDescent="0.15">
      <c r="A7724" s="1" t="s">
        <v>62</v>
      </c>
      <c r="B7724" s="2">
        <v>349524</v>
      </c>
      <c r="C7724" s="3">
        <v>6.4000000000000001E-2</v>
      </c>
      <c r="D7724" s="4" t="s">
        <v>737</v>
      </c>
      <c r="E7724" s="4" t="s">
        <v>738</v>
      </c>
    </row>
    <row r="7725" spans="1:5" ht="26" hidden="1" x14ac:dyDescent="0.15">
      <c r="A7725" s="1" t="s">
        <v>63</v>
      </c>
      <c r="B7725" s="2">
        <v>905545</v>
      </c>
      <c r="C7725" s="3">
        <v>0.16600000000000001</v>
      </c>
      <c r="D7725" s="4" t="s">
        <v>737</v>
      </c>
      <c r="E7725" s="4" t="s">
        <v>738</v>
      </c>
    </row>
    <row r="7726" spans="1:5" ht="26" hidden="1" x14ac:dyDescent="0.15">
      <c r="A7726" s="1" t="s">
        <v>64</v>
      </c>
      <c r="B7726" s="2">
        <v>517408</v>
      </c>
      <c r="C7726" s="3">
        <v>9.5000000000000001E-2</v>
      </c>
      <c r="D7726" s="4" t="s">
        <v>737</v>
      </c>
      <c r="E7726" s="4" t="s">
        <v>738</v>
      </c>
    </row>
    <row r="7727" spans="1:5" hidden="1" x14ac:dyDescent="0.15">
      <c r="A7727" s="1" t="s">
        <v>65</v>
      </c>
      <c r="B7727" s="2">
        <v>455306</v>
      </c>
      <c r="C7727" s="3">
        <v>8.4000000000000005E-2</v>
      </c>
      <c r="D7727" s="4" t="s">
        <v>737</v>
      </c>
      <c r="E7727" s="4" t="s">
        <v>738</v>
      </c>
    </row>
    <row r="7728" spans="1:5" hidden="1" x14ac:dyDescent="0.15">
      <c r="A7728" s="1" t="s">
        <v>66</v>
      </c>
      <c r="B7728" s="2">
        <v>230370</v>
      </c>
      <c r="C7728" s="3">
        <v>4.2000000000000003E-2</v>
      </c>
      <c r="D7728" s="4" t="s">
        <v>737</v>
      </c>
      <c r="E7728" s="4" t="s">
        <v>738</v>
      </c>
    </row>
    <row r="7729" spans="1:5" hidden="1" x14ac:dyDescent="0.15">
      <c r="A7729" s="1" t="s">
        <v>67</v>
      </c>
      <c r="B7729" s="2">
        <v>1028429</v>
      </c>
      <c r="C7729" s="3">
        <v>0.18899999999999997</v>
      </c>
      <c r="D7729" s="4" t="s">
        <v>737</v>
      </c>
      <c r="E7729" s="4" t="s">
        <v>738</v>
      </c>
    </row>
    <row r="7730" spans="1:5" hidden="1" x14ac:dyDescent="0.15">
      <c r="A7730" s="1" t="s">
        <v>68</v>
      </c>
      <c r="B7730" s="2">
        <v>2445726</v>
      </c>
      <c r="C7730" s="3">
        <v>0.44900000000000001</v>
      </c>
      <c r="D7730" s="4" t="s">
        <v>737</v>
      </c>
      <c r="E7730" s="4" t="s">
        <v>738</v>
      </c>
    </row>
    <row r="7731" spans="1:5" hidden="1" x14ac:dyDescent="0.15">
      <c r="A7731" s="1" t="s">
        <v>69</v>
      </c>
      <c r="B7731" s="2">
        <v>3781340</v>
      </c>
      <c r="C7731" s="3">
        <v>0.69499999999999995</v>
      </c>
      <c r="D7731" s="4" t="s">
        <v>737</v>
      </c>
      <c r="E7731" s="4" t="s">
        <v>738</v>
      </c>
    </row>
    <row r="7732" spans="1:5" hidden="1" x14ac:dyDescent="0.15">
      <c r="A7732" s="1" t="s">
        <v>70</v>
      </c>
      <c r="B7732" s="2">
        <v>2559999</v>
      </c>
      <c r="C7732" s="3">
        <v>0.47</v>
      </c>
      <c r="D7732" s="4" t="s">
        <v>737</v>
      </c>
      <c r="E7732" s="4" t="s">
        <v>738</v>
      </c>
    </row>
    <row r="7733" spans="1:5" ht="26" hidden="1" x14ac:dyDescent="0.15">
      <c r="A7733" s="1" t="s">
        <v>71</v>
      </c>
      <c r="B7733" s="2">
        <v>319846</v>
      </c>
      <c r="C7733" s="3">
        <v>5.9000000000000004E-2</v>
      </c>
      <c r="D7733" s="4" t="s">
        <v>737</v>
      </c>
      <c r="E7733" s="4" t="s">
        <v>738</v>
      </c>
    </row>
    <row r="7734" spans="1:5" hidden="1" x14ac:dyDescent="0.15">
      <c r="A7734" s="1" t="s">
        <v>72</v>
      </c>
      <c r="B7734" s="2">
        <v>359609</v>
      </c>
      <c r="C7734" s="3">
        <v>6.6000000000000003E-2</v>
      </c>
      <c r="D7734" s="4" t="s">
        <v>737</v>
      </c>
      <c r="E7734" s="4" t="s">
        <v>738</v>
      </c>
    </row>
    <row r="7735" spans="1:5" hidden="1" x14ac:dyDescent="0.15">
      <c r="A7735" s="1" t="s">
        <v>73</v>
      </c>
      <c r="B7735" s="2">
        <v>3364320</v>
      </c>
      <c r="C7735" s="3">
        <v>0.61799999999999999</v>
      </c>
      <c r="D7735" s="4" t="s">
        <v>737</v>
      </c>
      <c r="E7735" s="4" t="s">
        <v>738</v>
      </c>
    </row>
    <row r="7736" spans="1:5" hidden="1" x14ac:dyDescent="0.15">
      <c r="A7736" s="1" t="s">
        <v>74</v>
      </c>
      <c r="B7736" s="2">
        <v>1645780</v>
      </c>
      <c r="C7736" s="3">
        <v>0.30199999999999999</v>
      </c>
      <c r="D7736" s="4" t="s">
        <v>737</v>
      </c>
      <c r="E7736" s="4" t="s">
        <v>738</v>
      </c>
    </row>
    <row r="7737" spans="1:5" hidden="1" x14ac:dyDescent="0.15">
      <c r="A7737" s="1" t="s">
        <v>75</v>
      </c>
      <c r="B7737" s="2">
        <v>901968</v>
      </c>
      <c r="C7737" s="3">
        <v>0.16600000000000001</v>
      </c>
      <c r="D7737" s="4" t="s">
        <v>737</v>
      </c>
      <c r="E7737" s="4" t="s">
        <v>738</v>
      </c>
    </row>
    <row r="7738" spans="1:5" hidden="1" x14ac:dyDescent="0.15">
      <c r="A7738" s="1" t="s">
        <v>76</v>
      </c>
      <c r="B7738" s="2">
        <v>323839</v>
      </c>
      <c r="C7738" s="3">
        <v>5.9000000000000004E-2</v>
      </c>
      <c r="D7738" s="4" t="s">
        <v>737</v>
      </c>
      <c r="E7738" s="4" t="s">
        <v>738</v>
      </c>
    </row>
    <row r="7739" spans="1:5" hidden="1" x14ac:dyDescent="0.15">
      <c r="A7739" s="1" t="s">
        <v>77</v>
      </c>
      <c r="B7739" s="2">
        <v>247733</v>
      </c>
      <c r="C7739" s="3">
        <v>4.5999999999999999E-2</v>
      </c>
      <c r="D7739" s="4" t="s">
        <v>737</v>
      </c>
      <c r="E7739" s="4" t="s">
        <v>738</v>
      </c>
    </row>
    <row r="7740" spans="1:5" ht="26" hidden="1" x14ac:dyDescent="0.15">
      <c r="A7740" s="1" t="s">
        <v>78</v>
      </c>
      <c r="B7740" s="2">
        <v>286672</v>
      </c>
      <c r="C7740" s="3">
        <v>5.2999999999999999E-2</v>
      </c>
      <c r="D7740" s="4" t="s">
        <v>737</v>
      </c>
      <c r="E7740" s="4" t="s">
        <v>738</v>
      </c>
    </row>
    <row r="7741" spans="1:5" hidden="1" x14ac:dyDescent="0.15">
      <c r="A7741" s="1" t="s">
        <v>79</v>
      </c>
      <c r="B7741" s="2">
        <v>638525</v>
      </c>
      <c r="C7741" s="3">
        <v>0.11699999999999999</v>
      </c>
      <c r="D7741" s="4" t="s">
        <v>737</v>
      </c>
      <c r="E7741" s="4" t="s">
        <v>738</v>
      </c>
    </row>
    <row r="7742" spans="1:5" hidden="1" x14ac:dyDescent="0.15">
      <c r="A7742" s="1" t="s">
        <v>80</v>
      </c>
      <c r="B7742" s="2">
        <v>642349</v>
      </c>
      <c r="C7742" s="3">
        <v>0.11800000000000001</v>
      </c>
      <c r="D7742" s="4" t="s">
        <v>737</v>
      </c>
      <c r="E7742" s="4" t="s">
        <v>738</v>
      </c>
    </row>
    <row r="7743" spans="1:5" ht="26" hidden="1" x14ac:dyDescent="0.15">
      <c r="A7743" s="1" t="s">
        <v>81</v>
      </c>
      <c r="B7743" s="2">
        <v>902651</v>
      </c>
      <c r="C7743" s="3">
        <v>0.16600000000000001</v>
      </c>
      <c r="D7743" s="4" t="s">
        <v>737</v>
      </c>
      <c r="E7743" s="4" t="s">
        <v>738</v>
      </c>
    </row>
    <row r="7744" spans="1:5" hidden="1" x14ac:dyDescent="0.15">
      <c r="A7744" s="1" t="s">
        <v>82</v>
      </c>
      <c r="B7744" s="2">
        <v>571224</v>
      </c>
      <c r="C7744" s="3">
        <v>0.105</v>
      </c>
      <c r="D7744" s="4" t="s">
        <v>737</v>
      </c>
      <c r="E7744" s="4" t="s">
        <v>738</v>
      </c>
    </row>
    <row r="7745" spans="1:5" hidden="1" x14ac:dyDescent="0.15">
      <c r="A7745" s="4"/>
      <c r="B7745" s="4"/>
      <c r="C7745" s="4"/>
      <c r="D7745" s="4" t="s">
        <v>737</v>
      </c>
      <c r="E7745" s="4" t="s">
        <v>738</v>
      </c>
    </row>
    <row r="7746" spans="1:5" hidden="1" x14ac:dyDescent="0.15">
      <c r="A7746" s="5"/>
      <c r="B7746" s="5"/>
      <c r="C7746" s="5"/>
      <c r="D7746" s="4" t="s">
        <v>737</v>
      </c>
      <c r="E7746" s="4" t="s">
        <v>738</v>
      </c>
    </row>
    <row r="7747" spans="1:5" hidden="1" x14ac:dyDescent="0.15">
      <c r="A7747" s="1" t="s">
        <v>371</v>
      </c>
      <c r="B7747" s="2">
        <v>3619216</v>
      </c>
      <c r="C7747" s="3">
        <v>0.66500000000000004</v>
      </c>
      <c r="D7747" s="4" t="s">
        <v>737</v>
      </c>
      <c r="E7747" s="4" t="s">
        <v>738</v>
      </c>
    </row>
    <row r="7748" spans="1:5" hidden="1" x14ac:dyDescent="0.15">
      <c r="A7748" s="4"/>
      <c r="B7748" s="4"/>
      <c r="C7748" s="4"/>
      <c r="D7748" s="4" t="s">
        <v>737</v>
      </c>
      <c r="E7748" s="4" t="s">
        <v>738</v>
      </c>
    </row>
    <row r="7749" spans="1:5" hidden="1" x14ac:dyDescent="0.15">
      <c r="A7749" s="5"/>
      <c r="B7749" s="5"/>
      <c r="C7749" s="5"/>
      <c r="D7749" s="4" t="s">
        <v>737</v>
      </c>
      <c r="E7749" s="4" t="s">
        <v>738</v>
      </c>
    </row>
    <row r="7750" spans="1:5" ht="26" hidden="1" x14ac:dyDescent="0.15">
      <c r="A7750" s="1" t="s">
        <v>372</v>
      </c>
      <c r="B7750" s="2">
        <v>400297</v>
      </c>
      <c r="C7750" s="3">
        <v>7.400000000000001E-2</v>
      </c>
      <c r="D7750" s="4" t="s">
        <v>737</v>
      </c>
      <c r="E7750" s="4" t="s">
        <v>738</v>
      </c>
    </row>
    <row r="7751" spans="1:5" hidden="1" x14ac:dyDescent="0.15">
      <c r="A7751" s="4"/>
      <c r="B7751" s="4"/>
      <c r="C7751" s="4"/>
      <c r="D7751" s="4" t="s">
        <v>737</v>
      </c>
      <c r="E7751" s="4" t="s">
        <v>738</v>
      </c>
    </row>
    <row r="7752" spans="1:5" hidden="1" x14ac:dyDescent="0.15">
      <c r="A7752" s="5"/>
      <c r="B7752" s="5"/>
      <c r="C7752" s="5"/>
      <c r="D7752" s="4" t="s">
        <v>737</v>
      </c>
      <c r="E7752" s="4" t="s">
        <v>738</v>
      </c>
    </row>
    <row r="7753" spans="1:5" hidden="1" x14ac:dyDescent="0.15">
      <c r="A7753" s="1" t="s">
        <v>373</v>
      </c>
      <c r="B7753" s="2">
        <v>2418314</v>
      </c>
      <c r="C7753" s="3">
        <v>0.44400000000000001</v>
      </c>
      <c r="D7753" s="4" t="s">
        <v>737</v>
      </c>
      <c r="E7753" s="4" t="s">
        <v>738</v>
      </c>
    </row>
    <row r="7754" spans="1:5" hidden="1" x14ac:dyDescent="0.15">
      <c r="A7754" s="4"/>
      <c r="B7754" s="4"/>
      <c r="C7754" s="4"/>
      <c r="D7754" s="4" t="s">
        <v>737</v>
      </c>
      <c r="E7754" s="4" t="s">
        <v>738</v>
      </c>
    </row>
    <row r="7755" spans="1:5" hidden="1" x14ac:dyDescent="0.15">
      <c r="A7755" s="5"/>
      <c r="B7755" s="5"/>
      <c r="C7755" s="5"/>
      <c r="D7755" s="4" t="s">
        <v>737</v>
      </c>
      <c r="E7755" s="4" t="s">
        <v>738</v>
      </c>
    </row>
    <row r="7756" spans="1:5" ht="26" hidden="1" x14ac:dyDescent="0.15">
      <c r="A7756" s="1" t="s">
        <v>374</v>
      </c>
      <c r="B7756" s="2">
        <v>3644336</v>
      </c>
      <c r="C7756" s="3">
        <v>0.67</v>
      </c>
      <c r="D7756" s="4" t="s">
        <v>737</v>
      </c>
      <c r="E7756" s="4" t="s">
        <v>738</v>
      </c>
    </row>
    <row r="7757" spans="1:5" hidden="1" x14ac:dyDescent="0.15">
      <c r="A7757" s="4"/>
      <c r="B7757" s="4"/>
      <c r="C7757" s="4"/>
      <c r="D7757" s="4" t="s">
        <v>737</v>
      </c>
      <c r="E7757" s="4" t="s">
        <v>738</v>
      </c>
    </row>
    <row r="7758" spans="1:5" hidden="1" x14ac:dyDescent="0.15">
      <c r="A7758" s="5"/>
      <c r="B7758" s="5"/>
      <c r="C7758" s="5"/>
      <c r="D7758" s="4" t="s">
        <v>737</v>
      </c>
      <c r="E7758" s="4" t="s">
        <v>738</v>
      </c>
    </row>
    <row r="7759" spans="1:5" hidden="1" x14ac:dyDescent="0.15">
      <c r="A7759" s="1" t="s">
        <v>375</v>
      </c>
      <c r="B7759" s="2">
        <v>2220521</v>
      </c>
      <c r="C7759" s="3">
        <v>0.40799999999999997</v>
      </c>
      <c r="D7759" s="4" t="s">
        <v>737</v>
      </c>
      <c r="E7759" s="4" t="s">
        <v>738</v>
      </c>
    </row>
    <row r="7760" spans="1:5" hidden="1" x14ac:dyDescent="0.15">
      <c r="A7760" s="4"/>
      <c r="B7760" s="4"/>
      <c r="C7760" s="4"/>
      <c r="D7760" s="4" t="s">
        <v>737</v>
      </c>
      <c r="E7760" s="4" t="s">
        <v>738</v>
      </c>
    </row>
    <row r="7761" spans="1:5" hidden="1" x14ac:dyDescent="0.15">
      <c r="A7761" s="5"/>
      <c r="B7761" s="5"/>
      <c r="C7761" s="5"/>
      <c r="D7761" s="4" t="s">
        <v>737</v>
      </c>
      <c r="E7761" s="4" t="s">
        <v>738</v>
      </c>
    </row>
    <row r="7762" spans="1:5" ht="39" hidden="1" x14ac:dyDescent="0.15">
      <c r="A7762" s="1" t="s">
        <v>739</v>
      </c>
      <c r="B7762" s="2">
        <v>395903</v>
      </c>
      <c r="C7762" s="3">
        <v>7.2999999999999995E-2</v>
      </c>
      <c r="D7762" s="4" t="s">
        <v>737</v>
      </c>
      <c r="E7762" s="4" t="s">
        <v>738</v>
      </c>
    </row>
    <row r="7763" spans="1:5" ht="26" hidden="1" x14ac:dyDescent="0.15">
      <c r="A7763" s="1" t="s">
        <v>740</v>
      </c>
      <c r="B7763" s="2">
        <v>699536</v>
      </c>
      <c r="C7763" s="3">
        <v>0.129</v>
      </c>
      <c r="D7763" s="4" t="s">
        <v>737</v>
      </c>
      <c r="E7763" s="4" t="s">
        <v>738</v>
      </c>
    </row>
    <row r="7764" spans="1:5" ht="26" hidden="1" x14ac:dyDescent="0.15">
      <c r="A7764" s="1" t="s">
        <v>741</v>
      </c>
      <c r="B7764" s="2">
        <v>464342</v>
      </c>
      <c r="C7764" s="3">
        <v>8.5000000000000006E-2</v>
      </c>
      <c r="D7764" s="4" t="s">
        <v>737</v>
      </c>
      <c r="E7764" s="4" t="s">
        <v>738</v>
      </c>
    </row>
    <row r="7765" spans="1:5" ht="26" hidden="1" x14ac:dyDescent="0.15">
      <c r="A7765" s="1" t="s">
        <v>742</v>
      </c>
      <c r="B7765" s="2">
        <v>61072</v>
      </c>
      <c r="C7765" s="3">
        <v>1.1000000000000001E-2</v>
      </c>
      <c r="D7765" s="4" t="s">
        <v>737</v>
      </c>
      <c r="E7765" s="4" t="s">
        <v>738</v>
      </c>
    </row>
    <row r="7766" spans="1:5" ht="26" hidden="1" x14ac:dyDescent="0.15">
      <c r="A7766" s="1" t="s">
        <v>743</v>
      </c>
      <c r="B7766" s="2">
        <v>284020</v>
      </c>
      <c r="C7766" s="3">
        <v>5.2000000000000005E-2</v>
      </c>
      <c r="D7766" s="4" t="s">
        <v>737</v>
      </c>
      <c r="E7766" s="4" t="s">
        <v>738</v>
      </c>
    </row>
    <row r="7767" spans="1:5" ht="26" hidden="1" x14ac:dyDescent="0.15">
      <c r="A7767" s="1" t="s">
        <v>744</v>
      </c>
      <c r="B7767" s="2">
        <v>202811</v>
      </c>
      <c r="C7767" s="3">
        <v>3.7000000000000005E-2</v>
      </c>
      <c r="D7767" s="4" t="s">
        <v>737</v>
      </c>
      <c r="E7767" s="4" t="s">
        <v>738</v>
      </c>
    </row>
    <row r="7768" spans="1:5" ht="26" hidden="1" x14ac:dyDescent="0.15">
      <c r="A7768" s="1" t="s">
        <v>745</v>
      </c>
      <c r="B7768" s="2">
        <v>87355</v>
      </c>
      <c r="C7768" s="3">
        <v>1.6E-2</v>
      </c>
      <c r="D7768" s="4" t="s">
        <v>737</v>
      </c>
      <c r="E7768" s="4" t="s">
        <v>738</v>
      </c>
    </row>
    <row r="7769" spans="1:5" ht="26" hidden="1" x14ac:dyDescent="0.15">
      <c r="A7769" s="1" t="s">
        <v>746</v>
      </c>
      <c r="B7769" s="2">
        <v>149196</v>
      </c>
      <c r="C7769" s="3">
        <v>2.7000000000000003E-2</v>
      </c>
      <c r="D7769" s="4" t="s">
        <v>737</v>
      </c>
      <c r="E7769" s="4" t="s">
        <v>738</v>
      </c>
    </row>
    <row r="7770" spans="1:5" ht="26" hidden="1" x14ac:dyDescent="0.15">
      <c r="A7770" s="1" t="s">
        <v>747</v>
      </c>
      <c r="B7770" s="2">
        <v>153537</v>
      </c>
      <c r="C7770" s="3">
        <v>2.7999999999999997E-2</v>
      </c>
      <c r="D7770" s="4" t="s">
        <v>737</v>
      </c>
      <c r="E7770" s="4" t="s">
        <v>738</v>
      </c>
    </row>
    <row r="7771" spans="1:5" ht="26" hidden="1" x14ac:dyDescent="0.15">
      <c r="A7771" s="1" t="s">
        <v>748</v>
      </c>
      <c r="B7771" s="2">
        <v>57979</v>
      </c>
      <c r="C7771" s="3">
        <v>1.1000000000000001E-2</v>
      </c>
      <c r="D7771" s="4" t="s">
        <v>737</v>
      </c>
      <c r="E7771" s="4" t="s">
        <v>738</v>
      </c>
    </row>
    <row r="7772" spans="1:5" ht="39" hidden="1" x14ac:dyDescent="0.15">
      <c r="A7772" s="1" t="s">
        <v>749</v>
      </c>
      <c r="B7772" s="2">
        <v>111814</v>
      </c>
      <c r="C7772" s="3">
        <v>2.1000000000000001E-2</v>
      </c>
      <c r="D7772" s="4" t="s">
        <v>737</v>
      </c>
      <c r="E7772" s="4" t="s">
        <v>738</v>
      </c>
    </row>
    <row r="7773" spans="1:5" ht="39" hidden="1" x14ac:dyDescent="0.15">
      <c r="A7773" s="1" t="s">
        <v>750</v>
      </c>
      <c r="B7773" s="2">
        <v>118898</v>
      </c>
      <c r="C7773" s="3">
        <v>2.2000000000000002E-2</v>
      </c>
      <c r="D7773" s="4" t="s">
        <v>737</v>
      </c>
      <c r="E7773" s="4" t="s">
        <v>738</v>
      </c>
    </row>
    <row r="7774" spans="1:5" ht="39" hidden="1" x14ac:dyDescent="0.15">
      <c r="A7774" s="1" t="s">
        <v>751</v>
      </c>
      <c r="B7774" s="2">
        <v>96659</v>
      </c>
      <c r="C7774" s="3">
        <v>1.8000000000000002E-2</v>
      </c>
      <c r="D7774" s="4" t="s">
        <v>737</v>
      </c>
      <c r="E7774" s="4" t="s">
        <v>738</v>
      </c>
    </row>
    <row r="7775" spans="1:5" ht="26" hidden="1" x14ac:dyDescent="0.15">
      <c r="A7775" s="1" t="s">
        <v>752</v>
      </c>
      <c r="B7775" s="2">
        <v>213629</v>
      </c>
      <c r="C7775" s="3">
        <v>3.9E-2</v>
      </c>
      <c r="D7775" s="4" t="s">
        <v>737</v>
      </c>
      <c r="E7775" s="4" t="s">
        <v>738</v>
      </c>
    </row>
    <row r="7776" spans="1:5" ht="26" hidden="1" x14ac:dyDescent="0.15">
      <c r="A7776" s="1" t="s">
        <v>753</v>
      </c>
      <c r="B7776" s="2">
        <v>146696</v>
      </c>
      <c r="C7776" s="3">
        <v>2.7000000000000003E-2</v>
      </c>
      <c r="D7776" s="4" t="s">
        <v>737</v>
      </c>
      <c r="E7776" s="4" t="s">
        <v>738</v>
      </c>
    </row>
    <row r="7777" spans="1:5" hidden="1" x14ac:dyDescent="0.15">
      <c r="A7777" s="1" t="s">
        <v>0</v>
      </c>
      <c r="B7777" s="2">
        <v>1449888</v>
      </c>
      <c r="C7777" s="3">
        <v>1</v>
      </c>
      <c r="D7777" s="4" t="s">
        <v>754</v>
      </c>
      <c r="E7777" s="4" t="s">
        <v>755</v>
      </c>
    </row>
    <row r="7778" spans="1:5" ht="26" hidden="1" x14ac:dyDescent="0.15">
      <c r="A7778" s="1" t="s">
        <v>3</v>
      </c>
      <c r="B7778" s="2">
        <v>26011</v>
      </c>
      <c r="C7778" s="3">
        <v>1.8000000000000002E-2</v>
      </c>
      <c r="D7778" s="4" t="s">
        <v>754</v>
      </c>
      <c r="E7778" s="4" t="s">
        <v>755</v>
      </c>
    </row>
    <row r="7779" spans="1:5" hidden="1" x14ac:dyDescent="0.15">
      <c r="A7779" s="1" t="s">
        <v>4</v>
      </c>
      <c r="B7779" s="2">
        <v>19175</v>
      </c>
      <c r="C7779" s="3">
        <v>1.3000000000000001E-2</v>
      </c>
      <c r="D7779" s="4" t="s">
        <v>754</v>
      </c>
      <c r="E7779" s="4" t="s">
        <v>755</v>
      </c>
    </row>
    <row r="7780" spans="1:5" ht="26" hidden="1" x14ac:dyDescent="0.15">
      <c r="A7780" s="1" t="s">
        <v>5</v>
      </c>
      <c r="B7780" s="2">
        <v>81762</v>
      </c>
      <c r="C7780" s="3">
        <v>5.5999999999999994E-2</v>
      </c>
      <c r="D7780" s="4" t="s">
        <v>754</v>
      </c>
      <c r="E7780" s="4" t="s">
        <v>755</v>
      </c>
    </row>
    <row r="7781" spans="1:5" ht="26" hidden="1" x14ac:dyDescent="0.15">
      <c r="A7781" s="1" t="s">
        <v>6</v>
      </c>
      <c r="B7781" s="2">
        <v>198866</v>
      </c>
      <c r="C7781" s="3">
        <v>0.13699999999999998</v>
      </c>
      <c r="D7781" s="4" t="s">
        <v>754</v>
      </c>
      <c r="E7781" s="4" t="s">
        <v>755</v>
      </c>
    </row>
    <row r="7782" spans="1:5" ht="26" hidden="1" x14ac:dyDescent="0.15">
      <c r="A7782" s="1" t="s">
        <v>7</v>
      </c>
      <c r="B7782" s="2">
        <v>754028</v>
      </c>
      <c r="C7782" s="3">
        <v>0.52</v>
      </c>
      <c r="D7782" s="4" t="s">
        <v>754</v>
      </c>
      <c r="E7782" s="4" t="s">
        <v>755</v>
      </c>
    </row>
    <row r="7783" spans="1:5" ht="26" hidden="1" x14ac:dyDescent="0.15">
      <c r="A7783" s="1" t="s">
        <v>8</v>
      </c>
      <c r="B7783" s="2">
        <v>10243</v>
      </c>
      <c r="C7783" s="3">
        <v>6.9999999999999993E-3</v>
      </c>
      <c r="D7783" s="4" t="s">
        <v>754</v>
      </c>
      <c r="E7783" s="4" t="s">
        <v>755</v>
      </c>
    </row>
    <row r="7784" spans="1:5" ht="26" hidden="1" x14ac:dyDescent="0.15">
      <c r="A7784" s="1" t="s">
        <v>9</v>
      </c>
      <c r="B7784" s="2">
        <v>26596</v>
      </c>
      <c r="C7784" s="3">
        <v>1.8000000000000002E-2</v>
      </c>
      <c r="D7784" s="4" t="s">
        <v>754</v>
      </c>
      <c r="E7784" s="4" t="s">
        <v>755</v>
      </c>
    </row>
    <row r="7785" spans="1:5" ht="26" hidden="1" x14ac:dyDescent="0.15">
      <c r="A7785" s="1" t="s">
        <v>10</v>
      </c>
      <c r="B7785" s="2">
        <v>20968</v>
      </c>
      <c r="C7785" s="3">
        <v>1.3999999999999999E-2</v>
      </c>
      <c r="D7785" s="4" t="s">
        <v>754</v>
      </c>
      <c r="E7785" s="4" t="s">
        <v>755</v>
      </c>
    </row>
    <row r="7786" spans="1:5" ht="26" hidden="1" x14ac:dyDescent="0.15">
      <c r="A7786" s="1" t="s">
        <v>11</v>
      </c>
      <c r="B7786" s="2">
        <v>71683</v>
      </c>
      <c r="C7786" s="3">
        <v>4.9000000000000002E-2</v>
      </c>
      <c r="D7786" s="4" t="s">
        <v>754</v>
      </c>
      <c r="E7786" s="4" t="s">
        <v>755</v>
      </c>
    </row>
    <row r="7787" spans="1:5" ht="26" hidden="1" x14ac:dyDescent="0.15">
      <c r="A7787" s="1" t="s">
        <v>12</v>
      </c>
      <c r="B7787" s="2">
        <v>24077</v>
      </c>
      <c r="C7787" s="3">
        <v>1.7000000000000001E-2</v>
      </c>
      <c r="D7787" s="4" t="s">
        <v>754</v>
      </c>
      <c r="E7787" s="4" t="s">
        <v>755</v>
      </c>
    </row>
    <row r="7788" spans="1:5" ht="26" hidden="1" x14ac:dyDescent="0.15">
      <c r="A7788" s="1" t="s">
        <v>13</v>
      </c>
      <c r="B7788" s="2">
        <v>14358</v>
      </c>
      <c r="C7788" s="3">
        <v>0.01</v>
      </c>
      <c r="D7788" s="4" t="s">
        <v>754</v>
      </c>
      <c r="E7788" s="4" t="s">
        <v>755</v>
      </c>
    </row>
    <row r="7789" spans="1:5" hidden="1" x14ac:dyDescent="0.15">
      <c r="A7789" s="1" t="s">
        <v>14</v>
      </c>
      <c r="B7789" s="2">
        <v>113840</v>
      </c>
      <c r="C7789" s="3">
        <v>7.9000000000000001E-2</v>
      </c>
      <c r="D7789" s="4" t="s">
        <v>754</v>
      </c>
      <c r="E7789" s="4" t="s">
        <v>755</v>
      </c>
    </row>
    <row r="7790" spans="1:5" ht="26" hidden="1" x14ac:dyDescent="0.15">
      <c r="A7790" s="1" t="s">
        <v>15</v>
      </c>
      <c r="B7790" s="2">
        <v>170371</v>
      </c>
      <c r="C7790" s="3">
        <v>0.11800000000000001</v>
      </c>
      <c r="D7790" s="4" t="s">
        <v>754</v>
      </c>
      <c r="E7790" s="4" t="s">
        <v>755</v>
      </c>
    </row>
    <row r="7791" spans="1:5" ht="26" hidden="1" x14ac:dyDescent="0.15">
      <c r="A7791" s="1" t="s">
        <v>16</v>
      </c>
      <c r="B7791" s="2">
        <v>44752</v>
      </c>
      <c r="C7791" s="3">
        <v>3.1E-2</v>
      </c>
      <c r="D7791" s="4" t="s">
        <v>754</v>
      </c>
      <c r="E7791" s="4" t="s">
        <v>755</v>
      </c>
    </row>
    <row r="7792" spans="1:5" ht="26" hidden="1" x14ac:dyDescent="0.15">
      <c r="A7792" s="1" t="s">
        <v>17</v>
      </c>
      <c r="B7792" s="2">
        <v>28815</v>
      </c>
      <c r="C7792" s="3">
        <v>0.02</v>
      </c>
      <c r="D7792" s="4" t="s">
        <v>754</v>
      </c>
      <c r="E7792" s="4" t="s">
        <v>755</v>
      </c>
    </row>
    <row r="7793" spans="1:5" hidden="1" x14ac:dyDescent="0.15">
      <c r="A7793" s="1" t="s">
        <v>18</v>
      </c>
      <c r="B7793" s="2">
        <v>27295</v>
      </c>
      <c r="C7793" s="3">
        <v>1.9E-2</v>
      </c>
      <c r="D7793" s="4" t="s">
        <v>754</v>
      </c>
      <c r="E7793" s="4" t="s">
        <v>755</v>
      </c>
    </row>
    <row r="7794" spans="1:5" hidden="1" x14ac:dyDescent="0.15">
      <c r="A7794" s="1" t="s">
        <v>19</v>
      </c>
      <c r="B7794" s="2">
        <v>134024</v>
      </c>
      <c r="C7794" s="3">
        <v>9.1999999999999998E-2</v>
      </c>
      <c r="D7794" s="4" t="s">
        <v>754</v>
      </c>
      <c r="E7794" s="4" t="s">
        <v>755</v>
      </c>
    </row>
    <row r="7795" spans="1:5" hidden="1" x14ac:dyDescent="0.15">
      <c r="A7795" s="1" t="s">
        <v>20</v>
      </c>
      <c r="B7795" s="2">
        <v>15824</v>
      </c>
      <c r="C7795" s="3">
        <v>1.1000000000000001E-2</v>
      </c>
      <c r="D7795" s="4" t="s">
        <v>754</v>
      </c>
      <c r="E7795" s="4" t="s">
        <v>755</v>
      </c>
    </row>
    <row r="7796" spans="1:5" ht="26" hidden="1" x14ac:dyDescent="0.15">
      <c r="A7796" s="1" t="s">
        <v>21</v>
      </c>
      <c r="B7796" s="2">
        <v>36864</v>
      </c>
      <c r="C7796" s="3">
        <v>2.5000000000000001E-2</v>
      </c>
      <c r="D7796" s="4" t="s">
        <v>754</v>
      </c>
      <c r="E7796" s="4" t="s">
        <v>755</v>
      </c>
    </row>
    <row r="7797" spans="1:5" ht="26" hidden="1" x14ac:dyDescent="0.15">
      <c r="A7797" s="1" t="s">
        <v>22</v>
      </c>
      <c r="B7797" s="2">
        <v>3584</v>
      </c>
      <c r="C7797" s="3">
        <v>2E-3</v>
      </c>
      <c r="D7797" s="4" t="s">
        <v>754</v>
      </c>
      <c r="E7797" s="4" t="s">
        <v>755</v>
      </c>
    </row>
    <row r="7798" spans="1:5" ht="26" hidden="1" x14ac:dyDescent="0.15">
      <c r="A7798" s="1" t="s">
        <v>23</v>
      </c>
      <c r="B7798" s="2">
        <v>15441</v>
      </c>
      <c r="C7798" s="3">
        <v>1.1000000000000001E-2</v>
      </c>
      <c r="D7798" s="4" t="s">
        <v>754</v>
      </c>
      <c r="E7798" s="4" t="s">
        <v>755</v>
      </c>
    </row>
    <row r="7799" spans="1:5" ht="26" hidden="1" x14ac:dyDescent="0.15">
      <c r="A7799" s="1" t="s">
        <v>24</v>
      </c>
      <c r="B7799" s="2">
        <v>3373</v>
      </c>
      <c r="C7799" s="3">
        <v>2E-3</v>
      </c>
      <c r="D7799" s="4" t="s">
        <v>754</v>
      </c>
      <c r="E7799" s="4" t="s">
        <v>755</v>
      </c>
    </row>
    <row r="7800" spans="1:5" ht="26" hidden="1" x14ac:dyDescent="0.15">
      <c r="A7800" s="1" t="s">
        <v>25</v>
      </c>
      <c r="B7800" s="2">
        <v>45906</v>
      </c>
      <c r="C7800" s="3">
        <v>3.2000000000000001E-2</v>
      </c>
      <c r="D7800" s="4" t="s">
        <v>754</v>
      </c>
      <c r="E7800" s="4" t="s">
        <v>755</v>
      </c>
    </row>
    <row r="7801" spans="1:5" hidden="1" x14ac:dyDescent="0.15">
      <c r="A7801" s="1" t="s">
        <v>26</v>
      </c>
      <c r="B7801" s="2">
        <v>10003</v>
      </c>
      <c r="C7801" s="3">
        <v>6.9999999999999993E-3</v>
      </c>
      <c r="D7801" s="4" t="s">
        <v>754</v>
      </c>
      <c r="E7801" s="4" t="s">
        <v>755</v>
      </c>
    </row>
    <row r="7802" spans="1:5" hidden="1" x14ac:dyDescent="0.15">
      <c r="A7802" s="1" t="s">
        <v>27</v>
      </c>
      <c r="B7802" s="2">
        <v>151215</v>
      </c>
      <c r="C7802" s="3">
        <v>0.10400000000000001</v>
      </c>
      <c r="D7802" s="4" t="s">
        <v>754</v>
      </c>
      <c r="E7802" s="4" t="s">
        <v>755</v>
      </c>
    </row>
    <row r="7803" spans="1:5" hidden="1" x14ac:dyDescent="0.15">
      <c r="A7803" s="1" t="s">
        <v>28</v>
      </c>
      <c r="B7803" s="2">
        <v>137666</v>
      </c>
      <c r="C7803" s="3">
        <v>9.5000000000000001E-2</v>
      </c>
      <c r="D7803" s="4" t="s">
        <v>754</v>
      </c>
      <c r="E7803" s="4" t="s">
        <v>755</v>
      </c>
    </row>
    <row r="7804" spans="1:5" hidden="1" x14ac:dyDescent="0.15">
      <c r="A7804" s="1" t="s">
        <v>29</v>
      </c>
      <c r="B7804" s="2">
        <v>270250</v>
      </c>
      <c r="C7804" s="3">
        <v>0.18600000000000003</v>
      </c>
      <c r="D7804" s="4" t="s">
        <v>754</v>
      </c>
      <c r="E7804" s="4" t="s">
        <v>755</v>
      </c>
    </row>
    <row r="7805" spans="1:5" hidden="1" x14ac:dyDescent="0.15">
      <c r="A7805" s="1" t="s">
        <v>30</v>
      </c>
      <c r="B7805" s="2">
        <v>13902</v>
      </c>
      <c r="C7805" s="3">
        <v>0.01</v>
      </c>
      <c r="D7805" s="4" t="s">
        <v>754</v>
      </c>
      <c r="E7805" s="4" t="s">
        <v>755</v>
      </c>
    </row>
    <row r="7806" spans="1:5" ht="39" hidden="1" x14ac:dyDescent="0.15">
      <c r="A7806" s="1" t="s">
        <v>31</v>
      </c>
      <c r="B7806" s="2">
        <v>15117</v>
      </c>
      <c r="C7806" s="3">
        <v>0.01</v>
      </c>
      <c r="D7806" s="4" t="s">
        <v>754</v>
      </c>
      <c r="E7806" s="4" t="s">
        <v>755</v>
      </c>
    </row>
    <row r="7807" spans="1:5" hidden="1" x14ac:dyDescent="0.15">
      <c r="A7807" s="1" t="s">
        <v>32</v>
      </c>
      <c r="B7807" s="2">
        <v>52347</v>
      </c>
      <c r="C7807" s="3">
        <v>3.6000000000000004E-2</v>
      </c>
      <c r="D7807" s="4" t="s">
        <v>754</v>
      </c>
      <c r="E7807" s="4" t="s">
        <v>755</v>
      </c>
    </row>
    <row r="7808" spans="1:5" hidden="1" x14ac:dyDescent="0.15">
      <c r="A7808" s="1" t="s">
        <v>33</v>
      </c>
      <c r="B7808" s="2">
        <v>346099</v>
      </c>
      <c r="C7808" s="3">
        <v>0.23899999999999999</v>
      </c>
      <c r="D7808" s="4" t="s">
        <v>754</v>
      </c>
      <c r="E7808" s="4" t="s">
        <v>755</v>
      </c>
    </row>
    <row r="7809" spans="1:5" hidden="1" x14ac:dyDescent="0.15">
      <c r="A7809" s="1" t="s">
        <v>34</v>
      </c>
      <c r="B7809" s="2">
        <v>98954</v>
      </c>
      <c r="C7809" s="3">
        <v>6.8000000000000005E-2</v>
      </c>
      <c r="D7809" s="4" t="s">
        <v>754</v>
      </c>
      <c r="E7809" s="4" t="s">
        <v>755</v>
      </c>
    </row>
    <row r="7810" spans="1:5" hidden="1" x14ac:dyDescent="0.15">
      <c r="A7810" s="1" t="s">
        <v>35</v>
      </c>
      <c r="B7810" s="2">
        <v>73044</v>
      </c>
      <c r="C7810" s="3">
        <v>0.05</v>
      </c>
      <c r="D7810" s="4" t="s">
        <v>754</v>
      </c>
      <c r="E7810" s="4" t="s">
        <v>755</v>
      </c>
    </row>
    <row r="7811" spans="1:5" ht="26" hidden="1" x14ac:dyDescent="0.15">
      <c r="A7811" s="1" t="s">
        <v>36</v>
      </c>
      <c r="B7811" s="2">
        <v>29445</v>
      </c>
      <c r="C7811" s="3">
        <v>0.02</v>
      </c>
      <c r="D7811" s="4" t="s">
        <v>754</v>
      </c>
      <c r="E7811" s="4" t="s">
        <v>755</v>
      </c>
    </row>
    <row r="7812" spans="1:5" hidden="1" x14ac:dyDescent="0.15">
      <c r="A7812" s="1" t="s">
        <v>37</v>
      </c>
      <c r="B7812" s="2">
        <v>19497</v>
      </c>
      <c r="C7812" s="3">
        <v>1.3000000000000001E-2</v>
      </c>
      <c r="D7812" s="4" t="s">
        <v>754</v>
      </c>
      <c r="E7812" s="4" t="s">
        <v>755</v>
      </c>
    </row>
    <row r="7813" spans="1:5" ht="39" hidden="1" x14ac:dyDescent="0.15">
      <c r="A7813" s="1" t="s">
        <v>38</v>
      </c>
      <c r="B7813" s="2">
        <v>21626</v>
      </c>
      <c r="C7813" s="3">
        <v>1.4999999999999999E-2</v>
      </c>
      <c r="D7813" s="4" t="s">
        <v>754</v>
      </c>
      <c r="E7813" s="4" t="s">
        <v>755</v>
      </c>
    </row>
    <row r="7814" spans="1:5" hidden="1" x14ac:dyDescent="0.15">
      <c r="A7814" s="1" t="s">
        <v>39</v>
      </c>
      <c r="B7814" s="2">
        <v>64778</v>
      </c>
      <c r="C7814" s="3">
        <v>4.4999999999999998E-2</v>
      </c>
      <c r="D7814" s="4" t="s">
        <v>754</v>
      </c>
      <c r="E7814" s="4" t="s">
        <v>755</v>
      </c>
    </row>
    <row r="7815" spans="1:5" hidden="1" x14ac:dyDescent="0.15">
      <c r="A7815" s="1" t="s">
        <v>40</v>
      </c>
      <c r="B7815" s="2">
        <v>33579</v>
      </c>
      <c r="C7815" s="3">
        <v>2.3E-2</v>
      </c>
      <c r="D7815" s="4" t="s">
        <v>754</v>
      </c>
      <c r="E7815" s="4" t="s">
        <v>755</v>
      </c>
    </row>
    <row r="7816" spans="1:5" hidden="1" x14ac:dyDescent="0.15">
      <c r="A7816" s="1" t="s">
        <v>41</v>
      </c>
      <c r="B7816" s="2">
        <v>43564</v>
      </c>
      <c r="C7816" s="3">
        <v>0.03</v>
      </c>
      <c r="D7816" s="4" t="s">
        <v>754</v>
      </c>
      <c r="E7816" s="4" t="s">
        <v>755</v>
      </c>
    </row>
    <row r="7817" spans="1:5" hidden="1" x14ac:dyDescent="0.15">
      <c r="A7817" s="1" t="s">
        <v>42</v>
      </c>
      <c r="B7817" s="2">
        <v>69712</v>
      </c>
      <c r="C7817" s="3">
        <v>4.8000000000000001E-2</v>
      </c>
      <c r="D7817" s="4" t="s">
        <v>754</v>
      </c>
      <c r="E7817" s="4" t="s">
        <v>755</v>
      </c>
    </row>
    <row r="7818" spans="1:5" hidden="1" x14ac:dyDescent="0.15">
      <c r="A7818" s="1" t="s">
        <v>43</v>
      </c>
      <c r="B7818" s="2">
        <v>137242</v>
      </c>
      <c r="C7818" s="3">
        <v>9.5000000000000001E-2</v>
      </c>
      <c r="D7818" s="4" t="s">
        <v>754</v>
      </c>
      <c r="E7818" s="4" t="s">
        <v>755</v>
      </c>
    </row>
    <row r="7819" spans="1:5" ht="26" hidden="1" x14ac:dyDescent="0.15">
      <c r="A7819" s="1" t="s">
        <v>44</v>
      </c>
      <c r="B7819" s="2">
        <v>199035</v>
      </c>
      <c r="C7819" s="3">
        <v>0.13699999999999998</v>
      </c>
      <c r="D7819" s="4" t="s">
        <v>754</v>
      </c>
      <c r="E7819" s="4" t="s">
        <v>755</v>
      </c>
    </row>
    <row r="7820" spans="1:5" hidden="1" x14ac:dyDescent="0.15">
      <c r="A7820" s="1" t="s">
        <v>45</v>
      </c>
      <c r="B7820" s="2">
        <v>456184</v>
      </c>
      <c r="C7820" s="3">
        <v>0.315</v>
      </c>
      <c r="D7820" s="4" t="s">
        <v>754</v>
      </c>
      <c r="E7820" s="4" t="s">
        <v>755</v>
      </c>
    </row>
    <row r="7821" spans="1:5" ht="26" hidden="1" x14ac:dyDescent="0.15">
      <c r="A7821" s="1" t="s">
        <v>46</v>
      </c>
      <c r="B7821" s="2">
        <v>541643</v>
      </c>
      <c r="C7821" s="3">
        <v>0.374</v>
      </c>
      <c r="D7821" s="4" t="s">
        <v>754</v>
      </c>
      <c r="E7821" s="4" t="s">
        <v>755</v>
      </c>
    </row>
    <row r="7822" spans="1:5" hidden="1" x14ac:dyDescent="0.15">
      <c r="A7822" s="1" t="s">
        <v>47</v>
      </c>
      <c r="B7822" s="2">
        <v>1050394</v>
      </c>
      <c r="C7822" s="3">
        <v>0.72400000000000009</v>
      </c>
      <c r="D7822" s="4" t="s">
        <v>754</v>
      </c>
      <c r="E7822" s="4" t="s">
        <v>755</v>
      </c>
    </row>
    <row r="7823" spans="1:5" hidden="1" x14ac:dyDescent="0.15">
      <c r="A7823" s="1" t="s">
        <v>48</v>
      </c>
      <c r="B7823" s="2">
        <v>90619</v>
      </c>
      <c r="C7823" s="3">
        <v>6.3E-2</v>
      </c>
      <c r="D7823" s="4" t="s">
        <v>754</v>
      </c>
      <c r="E7823" s="4" t="s">
        <v>755</v>
      </c>
    </row>
    <row r="7824" spans="1:5" hidden="1" x14ac:dyDescent="0.15">
      <c r="A7824" s="1" t="s">
        <v>49</v>
      </c>
      <c r="B7824" s="2">
        <v>112332</v>
      </c>
      <c r="C7824" s="3">
        <v>7.6999999999999999E-2</v>
      </c>
      <c r="D7824" s="4" t="s">
        <v>754</v>
      </c>
      <c r="E7824" s="4" t="s">
        <v>755</v>
      </c>
    </row>
    <row r="7825" spans="1:5" ht="26" hidden="1" x14ac:dyDescent="0.15">
      <c r="A7825" s="1" t="s">
        <v>50</v>
      </c>
      <c r="B7825" s="2">
        <v>218148</v>
      </c>
      <c r="C7825" s="3">
        <v>0.15</v>
      </c>
      <c r="D7825" s="4" t="s">
        <v>754</v>
      </c>
      <c r="E7825" s="4" t="s">
        <v>755</v>
      </c>
    </row>
    <row r="7826" spans="1:5" hidden="1" x14ac:dyDescent="0.15">
      <c r="A7826" s="1" t="s">
        <v>51</v>
      </c>
      <c r="B7826" s="2">
        <v>386263</v>
      </c>
      <c r="C7826" s="3">
        <v>0.26600000000000001</v>
      </c>
      <c r="D7826" s="4" t="s">
        <v>754</v>
      </c>
      <c r="E7826" s="4" t="s">
        <v>755</v>
      </c>
    </row>
    <row r="7827" spans="1:5" hidden="1" x14ac:dyDescent="0.15">
      <c r="A7827" s="1" t="s">
        <v>52</v>
      </c>
      <c r="B7827" s="2">
        <v>207898</v>
      </c>
      <c r="C7827" s="3">
        <v>0.14300000000000002</v>
      </c>
      <c r="D7827" s="4" t="s">
        <v>754</v>
      </c>
      <c r="E7827" s="4" t="s">
        <v>755</v>
      </c>
    </row>
    <row r="7828" spans="1:5" ht="26" hidden="1" x14ac:dyDescent="0.15">
      <c r="A7828" s="1" t="s">
        <v>53</v>
      </c>
      <c r="B7828" s="2">
        <v>129694</v>
      </c>
      <c r="C7828" s="3">
        <v>8.900000000000001E-2</v>
      </c>
      <c r="D7828" s="4" t="s">
        <v>754</v>
      </c>
      <c r="E7828" s="4" t="s">
        <v>755</v>
      </c>
    </row>
    <row r="7829" spans="1:5" hidden="1" x14ac:dyDescent="0.15">
      <c r="A7829" s="1" t="s">
        <v>54</v>
      </c>
      <c r="B7829" s="2">
        <v>529094</v>
      </c>
      <c r="C7829" s="3">
        <v>0.36499999999999999</v>
      </c>
      <c r="D7829" s="4" t="s">
        <v>754</v>
      </c>
      <c r="E7829" s="4" t="s">
        <v>755</v>
      </c>
    </row>
    <row r="7830" spans="1:5" ht="26" hidden="1" x14ac:dyDescent="0.15">
      <c r="A7830" s="1" t="s">
        <v>55</v>
      </c>
      <c r="B7830" s="2">
        <v>581880</v>
      </c>
      <c r="C7830" s="3">
        <v>0.40100000000000002</v>
      </c>
      <c r="D7830" s="4" t="s">
        <v>754</v>
      </c>
      <c r="E7830" s="4" t="s">
        <v>755</v>
      </c>
    </row>
    <row r="7831" spans="1:5" hidden="1" x14ac:dyDescent="0.15">
      <c r="A7831" s="1" t="s">
        <v>56</v>
      </c>
      <c r="B7831" s="2">
        <v>290590</v>
      </c>
      <c r="C7831" s="3">
        <v>0.2</v>
      </c>
      <c r="D7831" s="4" t="s">
        <v>754</v>
      </c>
      <c r="E7831" s="4" t="s">
        <v>755</v>
      </c>
    </row>
    <row r="7832" spans="1:5" hidden="1" x14ac:dyDescent="0.15">
      <c r="A7832" s="1" t="s">
        <v>57</v>
      </c>
      <c r="B7832" s="2">
        <v>249303</v>
      </c>
      <c r="C7832" s="3">
        <v>0.17199999999999999</v>
      </c>
      <c r="D7832" s="4" t="s">
        <v>754</v>
      </c>
      <c r="E7832" s="4" t="s">
        <v>755</v>
      </c>
    </row>
    <row r="7833" spans="1:5" hidden="1" x14ac:dyDescent="0.15">
      <c r="A7833" s="1" t="s">
        <v>58</v>
      </c>
      <c r="B7833" s="2">
        <v>196632</v>
      </c>
      <c r="C7833" s="3">
        <v>0.13600000000000001</v>
      </c>
      <c r="D7833" s="4" t="s">
        <v>754</v>
      </c>
      <c r="E7833" s="4" t="s">
        <v>755</v>
      </c>
    </row>
    <row r="7834" spans="1:5" hidden="1" x14ac:dyDescent="0.15">
      <c r="A7834" s="1" t="s">
        <v>59</v>
      </c>
      <c r="B7834" s="2">
        <v>592642</v>
      </c>
      <c r="C7834" s="3">
        <v>0.40899999999999997</v>
      </c>
      <c r="D7834" s="4" t="s">
        <v>754</v>
      </c>
      <c r="E7834" s="4" t="s">
        <v>755</v>
      </c>
    </row>
    <row r="7835" spans="1:5" hidden="1" x14ac:dyDescent="0.15">
      <c r="A7835" s="1" t="s">
        <v>60</v>
      </c>
      <c r="B7835" s="2">
        <v>144972</v>
      </c>
      <c r="C7835" s="3">
        <v>0.1</v>
      </c>
      <c r="D7835" s="4" t="s">
        <v>754</v>
      </c>
      <c r="E7835" s="4" t="s">
        <v>755</v>
      </c>
    </row>
    <row r="7836" spans="1:5" ht="26" hidden="1" x14ac:dyDescent="0.15">
      <c r="A7836" s="1" t="s">
        <v>61</v>
      </c>
      <c r="B7836" s="2">
        <v>233163</v>
      </c>
      <c r="C7836" s="3">
        <v>0.161</v>
      </c>
      <c r="D7836" s="4" t="s">
        <v>754</v>
      </c>
      <c r="E7836" s="4" t="s">
        <v>755</v>
      </c>
    </row>
    <row r="7837" spans="1:5" hidden="1" x14ac:dyDescent="0.15">
      <c r="A7837" s="1" t="s">
        <v>62</v>
      </c>
      <c r="B7837" s="2">
        <v>63417</v>
      </c>
      <c r="C7837" s="3">
        <v>4.4000000000000004E-2</v>
      </c>
      <c r="D7837" s="4" t="s">
        <v>754</v>
      </c>
      <c r="E7837" s="4" t="s">
        <v>755</v>
      </c>
    </row>
    <row r="7838" spans="1:5" ht="26" hidden="1" x14ac:dyDescent="0.15">
      <c r="A7838" s="1" t="s">
        <v>63</v>
      </c>
      <c r="B7838" s="2">
        <v>257154</v>
      </c>
      <c r="C7838" s="3">
        <v>0.17699999999999999</v>
      </c>
      <c r="D7838" s="4" t="s">
        <v>754</v>
      </c>
      <c r="E7838" s="4" t="s">
        <v>755</v>
      </c>
    </row>
    <row r="7839" spans="1:5" ht="26" hidden="1" x14ac:dyDescent="0.15">
      <c r="A7839" s="1" t="s">
        <v>64</v>
      </c>
      <c r="B7839" s="2">
        <v>66916</v>
      </c>
      <c r="C7839" s="3">
        <v>4.5999999999999999E-2</v>
      </c>
      <c r="D7839" s="4" t="s">
        <v>754</v>
      </c>
      <c r="E7839" s="4" t="s">
        <v>755</v>
      </c>
    </row>
    <row r="7840" spans="1:5" hidden="1" x14ac:dyDescent="0.15">
      <c r="A7840" s="1" t="s">
        <v>65</v>
      </c>
      <c r="B7840" s="2">
        <v>204347</v>
      </c>
      <c r="C7840" s="3">
        <v>0.14099999999999999</v>
      </c>
      <c r="D7840" s="4" t="s">
        <v>754</v>
      </c>
      <c r="E7840" s="4" t="s">
        <v>755</v>
      </c>
    </row>
    <row r="7841" spans="1:5" hidden="1" x14ac:dyDescent="0.15">
      <c r="A7841" s="1" t="s">
        <v>66</v>
      </c>
      <c r="B7841" s="2">
        <v>118500</v>
      </c>
      <c r="C7841" s="3">
        <v>8.199999999999999E-2</v>
      </c>
      <c r="D7841" s="4" t="s">
        <v>754</v>
      </c>
      <c r="E7841" s="4" t="s">
        <v>755</v>
      </c>
    </row>
    <row r="7842" spans="1:5" hidden="1" x14ac:dyDescent="0.15">
      <c r="A7842" s="1" t="s">
        <v>67</v>
      </c>
      <c r="B7842" s="2">
        <v>471697</v>
      </c>
      <c r="C7842" s="3">
        <v>0.32500000000000001</v>
      </c>
      <c r="D7842" s="4" t="s">
        <v>754</v>
      </c>
      <c r="E7842" s="4" t="s">
        <v>755</v>
      </c>
    </row>
    <row r="7843" spans="1:5" hidden="1" x14ac:dyDescent="0.15">
      <c r="A7843" s="1" t="s">
        <v>68</v>
      </c>
      <c r="B7843" s="2">
        <v>453408</v>
      </c>
      <c r="C7843" s="3">
        <v>0.313</v>
      </c>
      <c r="D7843" s="4" t="s">
        <v>754</v>
      </c>
      <c r="E7843" s="4" t="s">
        <v>755</v>
      </c>
    </row>
    <row r="7844" spans="1:5" hidden="1" x14ac:dyDescent="0.15">
      <c r="A7844" s="1" t="s">
        <v>69</v>
      </c>
      <c r="B7844" s="2">
        <v>824413</v>
      </c>
      <c r="C7844" s="3">
        <v>0.56899999999999995</v>
      </c>
      <c r="D7844" s="4" t="s">
        <v>754</v>
      </c>
      <c r="E7844" s="4" t="s">
        <v>755</v>
      </c>
    </row>
    <row r="7845" spans="1:5" hidden="1" x14ac:dyDescent="0.15">
      <c r="A7845" s="1" t="s">
        <v>70</v>
      </c>
      <c r="B7845" s="2">
        <v>164836</v>
      </c>
      <c r="C7845" s="3">
        <v>0.114</v>
      </c>
      <c r="D7845" s="4" t="s">
        <v>754</v>
      </c>
      <c r="E7845" s="4" t="s">
        <v>755</v>
      </c>
    </row>
    <row r="7846" spans="1:5" ht="26" hidden="1" x14ac:dyDescent="0.15">
      <c r="A7846" s="1" t="s">
        <v>71</v>
      </c>
      <c r="B7846" s="2">
        <v>89695</v>
      </c>
      <c r="C7846" s="3">
        <v>6.2E-2</v>
      </c>
      <c r="D7846" s="4" t="s">
        <v>754</v>
      </c>
      <c r="E7846" s="4" t="s">
        <v>755</v>
      </c>
    </row>
    <row r="7847" spans="1:5" hidden="1" x14ac:dyDescent="0.15">
      <c r="A7847" s="1" t="s">
        <v>72</v>
      </c>
      <c r="B7847" s="2">
        <v>237475</v>
      </c>
      <c r="C7847" s="3">
        <v>0.16399999999999998</v>
      </c>
      <c r="D7847" s="4" t="s">
        <v>754</v>
      </c>
      <c r="E7847" s="4" t="s">
        <v>755</v>
      </c>
    </row>
    <row r="7848" spans="1:5" hidden="1" x14ac:dyDescent="0.15">
      <c r="A7848" s="1" t="s">
        <v>73</v>
      </c>
      <c r="B7848" s="2">
        <v>801928</v>
      </c>
      <c r="C7848" s="3">
        <v>0.55299999999999994</v>
      </c>
      <c r="D7848" s="4" t="s">
        <v>754</v>
      </c>
      <c r="E7848" s="4" t="s">
        <v>755</v>
      </c>
    </row>
    <row r="7849" spans="1:5" hidden="1" x14ac:dyDescent="0.15">
      <c r="A7849" s="1" t="s">
        <v>74</v>
      </c>
      <c r="B7849" s="2">
        <v>367101</v>
      </c>
      <c r="C7849" s="3">
        <v>0.253</v>
      </c>
      <c r="D7849" s="4" t="s">
        <v>754</v>
      </c>
      <c r="E7849" s="4" t="s">
        <v>755</v>
      </c>
    </row>
    <row r="7850" spans="1:5" hidden="1" x14ac:dyDescent="0.15">
      <c r="A7850" s="1" t="s">
        <v>75</v>
      </c>
      <c r="B7850" s="2">
        <v>272721</v>
      </c>
      <c r="C7850" s="3">
        <v>0.188</v>
      </c>
      <c r="D7850" s="4" t="s">
        <v>754</v>
      </c>
      <c r="E7850" s="4" t="s">
        <v>755</v>
      </c>
    </row>
    <row r="7851" spans="1:5" hidden="1" x14ac:dyDescent="0.15">
      <c r="A7851" s="1" t="s">
        <v>76</v>
      </c>
      <c r="B7851" s="2">
        <v>214866</v>
      </c>
      <c r="C7851" s="3">
        <v>0.14800000000000002</v>
      </c>
      <c r="D7851" s="4" t="s">
        <v>754</v>
      </c>
      <c r="E7851" s="4" t="s">
        <v>755</v>
      </c>
    </row>
    <row r="7852" spans="1:5" hidden="1" x14ac:dyDescent="0.15">
      <c r="A7852" s="1" t="s">
        <v>77</v>
      </c>
      <c r="B7852" s="2">
        <v>193774</v>
      </c>
      <c r="C7852" s="3">
        <v>0.13400000000000001</v>
      </c>
      <c r="D7852" s="4" t="s">
        <v>754</v>
      </c>
      <c r="E7852" s="4" t="s">
        <v>755</v>
      </c>
    </row>
    <row r="7853" spans="1:5" ht="26" hidden="1" x14ac:dyDescent="0.15">
      <c r="A7853" s="1" t="s">
        <v>78</v>
      </c>
      <c r="B7853" s="2">
        <v>138819</v>
      </c>
      <c r="C7853" s="3">
        <v>9.6000000000000002E-2</v>
      </c>
      <c r="D7853" s="4" t="s">
        <v>754</v>
      </c>
      <c r="E7853" s="4" t="s">
        <v>755</v>
      </c>
    </row>
    <row r="7854" spans="1:5" hidden="1" x14ac:dyDescent="0.15">
      <c r="A7854" s="1" t="s">
        <v>79</v>
      </c>
      <c r="B7854" s="2">
        <v>249562</v>
      </c>
      <c r="C7854" s="3">
        <v>0.17199999999999999</v>
      </c>
      <c r="D7854" s="4" t="s">
        <v>754</v>
      </c>
      <c r="E7854" s="4" t="s">
        <v>755</v>
      </c>
    </row>
    <row r="7855" spans="1:5" hidden="1" x14ac:dyDescent="0.15">
      <c r="A7855" s="1" t="s">
        <v>80</v>
      </c>
      <c r="B7855" s="2">
        <v>187287</v>
      </c>
      <c r="C7855" s="3">
        <v>0.129</v>
      </c>
      <c r="D7855" s="4" t="s">
        <v>754</v>
      </c>
      <c r="E7855" s="4" t="s">
        <v>755</v>
      </c>
    </row>
    <row r="7856" spans="1:5" ht="26" hidden="1" x14ac:dyDescent="0.15">
      <c r="A7856" s="1" t="s">
        <v>81</v>
      </c>
      <c r="B7856" s="2">
        <v>279506</v>
      </c>
      <c r="C7856" s="3">
        <v>0.193</v>
      </c>
      <c r="D7856" s="4" t="s">
        <v>754</v>
      </c>
      <c r="E7856" s="4" t="s">
        <v>755</v>
      </c>
    </row>
    <row r="7857" spans="1:5" hidden="1" x14ac:dyDescent="0.15">
      <c r="A7857" s="1" t="s">
        <v>82</v>
      </c>
      <c r="B7857" s="2">
        <v>247342</v>
      </c>
      <c r="C7857" s="3">
        <v>0.17100000000000001</v>
      </c>
      <c r="D7857" s="4" t="s">
        <v>754</v>
      </c>
      <c r="E7857" s="4" t="s">
        <v>755</v>
      </c>
    </row>
    <row r="7858" spans="1:5" hidden="1" x14ac:dyDescent="0.15">
      <c r="A7858" s="4"/>
      <c r="B7858" s="4"/>
      <c r="C7858" s="4"/>
      <c r="D7858" s="4" t="s">
        <v>754</v>
      </c>
      <c r="E7858" s="4" t="s">
        <v>755</v>
      </c>
    </row>
    <row r="7859" spans="1:5" hidden="1" x14ac:dyDescent="0.15">
      <c r="A7859" s="16"/>
      <c r="B7859" s="16"/>
      <c r="C7859" s="16"/>
      <c r="D7859" s="4" t="s">
        <v>754</v>
      </c>
      <c r="E7859" s="4" t="s">
        <v>755</v>
      </c>
    </row>
    <row r="7860" spans="1:5" hidden="1" x14ac:dyDescent="0.15">
      <c r="A7860" s="1" t="s">
        <v>308</v>
      </c>
      <c r="B7860" s="2">
        <v>376409</v>
      </c>
      <c r="C7860" s="3">
        <v>0.26</v>
      </c>
      <c r="D7860" s="4" t="s">
        <v>754</v>
      </c>
      <c r="E7860" s="4" t="s">
        <v>755</v>
      </c>
    </row>
    <row r="7861" spans="1:5" hidden="1" x14ac:dyDescent="0.15">
      <c r="A7861" s="4"/>
      <c r="B7861" s="4"/>
      <c r="C7861" s="4"/>
      <c r="D7861" s="4" t="s">
        <v>754</v>
      </c>
      <c r="E7861" s="4" t="s">
        <v>755</v>
      </c>
    </row>
    <row r="7862" spans="1:5" hidden="1" x14ac:dyDescent="0.15">
      <c r="A7862" s="16"/>
      <c r="B7862" s="16"/>
      <c r="C7862" s="16"/>
      <c r="D7862" s="4" t="s">
        <v>754</v>
      </c>
      <c r="E7862" s="4" t="s">
        <v>755</v>
      </c>
    </row>
    <row r="7863" spans="1:5" hidden="1" x14ac:dyDescent="0.15">
      <c r="A7863" s="1" t="s">
        <v>523</v>
      </c>
      <c r="B7863" s="2">
        <v>363388</v>
      </c>
      <c r="C7863" s="3">
        <v>0.251</v>
      </c>
      <c r="D7863" s="4" t="s">
        <v>754</v>
      </c>
      <c r="E7863" s="4" t="s">
        <v>755</v>
      </c>
    </row>
    <row r="7864" spans="1:5" hidden="1" x14ac:dyDescent="0.15">
      <c r="A7864" s="4"/>
      <c r="B7864" s="4"/>
      <c r="C7864" s="4"/>
      <c r="D7864" s="4" t="s">
        <v>754</v>
      </c>
      <c r="E7864" s="4" t="s">
        <v>755</v>
      </c>
    </row>
    <row r="7865" spans="1:5" hidden="1" x14ac:dyDescent="0.15">
      <c r="A7865" s="16"/>
      <c r="B7865" s="16"/>
      <c r="C7865" s="16"/>
      <c r="D7865" s="4" t="s">
        <v>754</v>
      </c>
      <c r="E7865" s="4" t="s">
        <v>755</v>
      </c>
    </row>
    <row r="7866" spans="1:5" hidden="1" x14ac:dyDescent="0.15">
      <c r="A7866" s="1" t="s">
        <v>756</v>
      </c>
      <c r="B7866" s="2">
        <v>147586</v>
      </c>
      <c r="C7866" s="3">
        <v>0.10199999999999999</v>
      </c>
      <c r="D7866" s="4" t="s">
        <v>754</v>
      </c>
      <c r="E7866" s="4" t="s">
        <v>755</v>
      </c>
    </row>
    <row r="7867" spans="1:5" hidden="1" x14ac:dyDescent="0.15">
      <c r="A7867" s="4"/>
      <c r="B7867" s="4"/>
      <c r="C7867" s="4"/>
      <c r="D7867" s="4" t="s">
        <v>754</v>
      </c>
      <c r="E7867" s="4" t="s">
        <v>755</v>
      </c>
    </row>
    <row r="7868" spans="1:5" hidden="1" x14ac:dyDescent="0.15">
      <c r="A7868" s="16"/>
      <c r="B7868" s="16"/>
      <c r="C7868" s="16"/>
      <c r="D7868" s="4" t="s">
        <v>754</v>
      </c>
      <c r="E7868" s="4" t="s">
        <v>755</v>
      </c>
    </row>
    <row r="7869" spans="1:5" ht="26" hidden="1" x14ac:dyDescent="0.15">
      <c r="A7869" s="1" t="s">
        <v>757</v>
      </c>
      <c r="B7869" s="2">
        <v>269037</v>
      </c>
      <c r="C7869" s="3">
        <v>0.18600000000000003</v>
      </c>
      <c r="D7869" s="4" t="s">
        <v>754</v>
      </c>
      <c r="E7869" s="4" t="s">
        <v>755</v>
      </c>
    </row>
    <row r="7870" spans="1:5" ht="26" hidden="1" x14ac:dyDescent="0.15">
      <c r="A7870" s="1" t="s">
        <v>431</v>
      </c>
      <c r="B7870" s="2">
        <v>631784</v>
      </c>
      <c r="C7870" s="3">
        <v>0.436</v>
      </c>
      <c r="D7870" s="4" t="s">
        <v>754</v>
      </c>
      <c r="E7870" s="4" t="s">
        <v>755</v>
      </c>
    </row>
    <row r="7871" spans="1:5" hidden="1" x14ac:dyDescent="0.15">
      <c r="A7871" s="4"/>
      <c r="B7871" s="4"/>
      <c r="C7871" s="4"/>
      <c r="D7871" s="4" t="s">
        <v>754</v>
      </c>
      <c r="E7871" s="4" t="s">
        <v>755</v>
      </c>
    </row>
    <row r="7872" spans="1:5" hidden="1" x14ac:dyDescent="0.15">
      <c r="A7872" s="16"/>
      <c r="B7872" s="16"/>
      <c r="C7872" s="16"/>
      <c r="D7872" s="4" t="s">
        <v>754</v>
      </c>
      <c r="E7872" s="4" t="s">
        <v>755</v>
      </c>
    </row>
    <row r="7873" spans="1:5" ht="26" hidden="1" x14ac:dyDescent="0.15">
      <c r="A7873" s="1" t="s">
        <v>758</v>
      </c>
      <c r="B7873" s="2">
        <v>155570</v>
      </c>
      <c r="C7873" s="3">
        <v>0.107</v>
      </c>
      <c r="D7873" s="4" t="s">
        <v>754</v>
      </c>
      <c r="E7873" s="4" t="s">
        <v>755</v>
      </c>
    </row>
    <row r="7874" spans="1:5" hidden="1" x14ac:dyDescent="0.15">
      <c r="A7874" s="4"/>
      <c r="B7874" s="4"/>
      <c r="C7874" s="4"/>
      <c r="D7874" s="4" t="s">
        <v>754</v>
      </c>
      <c r="E7874" s="4" t="s">
        <v>755</v>
      </c>
    </row>
    <row r="7875" spans="1:5" hidden="1" x14ac:dyDescent="0.15">
      <c r="A7875" s="16"/>
      <c r="B7875" s="16"/>
      <c r="C7875" s="16"/>
      <c r="D7875" s="4" t="s">
        <v>754</v>
      </c>
      <c r="E7875" s="4" t="s">
        <v>755</v>
      </c>
    </row>
    <row r="7876" spans="1:5" ht="26" hidden="1" x14ac:dyDescent="0.15">
      <c r="A7876" s="1" t="s">
        <v>759</v>
      </c>
      <c r="B7876" s="2">
        <v>111162</v>
      </c>
      <c r="C7876" s="3">
        <v>7.6999999999999999E-2</v>
      </c>
      <c r="D7876" s="4" t="s">
        <v>754</v>
      </c>
      <c r="E7876" s="4" t="s">
        <v>755</v>
      </c>
    </row>
    <row r="7877" spans="1:5" ht="26" hidden="1" x14ac:dyDescent="0.15">
      <c r="A7877" s="1" t="s">
        <v>760</v>
      </c>
      <c r="B7877" s="2">
        <v>205747</v>
      </c>
      <c r="C7877" s="3">
        <v>0.14199999999999999</v>
      </c>
      <c r="D7877" s="4" t="s">
        <v>754</v>
      </c>
      <c r="E7877" s="4" t="s">
        <v>755</v>
      </c>
    </row>
    <row r="7878" spans="1:5" ht="26" hidden="1" x14ac:dyDescent="0.15">
      <c r="A7878" s="1" t="s">
        <v>761</v>
      </c>
      <c r="B7878" s="2">
        <v>221894</v>
      </c>
      <c r="C7878" s="3">
        <v>0.153</v>
      </c>
      <c r="D7878" s="4" t="s">
        <v>754</v>
      </c>
      <c r="E7878" s="4" t="s">
        <v>755</v>
      </c>
    </row>
    <row r="7879" spans="1:5" ht="26" hidden="1" x14ac:dyDescent="0.15">
      <c r="A7879" s="1" t="s">
        <v>428</v>
      </c>
      <c r="B7879" s="2">
        <v>471392</v>
      </c>
      <c r="C7879" s="3">
        <v>0.32500000000000001</v>
      </c>
      <c r="D7879" s="4" t="s">
        <v>754</v>
      </c>
      <c r="E7879" s="4" t="s">
        <v>755</v>
      </c>
    </row>
    <row r="7880" spans="1:5" ht="26" hidden="1" x14ac:dyDescent="0.15">
      <c r="A7880" s="1" t="s">
        <v>429</v>
      </c>
      <c r="B7880" s="2">
        <v>945726</v>
      </c>
      <c r="C7880" s="3">
        <v>0.65200000000000002</v>
      </c>
      <c r="D7880" s="4" t="s">
        <v>754</v>
      </c>
      <c r="E7880" s="4" t="s">
        <v>755</v>
      </c>
    </row>
    <row r="7881" spans="1:5" hidden="1" x14ac:dyDescent="0.15">
      <c r="A7881" s="1" t="s">
        <v>0</v>
      </c>
      <c r="B7881" s="2">
        <v>2261829</v>
      </c>
      <c r="C7881" s="3">
        <v>1</v>
      </c>
      <c r="D7881" s="4" t="s">
        <v>762</v>
      </c>
      <c r="E7881" s="4" t="s">
        <v>763</v>
      </c>
    </row>
    <row r="7882" spans="1:5" ht="26" hidden="1" x14ac:dyDescent="0.15">
      <c r="A7882" s="1" t="s">
        <v>3</v>
      </c>
      <c r="B7882" s="2">
        <v>27495</v>
      </c>
      <c r="C7882" s="3">
        <v>1.2E-2</v>
      </c>
      <c r="D7882" s="4" t="s">
        <v>762</v>
      </c>
      <c r="E7882" s="4" t="s">
        <v>763</v>
      </c>
    </row>
    <row r="7883" spans="1:5" hidden="1" x14ac:dyDescent="0.15">
      <c r="A7883" s="1" t="s">
        <v>4</v>
      </c>
      <c r="B7883" s="2">
        <v>20392</v>
      </c>
      <c r="C7883" s="3">
        <v>9.0000000000000011E-3</v>
      </c>
      <c r="D7883" s="4" t="s">
        <v>762</v>
      </c>
      <c r="E7883" s="4" t="s">
        <v>763</v>
      </c>
    </row>
    <row r="7884" spans="1:5" ht="26" hidden="1" x14ac:dyDescent="0.15">
      <c r="A7884" s="1" t="s">
        <v>5</v>
      </c>
      <c r="B7884" s="2">
        <v>49287</v>
      </c>
      <c r="C7884" s="3">
        <v>2.2000000000000002E-2</v>
      </c>
      <c r="D7884" s="4" t="s">
        <v>762</v>
      </c>
      <c r="E7884" s="4" t="s">
        <v>763</v>
      </c>
    </row>
    <row r="7885" spans="1:5" ht="26" hidden="1" x14ac:dyDescent="0.15">
      <c r="A7885" s="1" t="s">
        <v>6</v>
      </c>
      <c r="B7885" s="2">
        <v>232502</v>
      </c>
      <c r="C7885" s="3">
        <v>0.10300000000000001</v>
      </c>
      <c r="D7885" s="4" t="s">
        <v>762</v>
      </c>
      <c r="E7885" s="4" t="s">
        <v>763</v>
      </c>
    </row>
    <row r="7886" spans="1:5" ht="26" hidden="1" x14ac:dyDescent="0.15">
      <c r="A7886" s="1" t="s">
        <v>7</v>
      </c>
      <c r="B7886" s="2">
        <v>288095</v>
      </c>
      <c r="C7886" s="3">
        <v>0.127</v>
      </c>
      <c r="D7886" s="4" t="s">
        <v>762</v>
      </c>
      <c r="E7886" s="4" t="s">
        <v>763</v>
      </c>
    </row>
    <row r="7887" spans="1:5" ht="26" hidden="1" x14ac:dyDescent="0.15">
      <c r="A7887" s="1" t="s">
        <v>8</v>
      </c>
      <c r="B7887" s="2">
        <v>22029</v>
      </c>
      <c r="C7887" s="3">
        <v>0.01</v>
      </c>
      <c r="D7887" s="4" t="s">
        <v>762</v>
      </c>
      <c r="E7887" s="4" t="s">
        <v>763</v>
      </c>
    </row>
    <row r="7888" spans="1:5" ht="26" hidden="1" x14ac:dyDescent="0.15">
      <c r="A7888" s="1" t="s">
        <v>9</v>
      </c>
      <c r="B7888" s="2">
        <v>47390</v>
      </c>
      <c r="C7888" s="3">
        <v>2.1000000000000001E-2</v>
      </c>
      <c r="D7888" s="4" t="s">
        <v>762</v>
      </c>
      <c r="E7888" s="4" t="s">
        <v>763</v>
      </c>
    </row>
    <row r="7889" spans="1:5" ht="26" hidden="1" x14ac:dyDescent="0.15">
      <c r="A7889" s="1" t="s">
        <v>10</v>
      </c>
      <c r="B7889" s="2">
        <v>25934</v>
      </c>
      <c r="C7889" s="3">
        <v>1.1000000000000001E-2</v>
      </c>
      <c r="D7889" s="4" t="s">
        <v>762</v>
      </c>
      <c r="E7889" s="4" t="s">
        <v>763</v>
      </c>
    </row>
    <row r="7890" spans="1:5" ht="26" hidden="1" x14ac:dyDescent="0.15">
      <c r="A7890" s="1" t="s">
        <v>11</v>
      </c>
      <c r="B7890" s="2">
        <v>125041</v>
      </c>
      <c r="C7890" s="3">
        <v>5.5E-2</v>
      </c>
      <c r="D7890" s="4" t="s">
        <v>762</v>
      </c>
      <c r="E7890" s="4" t="s">
        <v>763</v>
      </c>
    </row>
    <row r="7891" spans="1:5" ht="26" hidden="1" x14ac:dyDescent="0.15">
      <c r="A7891" s="1" t="s">
        <v>12</v>
      </c>
      <c r="B7891" s="2">
        <v>21807</v>
      </c>
      <c r="C7891" s="3">
        <v>0.01</v>
      </c>
      <c r="D7891" s="4" t="s">
        <v>762</v>
      </c>
      <c r="E7891" s="4" t="s">
        <v>763</v>
      </c>
    </row>
    <row r="7892" spans="1:5" ht="26" hidden="1" x14ac:dyDescent="0.15">
      <c r="A7892" s="1" t="s">
        <v>13</v>
      </c>
      <c r="B7892" s="2">
        <v>10964</v>
      </c>
      <c r="C7892" s="3">
        <v>5.0000000000000001E-3</v>
      </c>
      <c r="D7892" s="4" t="s">
        <v>762</v>
      </c>
      <c r="E7892" s="4" t="s">
        <v>763</v>
      </c>
    </row>
    <row r="7893" spans="1:5" hidden="1" x14ac:dyDescent="0.15">
      <c r="A7893" s="1" t="s">
        <v>14</v>
      </c>
      <c r="B7893" s="2">
        <v>140690</v>
      </c>
      <c r="C7893" s="3">
        <v>6.2E-2</v>
      </c>
      <c r="D7893" s="4" t="s">
        <v>762</v>
      </c>
      <c r="E7893" s="4" t="s">
        <v>763</v>
      </c>
    </row>
    <row r="7894" spans="1:5" ht="26" hidden="1" x14ac:dyDescent="0.15">
      <c r="A7894" s="1" t="s">
        <v>15</v>
      </c>
      <c r="B7894" s="2">
        <v>65674</v>
      </c>
      <c r="C7894" s="3">
        <v>2.8999999999999998E-2</v>
      </c>
      <c r="D7894" s="4" t="s">
        <v>762</v>
      </c>
      <c r="E7894" s="4" t="s">
        <v>763</v>
      </c>
    </row>
    <row r="7895" spans="1:5" ht="26" hidden="1" x14ac:dyDescent="0.15">
      <c r="A7895" s="1" t="s">
        <v>16</v>
      </c>
      <c r="B7895" s="2">
        <v>109048</v>
      </c>
      <c r="C7895" s="3">
        <v>4.8000000000000001E-2</v>
      </c>
      <c r="D7895" s="4" t="s">
        <v>762</v>
      </c>
      <c r="E7895" s="4" t="s">
        <v>763</v>
      </c>
    </row>
    <row r="7896" spans="1:5" ht="26" hidden="1" x14ac:dyDescent="0.15">
      <c r="A7896" s="1" t="s">
        <v>17</v>
      </c>
      <c r="B7896" s="2">
        <v>37123</v>
      </c>
      <c r="C7896" s="3">
        <v>1.6E-2</v>
      </c>
      <c r="D7896" s="4" t="s">
        <v>762</v>
      </c>
      <c r="E7896" s="4" t="s">
        <v>763</v>
      </c>
    </row>
    <row r="7897" spans="1:5" hidden="1" x14ac:dyDescent="0.15">
      <c r="A7897" s="1" t="s">
        <v>18</v>
      </c>
      <c r="B7897" s="2">
        <v>35223</v>
      </c>
      <c r="C7897" s="3">
        <v>1.6E-2</v>
      </c>
      <c r="D7897" s="4" t="s">
        <v>762</v>
      </c>
      <c r="E7897" s="4" t="s">
        <v>763</v>
      </c>
    </row>
    <row r="7898" spans="1:5" hidden="1" x14ac:dyDescent="0.15">
      <c r="A7898" s="1" t="s">
        <v>19</v>
      </c>
      <c r="B7898" s="2">
        <v>403697</v>
      </c>
      <c r="C7898" s="3">
        <v>0.17800000000000002</v>
      </c>
      <c r="D7898" s="4" t="s">
        <v>762</v>
      </c>
      <c r="E7898" s="4" t="s">
        <v>763</v>
      </c>
    </row>
    <row r="7899" spans="1:5" hidden="1" x14ac:dyDescent="0.15">
      <c r="A7899" s="1" t="s">
        <v>20</v>
      </c>
      <c r="B7899" s="2">
        <v>55800</v>
      </c>
      <c r="C7899" s="3">
        <v>2.5000000000000001E-2</v>
      </c>
      <c r="D7899" s="4" t="s">
        <v>762</v>
      </c>
      <c r="E7899" s="4" t="s">
        <v>763</v>
      </c>
    </row>
    <row r="7900" spans="1:5" ht="26" hidden="1" x14ac:dyDescent="0.15">
      <c r="A7900" s="1" t="s">
        <v>21</v>
      </c>
      <c r="B7900" s="2">
        <v>64955</v>
      </c>
      <c r="C7900" s="3">
        <v>2.8999999999999998E-2</v>
      </c>
      <c r="D7900" s="4" t="s">
        <v>762</v>
      </c>
      <c r="E7900" s="4" t="s">
        <v>763</v>
      </c>
    </row>
    <row r="7901" spans="1:5" ht="26" hidden="1" x14ac:dyDescent="0.15">
      <c r="A7901" s="1" t="s">
        <v>22</v>
      </c>
      <c r="B7901" s="2">
        <v>22577</v>
      </c>
      <c r="C7901" s="3">
        <v>0.01</v>
      </c>
      <c r="D7901" s="4" t="s">
        <v>762</v>
      </c>
      <c r="E7901" s="4" t="s">
        <v>763</v>
      </c>
    </row>
    <row r="7902" spans="1:5" ht="26" hidden="1" x14ac:dyDescent="0.15">
      <c r="A7902" s="1" t="s">
        <v>23</v>
      </c>
      <c r="B7902" s="2">
        <v>31712</v>
      </c>
      <c r="C7902" s="3">
        <v>1.3999999999999999E-2</v>
      </c>
      <c r="D7902" s="4" t="s">
        <v>762</v>
      </c>
      <c r="E7902" s="4" t="s">
        <v>763</v>
      </c>
    </row>
    <row r="7903" spans="1:5" ht="26" hidden="1" x14ac:dyDescent="0.15">
      <c r="A7903" s="1" t="s">
        <v>24</v>
      </c>
      <c r="B7903" s="2">
        <v>1812</v>
      </c>
      <c r="C7903" s="3">
        <v>1E-3</v>
      </c>
      <c r="D7903" s="4" t="s">
        <v>762</v>
      </c>
      <c r="E7903" s="4" t="s">
        <v>763</v>
      </c>
    </row>
    <row r="7904" spans="1:5" ht="26" hidden="1" x14ac:dyDescent="0.15">
      <c r="A7904" s="1" t="s">
        <v>25</v>
      </c>
      <c r="B7904" s="2">
        <v>32359</v>
      </c>
      <c r="C7904" s="3">
        <v>1.3999999999999999E-2</v>
      </c>
      <c r="D7904" s="4" t="s">
        <v>762</v>
      </c>
      <c r="E7904" s="4" t="s">
        <v>763</v>
      </c>
    </row>
    <row r="7905" spans="1:5" hidden="1" x14ac:dyDescent="0.15">
      <c r="A7905" s="1" t="s">
        <v>26</v>
      </c>
      <c r="B7905" s="2">
        <v>27547</v>
      </c>
      <c r="C7905" s="3">
        <v>1.2E-2</v>
      </c>
      <c r="D7905" s="4" t="s">
        <v>762</v>
      </c>
      <c r="E7905" s="4" t="s">
        <v>763</v>
      </c>
    </row>
    <row r="7906" spans="1:5" hidden="1" x14ac:dyDescent="0.15">
      <c r="A7906" s="1" t="s">
        <v>27</v>
      </c>
      <c r="B7906" s="2">
        <v>164358</v>
      </c>
      <c r="C7906" s="3">
        <v>7.2999999999999995E-2</v>
      </c>
      <c r="D7906" s="4" t="s">
        <v>762</v>
      </c>
      <c r="E7906" s="4" t="s">
        <v>763</v>
      </c>
    </row>
    <row r="7907" spans="1:5" hidden="1" x14ac:dyDescent="0.15">
      <c r="A7907" s="1" t="s">
        <v>28</v>
      </c>
      <c r="B7907" s="2">
        <v>202944</v>
      </c>
      <c r="C7907" s="3">
        <v>0.09</v>
      </c>
      <c r="D7907" s="4" t="s">
        <v>762</v>
      </c>
      <c r="E7907" s="4" t="s">
        <v>763</v>
      </c>
    </row>
    <row r="7908" spans="1:5" hidden="1" x14ac:dyDescent="0.15">
      <c r="A7908" s="1" t="s">
        <v>29</v>
      </c>
      <c r="B7908" s="2">
        <v>1038743</v>
      </c>
      <c r="C7908" s="3">
        <v>0.45899999999999996</v>
      </c>
      <c r="D7908" s="4" t="s">
        <v>762</v>
      </c>
      <c r="E7908" s="4" t="s">
        <v>763</v>
      </c>
    </row>
    <row r="7909" spans="1:5" hidden="1" x14ac:dyDescent="0.15">
      <c r="A7909" s="1" t="s">
        <v>30</v>
      </c>
      <c r="B7909" s="2">
        <v>88266</v>
      </c>
      <c r="C7909" s="3">
        <v>3.9E-2</v>
      </c>
      <c r="D7909" s="4" t="s">
        <v>762</v>
      </c>
      <c r="E7909" s="4" t="s">
        <v>763</v>
      </c>
    </row>
    <row r="7910" spans="1:5" ht="39" hidden="1" x14ac:dyDescent="0.15">
      <c r="A7910" s="1" t="s">
        <v>31</v>
      </c>
      <c r="B7910" s="2">
        <v>14767</v>
      </c>
      <c r="C7910" s="3">
        <v>6.9999999999999993E-3</v>
      </c>
      <c r="D7910" s="4" t="s">
        <v>762</v>
      </c>
      <c r="E7910" s="4" t="s">
        <v>763</v>
      </c>
    </row>
    <row r="7911" spans="1:5" hidden="1" x14ac:dyDescent="0.15">
      <c r="A7911" s="1" t="s">
        <v>32</v>
      </c>
      <c r="B7911" s="2">
        <v>66840</v>
      </c>
      <c r="C7911" s="3">
        <v>0.03</v>
      </c>
      <c r="D7911" s="4" t="s">
        <v>762</v>
      </c>
      <c r="E7911" s="4" t="s">
        <v>763</v>
      </c>
    </row>
    <row r="7912" spans="1:5" hidden="1" x14ac:dyDescent="0.15">
      <c r="A7912" s="1" t="s">
        <v>33</v>
      </c>
      <c r="B7912" s="2">
        <v>655700</v>
      </c>
      <c r="C7912" s="3">
        <v>0.28999999999999998</v>
      </c>
      <c r="D7912" s="4" t="s">
        <v>762</v>
      </c>
      <c r="E7912" s="4" t="s">
        <v>763</v>
      </c>
    </row>
    <row r="7913" spans="1:5" hidden="1" x14ac:dyDescent="0.15">
      <c r="A7913" s="1" t="s">
        <v>34</v>
      </c>
      <c r="B7913" s="2">
        <v>189827</v>
      </c>
      <c r="C7913" s="3">
        <v>8.4000000000000005E-2</v>
      </c>
      <c r="D7913" s="4" t="s">
        <v>762</v>
      </c>
      <c r="E7913" s="4" t="s">
        <v>763</v>
      </c>
    </row>
    <row r="7914" spans="1:5" hidden="1" x14ac:dyDescent="0.15">
      <c r="A7914" s="1" t="s">
        <v>35</v>
      </c>
      <c r="B7914" s="2">
        <v>125489</v>
      </c>
      <c r="C7914" s="3">
        <v>5.5E-2</v>
      </c>
      <c r="D7914" s="4" t="s">
        <v>762</v>
      </c>
      <c r="E7914" s="4" t="s">
        <v>763</v>
      </c>
    </row>
    <row r="7915" spans="1:5" ht="26" hidden="1" x14ac:dyDescent="0.15">
      <c r="A7915" s="1" t="s">
        <v>36</v>
      </c>
      <c r="B7915" s="2">
        <v>28222</v>
      </c>
      <c r="C7915" s="3">
        <v>1.2E-2</v>
      </c>
      <c r="D7915" s="4" t="s">
        <v>762</v>
      </c>
      <c r="E7915" s="4" t="s">
        <v>763</v>
      </c>
    </row>
    <row r="7916" spans="1:5" hidden="1" x14ac:dyDescent="0.15">
      <c r="A7916" s="1" t="s">
        <v>37</v>
      </c>
      <c r="B7916" s="2">
        <v>19232</v>
      </c>
      <c r="C7916" s="3">
        <v>9.0000000000000011E-3</v>
      </c>
      <c r="D7916" s="4" t="s">
        <v>762</v>
      </c>
      <c r="E7916" s="4" t="s">
        <v>763</v>
      </c>
    </row>
    <row r="7917" spans="1:5" ht="39" hidden="1" x14ac:dyDescent="0.15">
      <c r="A7917" s="1" t="s">
        <v>38</v>
      </c>
      <c r="B7917" s="2">
        <v>35751</v>
      </c>
      <c r="C7917" s="3">
        <v>1.6E-2</v>
      </c>
      <c r="D7917" s="4" t="s">
        <v>762</v>
      </c>
      <c r="E7917" s="4" t="s">
        <v>763</v>
      </c>
    </row>
    <row r="7918" spans="1:5" hidden="1" x14ac:dyDescent="0.15">
      <c r="A7918" s="1" t="s">
        <v>39</v>
      </c>
      <c r="B7918" s="2">
        <v>76457</v>
      </c>
      <c r="C7918" s="3">
        <v>3.4000000000000002E-2</v>
      </c>
      <c r="D7918" s="4" t="s">
        <v>762</v>
      </c>
      <c r="E7918" s="4" t="s">
        <v>763</v>
      </c>
    </row>
    <row r="7919" spans="1:5" hidden="1" x14ac:dyDescent="0.15">
      <c r="A7919" s="1" t="s">
        <v>40</v>
      </c>
      <c r="B7919" s="2">
        <v>29591</v>
      </c>
      <c r="C7919" s="3">
        <v>1.3000000000000001E-2</v>
      </c>
      <c r="D7919" s="4" t="s">
        <v>762</v>
      </c>
      <c r="E7919" s="4" t="s">
        <v>763</v>
      </c>
    </row>
    <row r="7920" spans="1:5" hidden="1" x14ac:dyDescent="0.15">
      <c r="A7920" s="1" t="s">
        <v>41</v>
      </c>
      <c r="B7920" s="2">
        <v>85194</v>
      </c>
      <c r="C7920" s="3">
        <v>3.7999999999999999E-2</v>
      </c>
      <c r="D7920" s="4" t="s">
        <v>762</v>
      </c>
      <c r="E7920" s="4" t="s">
        <v>763</v>
      </c>
    </row>
    <row r="7921" spans="1:5" hidden="1" x14ac:dyDescent="0.15">
      <c r="A7921" s="1" t="s">
        <v>42</v>
      </c>
      <c r="B7921" s="2">
        <v>70976</v>
      </c>
      <c r="C7921" s="3">
        <v>3.1E-2</v>
      </c>
      <c r="D7921" s="4" t="s">
        <v>762</v>
      </c>
      <c r="E7921" s="4" t="s">
        <v>763</v>
      </c>
    </row>
    <row r="7922" spans="1:5" hidden="1" x14ac:dyDescent="0.15">
      <c r="A7922" s="1" t="s">
        <v>43</v>
      </c>
      <c r="B7922" s="2">
        <v>192276</v>
      </c>
      <c r="C7922" s="3">
        <v>8.5000000000000006E-2</v>
      </c>
      <c r="D7922" s="4" t="s">
        <v>762</v>
      </c>
      <c r="E7922" s="4" t="s">
        <v>763</v>
      </c>
    </row>
    <row r="7923" spans="1:5" ht="26" hidden="1" x14ac:dyDescent="0.15">
      <c r="A7923" s="1" t="s">
        <v>44</v>
      </c>
      <c r="B7923" s="2">
        <v>241360</v>
      </c>
      <c r="C7923" s="3">
        <v>0.107</v>
      </c>
      <c r="D7923" s="4" t="s">
        <v>762</v>
      </c>
      <c r="E7923" s="4" t="s">
        <v>763</v>
      </c>
    </row>
    <row r="7924" spans="1:5" hidden="1" x14ac:dyDescent="0.15">
      <c r="A7924" s="1" t="s">
        <v>45</v>
      </c>
      <c r="B7924" s="2">
        <v>333824</v>
      </c>
      <c r="C7924" s="3">
        <v>0.14800000000000002</v>
      </c>
      <c r="D7924" s="4" t="s">
        <v>762</v>
      </c>
      <c r="E7924" s="4" t="s">
        <v>763</v>
      </c>
    </row>
    <row r="7925" spans="1:5" ht="26" hidden="1" x14ac:dyDescent="0.15">
      <c r="A7925" s="1" t="s">
        <v>46</v>
      </c>
      <c r="B7925" s="2">
        <v>761820</v>
      </c>
      <c r="C7925" s="3">
        <v>0.33700000000000002</v>
      </c>
      <c r="D7925" s="4" t="s">
        <v>762</v>
      </c>
      <c r="E7925" s="4" t="s">
        <v>763</v>
      </c>
    </row>
    <row r="7926" spans="1:5" hidden="1" x14ac:dyDescent="0.15">
      <c r="A7926" s="1" t="s">
        <v>47</v>
      </c>
      <c r="B7926" s="2">
        <v>881891</v>
      </c>
      <c r="C7926" s="3">
        <v>0.39</v>
      </c>
      <c r="D7926" s="4" t="s">
        <v>762</v>
      </c>
      <c r="E7926" s="4" t="s">
        <v>763</v>
      </c>
    </row>
    <row r="7927" spans="1:5" hidden="1" x14ac:dyDescent="0.15">
      <c r="A7927" s="1" t="s">
        <v>48</v>
      </c>
      <c r="B7927" s="2">
        <v>199916</v>
      </c>
      <c r="C7927" s="3">
        <v>8.8000000000000009E-2</v>
      </c>
      <c r="D7927" s="4" t="s">
        <v>762</v>
      </c>
      <c r="E7927" s="4" t="s">
        <v>763</v>
      </c>
    </row>
    <row r="7928" spans="1:5" hidden="1" x14ac:dyDescent="0.15">
      <c r="A7928" s="1" t="s">
        <v>49</v>
      </c>
      <c r="B7928" s="2">
        <v>265775</v>
      </c>
      <c r="C7928" s="3">
        <v>0.11800000000000001</v>
      </c>
      <c r="D7928" s="4" t="s">
        <v>762</v>
      </c>
      <c r="E7928" s="4" t="s">
        <v>763</v>
      </c>
    </row>
    <row r="7929" spans="1:5" ht="26" hidden="1" x14ac:dyDescent="0.15">
      <c r="A7929" s="1" t="s">
        <v>50</v>
      </c>
      <c r="B7929" s="2">
        <v>329885</v>
      </c>
      <c r="C7929" s="3">
        <v>0.14599999999999999</v>
      </c>
      <c r="D7929" s="4" t="s">
        <v>762</v>
      </c>
      <c r="E7929" s="4" t="s">
        <v>763</v>
      </c>
    </row>
    <row r="7930" spans="1:5" hidden="1" x14ac:dyDescent="0.15">
      <c r="A7930" s="1" t="s">
        <v>51</v>
      </c>
      <c r="B7930" s="2">
        <v>745855</v>
      </c>
      <c r="C7930" s="3">
        <v>0.33</v>
      </c>
      <c r="D7930" s="4" t="s">
        <v>762</v>
      </c>
      <c r="E7930" s="4" t="s">
        <v>763</v>
      </c>
    </row>
    <row r="7931" spans="1:5" hidden="1" x14ac:dyDescent="0.15">
      <c r="A7931" s="1" t="s">
        <v>52</v>
      </c>
      <c r="B7931" s="2">
        <v>240083</v>
      </c>
      <c r="C7931" s="3">
        <v>0.106</v>
      </c>
      <c r="D7931" s="4" t="s">
        <v>762</v>
      </c>
      <c r="E7931" s="4" t="s">
        <v>763</v>
      </c>
    </row>
    <row r="7932" spans="1:5" ht="26" hidden="1" x14ac:dyDescent="0.15">
      <c r="A7932" s="1" t="s">
        <v>53</v>
      </c>
      <c r="B7932" s="2">
        <v>194252</v>
      </c>
      <c r="C7932" s="3">
        <v>8.5999999999999993E-2</v>
      </c>
      <c r="D7932" s="4" t="s">
        <v>762</v>
      </c>
      <c r="E7932" s="4" t="s">
        <v>763</v>
      </c>
    </row>
    <row r="7933" spans="1:5" hidden="1" x14ac:dyDescent="0.15">
      <c r="A7933" s="1" t="s">
        <v>54</v>
      </c>
      <c r="B7933" s="2">
        <v>822991</v>
      </c>
      <c r="C7933" s="3">
        <v>0.36399999999999999</v>
      </c>
      <c r="D7933" s="4" t="s">
        <v>762</v>
      </c>
      <c r="E7933" s="4" t="s">
        <v>763</v>
      </c>
    </row>
    <row r="7934" spans="1:5" ht="26" hidden="1" x14ac:dyDescent="0.15">
      <c r="A7934" s="1" t="s">
        <v>55</v>
      </c>
      <c r="B7934" s="2">
        <v>519607</v>
      </c>
      <c r="C7934" s="3">
        <v>0.23</v>
      </c>
      <c r="D7934" s="4" t="s">
        <v>762</v>
      </c>
      <c r="E7934" s="4" t="s">
        <v>763</v>
      </c>
    </row>
    <row r="7935" spans="1:5" hidden="1" x14ac:dyDescent="0.15">
      <c r="A7935" s="1" t="s">
        <v>56</v>
      </c>
      <c r="B7935" s="2">
        <v>652907</v>
      </c>
      <c r="C7935" s="3">
        <v>0.28899999999999998</v>
      </c>
      <c r="D7935" s="4" t="s">
        <v>762</v>
      </c>
      <c r="E7935" s="4" t="s">
        <v>763</v>
      </c>
    </row>
    <row r="7936" spans="1:5" hidden="1" x14ac:dyDescent="0.15">
      <c r="A7936" s="1" t="s">
        <v>57</v>
      </c>
      <c r="B7936" s="2">
        <v>295202</v>
      </c>
      <c r="C7936" s="3">
        <v>0.13100000000000001</v>
      </c>
      <c r="D7936" s="4" t="s">
        <v>762</v>
      </c>
      <c r="E7936" s="4" t="s">
        <v>763</v>
      </c>
    </row>
    <row r="7937" spans="1:5" hidden="1" x14ac:dyDescent="0.15">
      <c r="A7937" s="1" t="s">
        <v>58</v>
      </c>
      <c r="B7937" s="2">
        <v>346815</v>
      </c>
      <c r="C7937" s="3">
        <v>0.153</v>
      </c>
      <c r="D7937" s="4" t="s">
        <v>762</v>
      </c>
      <c r="E7937" s="4" t="s">
        <v>763</v>
      </c>
    </row>
    <row r="7938" spans="1:5" hidden="1" x14ac:dyDescent="0.15">
      <c r="A7938" s="1" t="s">
        <v>59</v>
      </c>
      <c r="B7938" s="2">
        <v>1287786</v>
      </c>
      <c r="C7938" s="3">
        <v>0.56899999999999995</v>
      </c>
      <c r="D7938" s="4" t="s">
        <v>762</v>
      </c>
      <c r="E7938" s="4" t="s">
        <v>763</v>
      </c>
    </row>
    <row r="7939" spans="1:5" hidden="1" x14ac:dyDescent="0.15">
      <c r="A7939" s="1" t="s">
        <v>60</v>
      </c>
      <c r="B7939" s="2">
        <v>340327</v>
      </c>
      <c r="C7939" s="3">
        <v>0.15</v>
      </c>
      <c r="D7939" s="4" t="s">
        <v>762</v>
      </c>
      <c r="E7939" s="4" t="s">
        <v>763</v>
      </c>
    </row>
    <row r="7940" spans="1:5" ht="26" hidden="1" x14ac:dyDescent="0.15">
      <c r="A7940" s="1" t="s">
        <v>61</v>
      </c>
      <c r="B7940" s="2">
        <v>445136</v>
      </c>
      <c r="C7940" s="3">
        <v>0.19699999999999998</v>
      </c>
      <c r="D7940" s="4" t="s">
        <v>762</v>
      </c>
      <c r="E7940" s="4" t="s">
        <v>763</v>
      </c>
    </row>
    <row r="7941" spans="1:5" hidden="1" x14ac:dyDescent="0.15">
      <c r="A7941" s="1" t="s">
        <v>62</v>
      </c>
      <c r="B7941" s="2">
        <v>156117</v>
      </c>
      <c r="C7941" s="3">
        <v>6.9000000000000006E-2</v>
      </c>
      <c r="D7941" s="4" t="s">
        <v>762</v>
      </c>
      <c r="E7941" s="4" t="s">
        <v>763</v>
      </c>
    </row>
    <row r="7942" spans="1:5" ht="26" hidden="1" x14ac:dyDescent="0.15">
      <c r="A7942" s="1" t="s">
        <v>63</v>
      </c>
      <c r="B7942" s="2">
        <v>372558</v>
      </c>
      <c r="C7942" s="3">
        <v>0.16500000000000001</v>
      </c>
      <c r="D7942" s="4" t="s">
        <v>762</v>
      </c>
      <c r="E7942" s="4" t="s">
        <v>763</v>
      </c>
    </row>
    <row r="7943" spans="1:5" ht="26" hidden="1" x14ac:dyDescent="0.15">
      <c r="A7943" s="1" t="s">
        <v>64</v>
      </c>
      <c r="B7943" s="2">
        <v>113623</v>
      </c>
      <c r="C7943" s="3">
        <v>0.05</v>
      </c>
      <c r="D7943" s="4" t="s">
        <v>762</v>
      </c>
      <c r="E7943" s="4" t="s">
        <v>763</v>
      </c>
    </row>
    <row r="7944" spans="1:5" hidden="1" x14ac:dyDescent="0.15">
      <c r="A7944" s="1" t="s">
        <v>65</v>
      </c>
      <c r="B7944" s="2">
        <v>289590</v>
      </c>
      <c r="C7944" s="3">
        <v>0.128</v>
      </c>
      <c r="D7944" s="4" t="s">
        <v>762</v>
      </c>
      <c r="E7944" s="4" t="s">
        <v>763</v>
      </c>
    </row>
    <row r="7945" spans="1:5" hidden="1" x14ac:dyDescent="0.15">
      <c r="A7945" s="1" t="s">
        <v>66</v>
      </c>
      <c r="B7945" s="2">
        <v>193784</v>
      </c>
      <c r="C7945" s="3">
        <v>8.5999999999999993E-2</v>
      </c>
      <c r="D7945" s="4" t="s">
        <v>762</v>
      </c>
      <c r="E7945" s="4" t="s">
        <v>763</v>
      </c>
    </row>
    <row r="7946" spans="1:5" hidden="1" x14ac:dyDescent="0.15">
      <c r="A7946" s="1" t="s">
        <v>67</v>
      </c>
      <c r="B7946" s="2">
        <v>520592</v>
      </c>
      <c r="C7946" s="3">
        <v>0.23</v>
      </c>
      <c r="D7946" s="4" t="s">
        <v>762</v>
      </c>
      <c r="E7946" s="4" t="s">
        <v>763</v>
      </c>
    </row>
    <row r="7947" spans="1:5" hidden="1" x14ac:dyDescent="0.15">
      <c r="A7947" s="1" t="s">
        <v>68</v>
      </c>
      <c r="B7947" s="2">
        <v>675581</v>
      </c>
      <c r="C7947" s="3">
        <v>0.29899999999999999</v>
      </c>
      <c r="D7947" s="4" t="s">
        <v>762</v>
      </c>
      <c r="E7947" s="4" t="s">
        <v>763</v>
      </c>
    </row>
    <row r="7948" spans="1:5" hidden="1" x14ac:dyDescent="0.15">
      <c r="A7948" s="1" t="s">
        <v>69</v>
      </c>
      <c r="B7948" s="2">
        <v>1671539</v>
      </c>
      <c r="C7948" s="3">
        <v>0.7390000000000001</v>
      </c>
      <c r="D7948" s="4" t="s">
        <v>762</v>
      </c>
      <c r="E7948" s="4" t="s">
        <v>763</v>
      </c>
    </row>
    <row r="7949" spans="1:5" hidden="1" x14ac:dyDescent="0.15">
      <c r="A7949" s="1" t="s">
        <v>70</v>
      </c>
      <c r="B7949" s="2">
        <v>591087</v>
      </c>
      <c r="C7949" s="3">
        <v>0.26100000000000001</v>
      </c>
      <c r="D7949" s="4" t="s">
        <v>762</v>
      </c>
      <c r="E7949" s="4" t="s">
        <v>763</v>
      </c>
    </row>
    <row r="7950" spans="1:5" ht="26" hidden="1" x14ac:dyDescent="0.15">
      <c r="A7950" s="1" t="s">
        <v>71</v>
      </c>
      <c r="B7950" s="2">
        <v>127930</v>
      </c>
      <c r="C7950" s="3">
        <v>5.7000000000000002E-2</v>
      </c>
      <c r="D7950" s="4" t="s">
        <v>762</v>
      </c>
      <c r="E7950" s="4" t="s">
        <v>763</v>
      </c>
    </row>
    <row r="7951" spans="1:5" hidden="1" x14ac:dyDescent="0.15">
      <c r="A7951" s="1" t="s">
        <v>72</v>
      </c>
      <c r="B7951" s="2">
        <v>260278</v>
      </c>
      <c r="C7951" s="3">
        <v>0.115</v>
      </c>
      <c r="D7951" s="4" t="s">
        <v>762</v>
      </c>
      <c r="E7951" s="4" t="s">
        <v>763</v>
      </c>
    </row>
    <row r="7952" spans="1:5" hidden="1" x14ac:dyDescent="0.15">
      <c r="A7952" s="1" t="s">
        <v>73</v>
      </c>
      <c r="B7952" s="2">
        <v>1424782</v>
      </c>
      <c r="C7952" s="3">
        <v>0.63</v>
      </c>
      <c r="D7952" s="4" t="s">
        <v>762</v>
      </c>
      <c r="E7952" s="4" t="s">
        <v>763</v>
      </c>
    </row>
    <row r="7953" spans="1:5" hidden="1" x14ac:dyDescent="0.15">
      <c r="A7953" s="1" t="s">
        <v>74</v>
      </c>
      <c r="B7953" s="2">
        <v>619674</v>
      </c>
      <c r="C7953" s="3">
        <v>0.27399999999999997</v>
      </c>
      <c r="D7953" s="4" t="s">
        <v>762</v>
      </c>
      <c r="E7953" s="4" t="s">
        <v>763</v>
      </c>
    </row>
    <row r="7954" spans="1:5" hidden="1" x14ac:dyDescent="0.15">
      <c r="A7954" s="1" t="s">
        <v>75</v>
      </c>
      <c r="B7954" s="2">
        <v>485536</v>
      </c>
      <c r="C7954" s="3">
        <v>0.215</v>
      </c>
      <c r="D7954" s="4" t="s">
        <v>762</v>
      </c>
      <c r="E7954" s="4" t="s">
        <v>763</v>
      </c>
    </row>
    <row r="7955" spans="1:5" hidden="1" x14ac:dyDescent="0.15">
      <c r="A7955" s="1" t="s">
        <v>76</v>
      </c>
      <c r="B7955" s="2">
        <v>269315</v>
      </c>
      <c r="C7955" s="3">
        <v>0.11900000000000001</v>
      </c>
      <c r="D7955" s="4" t="s">
        <v>762</v>
      </c>
      <c r="E7955" s="4" t="s">
        <v>763</v>
      </c>
    </row>
    <row r="7956" spans="1:5" hidden="1" x14ac:dyDescent="0.15">
      <c r="A7956" s="1" t="s">
        <v>77</v>
      </c>
      <c r="B7956" s="2">
        <v>187329</v>
      </c>
      <c r="C7956" s="3">
        <v>8.3000000000000004E-2</v>
      </c>
      <c r="D7956" s="4" t="s">
        <v>762</v>
      </c>
      <c r="E7956" s="4" t="s">
        <v>763</v>
      </c>
    </row>
    <row r="7957" spans="1:5" ht="26" hidden="1" x14ac:dyDescent="0.15">
      <c r="A7957" s="1" t="s">
        <v>78</v>
      </c>
      <c r="B7957" s="2">
        <v>223341</v>
      </c>
      <c r="C7957" s="3">
        <v>9.9000000000000005E-2</v>
      </c>
      <c r="D7957" s="4" t="s">
        <v>762</v>
      </c>
      <c r="E7957" s="4" t="s">
        <v>763</v>
      </c>
    </row>
    <row r="7958" spans="1:5" hidden="1" x14ac:dyDescent="0.15">
      <c r="A7958" s="1" t="s">
        <v>79</v>
      </c>
      <c r="B7958" s="2">
        <v>385807</v>
      </c>
      <c r="C7958" s="3">
        <v>0.17100000000000001</v>
      </c>
      <c r="D7958" s="4" t="s">
        <v>762</v>
      </c>
      <c r="E7958" s="4" t="s">
        <v>763</v>
      </c>
    </row>
    <row r="7959" spans="1:5" hidden="1" x14ac:dyDescent="0.15">
      <c r="A7959" s="1" t="s">
        <v>80</v>
      </c>
      <c r="B7959" s="2">
        <v>296649</v>
      </c>
      <c r="C7959" s="3">
        <v>0.13100000000000001</v>
      </c>
      <c r="D7959" s="4" t="s">
        <v>762</v>
      </c>
      <c r="E7959" s="4" t="s">
        <v>763</v>
      </c>
    </row>
    <row r="7960" spans="1:5" ht="26" hidden="1" x14ac:dyDescent="0.15">
      <c r="A7960" s="1" t="s">
        <v>81</v>
      </c>
      <c r="B7960" s="2">
        <v>535405</v>
      </c>
      <c r="C7960" s="3">
        <v>0.23699999999999999</v>
      </c>
      <c r="D7960" s="4" t="s">
        <v>762</v>
      </c>
      <c r="E7960" s="4" t="s">
        <v>763</v>
      </c>
    </row>
    <row r="7961" spans="1:5" hidden="1" x14ac:dyDescent="0.15">
      <c r="A7961" s="1" t="s">
        <v>82</v>
      </c>
      <c r="B7961" s="2">
        <v>336713</v>
      </c>
      <c r="C7961" s="3">
        <v>0.14899999999999999</v>
      </c>
      <c r="D7961" s="4" t="s">
        <v>762</v>
      </c>
      <c r="E7961" s="4" t="s">
        <v>763</v>
      </c>
    </row>
    <row r="7962" spans="1:5" hidden="1" x14ac:dyDescent="0.15">
      <c r="A7962" s="4"/>
      <c r="B7962" s="4"/>
      <c r="C7962" s="4"/>
      <c r="D7962" s="4" t="s">
        <v>762</v>
      </c>
      <c r="E7962" s="4" t="s">
        <v>763</v>
      </c>
    </row>
    <row r="7963" spans="1:5" hidden="1" x14ac:dyDescent="0.15">
      <c r="A7963" s="16"/>
      <c r="B7963" s="16"/>
      <c r="C7963" s="16"/>
      <c r="D7963" s="4" t="s">
        <v>762</v>
      </c>
      <c r="E7963" s="4" t="s">
        <v>763</v>
      </c>
    </row>
    <row r="7964" spans="1:5" ht="26" hidden="1" x14ac:dyDescent="0.15">
      <c r="A7964" s="1" t="s">
        <v>309</v>
      </c>
      <c r="B7964" s="2">
        <v>1305414</v>
      </c>
      <c r="C7964" s="3">
        <v>0.57700000000000007</v>
      </c>
      <c r="D7964" s="4" t="s">
        <v>762</v>
      </c>
      <c r="E7964" s="4" t="s">
        <v>763</v>
      </c>
    </row>
    <row r="7965" spans="1:5" ht="26" hidden="1" x14ac:dyDescent="0.15">
      <c r="A7965" s="1" t="s">
        <v>136</v>
      </c>
      <c r="B7965" s="2">
        <v>395438</v>
      </c>
      <c r="C7965" s="3">
        <v>0.17499999999999999</v>
      </c>
      <c r="D7965" s="4" t="s">
        <v>762</v>
      </c>
      <c r="E7965" s="4" t="s">
        <v>763</v>
      </c>
    </row>
    <row r="7966" spans="1:5" hidden="1" x14ac:dyDescent="0.15">
      <c r="A7966" s="4"/>
      <c r="B7966" s="4"/>
      <c r="C7966" s="4"/>
      <c r="D7966" s="4" t="s">
        <v>762</v>
      </c>
      <c r="E7966" s="4" t="s">
        <v>763</v>
      </c>
    </row>
    <row r="7967" spans="1:5" hidden="1" x14ac:dyDescent="0.15">
      <c r="A7967" s="16"/>
      <c r="B7967" s="16"/>
      <c r="C7967" s="16"/>
      <c r="D7967" s="4" t="s">
        <v>762</v>
      </c>
      <c r="E7967" s="4" t="s">
        <v>763</v>
      </c>
    </row>
    <row r="7968" spans="1:5" hidden="1" x14ac:dyDescent="0.15">
      <c r="A7968" s="1" t="s">
        <v>137</v>
      </c>
      <c r="B7968" s="2">
        <v>86112</v>
      </c>
      <c r="C7968" s="3">
        <v>3.7999999999999999E-2</v>
      </c>
      <c r="D7968" s="4" t="s">
        <v>762</v>
      </c>
      <c r="E7968" s="4" t="s">
        <v>763</v>
      </c>
    </row>
    <row r="7969" spans="1:5" hidden="1" x14ac:dyDescent="0.15">
      <c r="A7969" s="4"/>
      <c r="B7969" s="4"/>
      <c r="C7969" s="4"/>
      <c r="D7969" s="4" t="s">
        <v>762</v>
      </c>
      <c r="E7969" s="4" t="s">
        <v>763</v>
      </c>
    </row>
    <row r="7970" spans="1:5" hidden="1" x14ac:dyDescent="0.15">
      <c r="A7970" s="16"/>
      <c r="B7970" s="16"/>
      <c r="C7970" s="16"/>
      <c r="D7970" s="4" t="s">
        <v>762</v>
      </c>
      <c r="E7970" s="4" t="s">
        <v>763</v>
      </c>
    </row>
    <row r="7971" spans="1:5" ht="26" hidden="1" x14ac:dyDescent="0.15">
      <c r="A7971" s="1" t="s">
        <v>138</v>
      </c>
      <c r="B7971" s="2">
        <v>250952</v>
      </c>
      <c r="C7971" s="3">
        <v>0.111</v>
      </c>
      <c r="D7971" s="4" t="s">
        <v>762</v>
      </c>
      <c r="E7971" s="4" t="s">
        <v>763</v>
      </c>
    </row>
    <row r="7972" spans="1:5" hidden="1" x14ac:dyDescent="0.15">
      <c r="A7972" s="4"/>
      <c r="B7972" s="4"/>
      <c r="C7972" s="4"/>
      <c r="D7972" s="4" t="s">
        <v>762</v>
      </c>
      <c r="E7972" s="4" t="s">
        <v>763</v>
      </c>
    </row>
    <row r="7973" spans="1:5" hidden="1" x14ac:dyDescent="0.15">
      <c r="A7973" s="16"/>
      <c r="B7973" s="16"/>
      <c r="C7973" s="16"/>
      <c r="D7973" s="4" t="s">
        <v>762</v>
      </c>
      <c r="E7973" s="4" t="s">
        <v>763</v>
      </c>
    </row>
    <row r="7974" spans="1:5" ht="26" hidden="1" x14ac:dyDescent="0.15">
      <c r="A7974" s="1" t="s">
        <v>580</v>
      </c>
      <c r="B7974" s="2">
        <v>1581001</v>
      </c>
      <c r="C7974" s="3">
        <v>0.69900000000000007</v>
      </c>
      <c r="D7974" s="4" t="s">
        <v>762</v>
      </c>
      <c r="E7974" s="4" t="s">
        <v>763</v>
      </c>
    </row>
    <row r="7975" spans="1:5" ht="26" hidden="1" x14ac:dyDescent="0.15">
      <c r="A7975" s="1" t="s">
        <v>139</v>
      </c>
      <c r="B7975" s="2">
        <v>526195</v>
      </c>
      <c r="C7975" s="3">
        <v>0.23300000000000001</v>
      </c>
      <c r="D7975" s="4" t="s">
        <v>762</v>
      </c>
      <c r="E7975" s="4" t="s">
        <v>763</v>
      </c>
    </row>
    <row r="7976" spans="1:5" hidden="1" x14ac:dyDescent="0.15">
      <c r="A7976" s="4"/>
      <c r="B7976" s="4"/>
      <c r="C7976" s="4"/>
      <c r="D7976" s="4" t="s">
        <v>762</v>
      </c>
      <c r="E7976" s="4" t="s">
        <v>763</v>
      </c>
    </row>
    <row r="7977" spans="1:5" hidden="1" x14ac:dyDescent="0.15">
      <c r="A7977" s="16"/>
      <c r="B7977" s="16"/>
      <c r="C7977" s="16"/>
      <c r="D7977" s="4" t="s">
        <v>762</v>
      </c>
      <c r="E7977" s="4" t="s">
        <v>763</v>
      </c>
    </row>
    <row r="7978" spans="1:5" ht="26" hidden="1" x14ac:dyDescent="0.15">
      <c r="A7978" s="1" t="s">
        <v>140</v>
      </c>
      <c r="B7978" s="2">
        <v>340055</v>
      </c>
      <c r="C7978" s="3">
        <v>0.15</v>
      </c>
      <c r="D7978" s="4" t="s">
        <v>762</v>
      </c>
      <c r="E7978" s="4" t="s">
        <v>763</v>
      </c>
    </row>
    <row r="7979" spans="1:5" hidden="1" x14ac:dyDescent="0.15">
      <c r="A7979" s="4"/>
      <c r="B7979" s="4"/>
      <c r="C7979" s="4"/>
      <c r="D7979" s="4" t="s">
        <v>762</v>
      </c>
      <c r="E7979" s="4" t="s">
        <v>763</v>
      </c>
    </row>
    <row r="7980" spans="1:5" hidden="1" x14ac:dyDescent="0.15">
      <c r="A7980" s="16" t="s">
        <v>397</v>
      </c>
      <c r="B7980" s="16"/>
      <c r="C7980" s="16"/>
      <c r="D7980" s="4" t="s">
        <v>762</v>
      </c>
      <c r="E7980" s="4" t="s">
        <v>763</v>
      </c>
    </row>
    <row r="7981" spans="1:5" ht="26" hidden="1" x14ac:dyDescent="0.15">
      <c r="A7981" s="1" t="s">
        <v>764</v>
      </c>
      <c r="B7981" s="2">
        <v>73289</v>
      </c>
      <c r="C7981" s="3">
        <v>3.2000000000000001E-2</v>
      </c>
      <c r="D7981" s="4" t="s">
        <v>762</v>
      </c>
      <c r="E7981" s="4" t="s">
        <v>763</v>
      </c>
    </row>
    <row r="7982" spans="1:5" ht="26" hidden="1" x14ac:dyDescent="0.15">
      <c r="A7982" s="1" t="s">
        <v>765</v>
      </c>
      <c r="B7982" s="2">
        <v>94190</v>
      </c>
      <c r="C7982" s="3">
        <v>4.2000000000000003E-2</v>
      </c>
      <c r="D7982" s="4" t="s">
        <v>762</v>
      </c>
      <c r="E7982" s="4" t="s">
        <v>763</v>
      </c>
    </row>
    <row r="7983" spans="1:5" ht="26" hidden="1" x14ac:dyDescent="0.15">
      <c r="A7983" s="1" t="s">
        <v>766</v>
      </c>
      <c r="B7983" s="2">
        <v>463121</v>
      </c>
      <c r="C7983" s="3">
        <v>0.20499999999999999</v>
      </c>
      <c r="D7983" s="4" t="s">
        <v>762</v>
      </c>
      <c r="E7983" s="4" t="s">
        <v>763</v>
      </c>
    </row>
    <row r="7984" spans="1:5" ht="26" hidden="1" x14ac:dyDescent="0.15">
      <c r="A7984" s="1" t="s">
        <v>767</v>
      </c>
      <c r="B7984" s="2">
        <v>449197</v>
      </c>
      <c r="C7984" s="3">
        <v>0.19899999999999998</v>
      </c>
      <c r="D7984" s="4" t="s">
        <v>762</v>
      </c>
      <c r="E7984" s="4" t="s">
        <v>763</v>
      </c>
    </row>
    <row r="7985" spans="1:5" ht="26" hidden="1" x14ac:dyDescent="0.15">
      <c r="A7985" s="1" t="s">
        <v>768</v>
      </c>
      <c r="B7985" s="2">
        <v>97839</v>
      </c>
      <c r="C7985" s="3">
        <v>4.2999999999999997E-2</v>
      </c>
      <c r="D7985" s="4" t="s">
        <v>762</v>
      </c>
      <c r="E7985" s="4" t="s">
        <v>763</v>
      </c>
    </row>
    <row r="7986" spans="1:5" ht="26" hidden="1" x14ac:dyDescent="0.15">
      <c r="A7986" s="1" t="s">
        <v>769</v>
      </c>
      <c r="B7986" s="2">
        <v>219302</v>
      </c>
      <c r="C7986" s="3">
        <v>9.6999999999999989E-2</v>
      </c>
      <c r="D7986" s="4" t="s">
        <v>762</v>
      </c>
      <c r="E7986" s="4" t="s">
        <v>763</v>
      </c>
    </row>
    <row r="7987" spans="1:5" ht="26" hidden="1" x14ac:dyDescent="0.15">
      <c r="A7987" s="1" t="s">
        <v>770</v>
      </c>
      <c r="B7987" s="2">
        <v>70915</v>
      </c>
      <c r="C7987" s="3">
        <v>3.1E-2</v>
      </c>
      <c r="D7987" s="4" t="s">
        <v>762</v>
      </c>
      <c r="E7987" s="4" t="s">
        <v>763</v>
      </c>
    </row>
    <row r="7988" spans="1:5" hidden="1" x14ac:dyDescent="0.15">
      <c r="A7988" s="1" t="s">
        <v>0</v>
      </c>
      <c r="B7988" s="2">
        <v>603304</v>
      </c>
      <c r="C7988" s="3">
        <v>1</v>
      </c>
      <c r="D7988" s="4" t="s">
        <v>771</v>
      </c>
      <c r="E7988" s="4" t="s">
        <v>241</v>
      </c>
    </row>
    <row r="7989" spans="1:5" ht="26" hidden="1" x14ac:dyDescent="0.15">
      <c r="A7989" s="1" t="s">
        <v>3</v>
      </c>
      <c r="B7989" s="2">
        <v>20257</v>
      </c>
      <c r="C7989" s="3">
        <v>3.4000000000000002E-2</v>
      </c>
      <c r="D7989" s="4" t="s">
        <v>771</v>
      </c>
      <c r="E7989" s="4" t="s">
        <v>241</v>
      </c>
    </row>
    <row r="7990" spans="1:5" hidden="1" x14ac:dyDescent="0.15">
      <c r="A7990" s="1" t="s">
        <v>4</v>
      </c>
      <c r="B7990" s="2">
        <v>7741</v>
      </c>
      <c r="C7990" s="3">
        <v>1.3000000000000001E-2</v>
      </c>
      <c r="D7990" s="4" t="s">
        <v>771</v>
      </c>
      <c r="E7990" s="4" t="s">
        <v>241</v>
      </c>
    </row>
    <row r="7991" spans="1:5" ht="26" hidden="1" x14ac:dyDescent="0.15">
      <c r="A7991" s="1" t="s">
        <v>5</v>
      </c>
      <c r="B7991" s="2">
        <v>6801</v>
      </c>
      <c r="C7991" s="3">
        <v>1.1000000000000001E-2</v>
      </c>
      <c r="D7991" s="4" t="s">
        <v>771</v>
      </c>
      <c r="E7991" s="4" t="s">
        <v>241</v>
      </c>
    </row>
    <row r="7992" spans="1:5" ht="26" hidden="1" x14ac:dyDescent="0.15">
      <c r="A7992" s="1" t="s">
        <v>6</v>
      </c>
      <c r="B7992" s="2">
        <v>21780</v>
      </c>
      <c r="C7992" s="3">
        <v>3.6000000000000004E-2</v>
      </c>
      <c r="D7992" s="4" t="s">
        <v>771</v>
      </c>
      <c r="E7992" s="4" t="s">
        <v>241</v>
      </c>
    </row>
    <row r="7993" spans="1:5" ht="26" hidden="1" x14ac:dyDescent="0.15">
      <c r="A7993" s="1" t="s">
        <v>7</v>
      </c>
      <c r="B7993" s="2">
        <v>60457</v>
      </c>
      <c r="C7993" s="3">
        <v>0.1</v>
      </c>
      <c r="D7993" s="4" t="s">
        <v>771</v>
      </c>
      <c r="E7993" s="4" t="s">
        <v>241</v>
      </c>
    </row>
    <row r="7994" spans="1:5" ht="26" hidden="1" x14ac:dyDescent="0.15">
      <c r="A7994" s="1" t="s">
        <v>8</v>
      </c>
      <c r="B7994" s="2">
        <v>1975</v>
      </c>
      <c r="C7994" s="3">
        <v>3.0000000000000001E-3</v>
      </c>
      <c r="D7994" s="4" t="s">
        <v>771</v>
      </c>
      <c r="E7994" s="4" t="s">
        <v>241</v>
      </c>
    </row>
    <row r="7995" spans="1:5" ht="26" hidden="1" x14ac:dyDescent="0.15">
      <c r="A7995" s="1" t="s">
        <v>9</v>
      </c>
      <c r="B7995" s="2">
        <v>16792</v>
      </c>
      <c r="C7995" s="3">
        <v>2.7999999999999997E-2</v>
      </c>
      <c r="D7995" s="4" t="s">
        <v>771</v>
      </c>
      <c r="E7995" s="4" t="s">
        <v>241</v>
      </c>
    </row>
    <row r="7996" spans="1:5" ht="26" hidden="1" x14ac:dyDescent="0.15">
      <c r="A7996" s="1" t="s">
        <v>10</v>
      </c>
      <c r="B7996" s="2">
        <v>24013</v>
      </c>
      <c r="C7996" s="3">
        <v>0.04</v>
      </c>
      <c r="D7996" s="4" t="s">
        <v>771</v>
      </c>
      <c r="E7996" s="4" t="s">
        <v>241</v>
      </c>
    </row>
    <row r="7997" spans="1:5" ht="26" hidden="1" x14ac:dyDescent="0.15">
      <c r="A7997" s="1" t="s">
        <v>11</v>
      </c>
      <c r="B7997" s="2">
        <v>25338</v>
      </c>
      <c r="C7997" s="3">
        <v>4.2000000000000003E-2</v>
      </c>
      <c r="D7997" s="4" t="s">
        <v>771</v>
      </c>
      <c r="E7997" s="4" t="s">
        <v>241</v>
      </c>
    </row>
    <row r="7998" spans="1:5" ht="26" hidden="1" x14ac:dyDescent="0.15">
      <c r="A7998" s="1" t="s">
        <v>12</v>
      </c>
      <c r="B7998" s="2">
        <v>14161</v>
      </c>
      <c r="C7998" s="3">
        <v>2.3E-2</v>
      </c>
      <c r="D7998" s="4" t="s">
        <v>771</v>
      </c>
      <c r="E7998" s="4" t="s">
        <v>241</v>
      </c>
    </row>
    <row r="7999" spans="1:5" ht="26" hidden="1" x14ac:dyDescent="0.15">
      <c r="A7999" s="1" t="s">
        <v>13</v>
      </c>
      <c r="B7999" s="2">
        <v>7698</v>
      </c>
      <c r="C7999" s="3">
        <v>1.3000000000000001E-2</v>
      </c>
      <c r="D7999" s="4" t="s">
        <v>771</v>
      </c>
      <c r="E7999" s="4" t="s">
        <v>241</v>
      </c>
    </row>
    <row r="8000" spans="1:5" hidden="1" x14ac:dyDescent="0.15">
      <c r="A8000" s="1" t="s">
        <v>14</v>
      </c>
      <c r="B8000" s="2">
        <v>40298</v>
      </c>
      <c r="C8000" s="3">
        <v>6.7000000000000004E-2</v>
      </c>
      <c r="D8000" s="4" t="s">
        <v>771</v>
      </c>
      <c r="E8000" s="4" t="s">
        <v>241</v>
      </c>
    </row>
    <row r="8001" spans="1:5" ht="26" hidden="1" x14ac:dyDescent="0.15">
      <c r="A8001" s="1" t="s">
        <v>15</v>
      </c>
      <c r="B8001" s="2">
        <v>24115</v>
      </c>
      <c r="C8001" s="3">
        <v>0.04</v>
      </c>
      <c r="D8001" s="4" t="s">
        <v>771</v>
      </c>
      <c r="E8001" s="4" t="s">
        <v>241</v>
      </c>
    </row>
    <row r="8002" spans="1:5" ht="26" hidden="1" x14ac:dyDescent="0.15">
      <c r="A8002" s="1" t="s">
        <v>16</v>
      </c>
      <c r="B8002" s="2">
        <v>14113</v>
      </c>
      <c r="C8002" s="3">
        <v>2.3E-2</v>
      </c>
      <c r="D8002" s="4" t="s">
        <v>771</v>
      </c>
      <c r="E8002" s="4" t="s">
        <v>241</v>
      </c>
    </row>
    <row r="8003" spans="1:5" ht="26" hidden="1" x14ac:dyDescent="0.15">
      <c r="A8003" s="1" t="s">
        <v>17</v>
      </c>
      <c r="B8003" s="2">
        <v>17078</v>
      </c>
      <c r="C8003" s="3">
        <v>2.7999999999999997E-2</v>
      </c>
      <c r="D8003" s="4" t="s">
        <v>771</v>
      </c>
      <c r="E8003" s="4" t="s">
        <v>241</v>
      </c>
    </row>
    <row r="8004" spans="1:5" hidden="1" x14ac:dyDescent="0.15">
      <c r="A8004" s="1" t="s">
        <v>18</v>
      </c>
      <c r="B8004" s="2">
        <v>4830</v>
      </c>
      <c r="C8004" s="3">
        <v>8.0000000000000002E-3</v>
      </c>
      <c r="D8004" s="4" t="s">
        <v>771</v>
      </c>
      <c r="E8004" s="4" t="s">
        <v>241</v>
      </c>
    </row>
    <row r="8005" spans="1:5" hidden="1" x14ac:dyDescent="0.15">
      <c r="A8005" s="1" t="s">
        <v>19</v>
      </c>
      <c r="B8005" s="2">
        <v>66664</v>
      </c>
      <c r="C8005" s="3">
        <v>0.11</v>
      </c>
      <c r="D8005" s="4" t="s">
        <v>771</v>
      </c>
      <c r="E8005" s="4" t="s">
        <v>241</v>
      </c>
    </row>
    <row r="8006" spans="1:5" hidden="1" x14ac:dyDescent="0.15">
      <c r="A8006" s="1" t="s">
        <v>20</v>
      </c>
      <c r="B8006" s="2">
        <v>23761</v>
      </c>
      <c r="C8006" s="3">
        <v>3.9E-2</v>
      </c>
      <c r="D8006" s="4" t="s">
        <v>771</v>
      </c>
      <c r="E8006" s="4" t="s">
        <v>241</v>
      </c>
    </row>
    <row r="8007" spans="1:5" ht="26" hidden="1" x14ac:dyDescent="0.15">
      <c r="A8007" s="1" t="s">
        <v>21</v>
      </c>
      <c r="B8007" s="2">
        <v>13272</v>
      </c>
      <c r="C8007" s="3">
        <v>2.2000000000000002E-2</v>
      </c>
      <c r="D8007" s="4" t="s">
        <v>771</v>
      </c>
      <c r="E8007" s="4" t="s">
        <v>241</v>
      </c>
    </row>
    <row r="8008" spans="1:5" ht="26" hidden="1" x14ac:dyDescent="0.15">
      <c r="A8008" s="1" t="s">
        <v>22</v>
      </c>
      <c r="B8008" s="2">
        <v>57106</v>
      </c>
      <c r="C8008" s="3">
        <v>9.5000000000000001E-2</v>
      </c>
      <c r="D8008" s="4" t="s">
        <v>771</v>
      </c>
      <c r="E8008" s="4" t="s">
        <v>241</v>
      </c>
    </row>
    <row r="8009" spans="1:5" ht="26" hidden="1" x14ac:dyDescent="0.15">
      <c r="A8009" s="1" t="s">
        <v>23</v>
      </c>
      <c r="B8009" s="2">
        <v>4349</v>
      </c>
      <c r="C8009" s="3">
        <v>6.9999999999999993E-3</v>
      </c>
      <c r="D8009" s="4" t="s">
        <v>771</v>
      </c>
      <c r="E8009" s="4" t="s">
        <v>241</v>
      </c>
    </row>
    <row r="8010" spans="1:5" ht="26" hidden="1" x14ac:dyDescent="0.15">
      <c r="A8010" s="1" t="s">
        <v>24</v>
      </c>
      <c r="B8010" s="2">
        <v>6521</v>
      </c>
      <c r="C8010" s="3">
        <v>1.1000000000000001E-2</v>
      </c>
      <c r="D8010" s="4" t="s">
        <v>771</v>
      </c>
      <c r="E8010" s="4" t="s">
        <v>241</v>
      </c>
    </row>
    <row r="8011" spans="1:5" ht="26" hidden="1" x14ac:dyDescent="0.15">
      <c r="A8011" s="1" t="s">
        <v>25</v>
      </c>
      <c r="B8011" s="2">
        <v>18720</v>
      </c>
      <c r="C8011" s="3">
        <v>3.1E-2</v>
      </c>
      <c r="D8011" s="4" t="s">
        <v>771</v>
      </c>
      <c r="E8011" s="4" t="s">
        <v>241</v>
      </c>
    </row>
    <row r="8012" spans="1:5" hidden="1" x14ac:dyDescent="0.15">
      <c r="A8012" s="1" t="s">
        <v>26</v>
      </c>
      <c r="B8012" s="2">
        <v>17361</v>
      </c>
      <c r="C8012" s="3">
        <v>2.8999999999999998E-2</v>
      </c>
      <c r="D8012" s="4" t="s">
        <v>771</v>
      </c>
      <c r="E8012" s="4" t="s">
        <v>241</v>
      </c>
    </row>
    <row r="8013" spans="1:5" hidden="1" x14ac:dyDescent="0.15">
      <c r="A8013" s="1" t="s">
        <v>27</v>
      </c>
      <c r="B8013" s="2">
        <v>48500</v>
      </c>
      <c r="C8013" s="3">
        <v>0.08</v>
      </c>
      <c r="D8013" s="4" t="s">
        <v>771</v>
      </c>
      <c r="E8013" s="4" t="s">
        <v>241</v>
      </c>
    </row>
    <row r="8014" spans="1:5" hidden="1" x14ac:dyDescent="0.15">
      <c r="A8014" s="1" t="s">
        <v>28</v>
      </c>
      <c r="B8014" s="2">
        <v>65430</v>
      </c>
      <c r="C8014" s="3">
        <v>0.10800000000000001</v>
      </c>
      <c r="D8014" s="4" t="s">
        <v>771</v>
      </c>
      <c r="E8014" s="4" t="s">
        <v>241</v>
      </c>
    </row>
    <row r="8015" spans="1:5" hidden="1" x14ac:dyDescent="0.15">
      <c r="A8015" s="1" t="s">
        <v>29</v>
      </c>
      <c r="B8015" s="2">
        <v>151635</v>
      </c>
      <c r="C8015" s="3">
        <v>0.251</v>
      </c>
      <c r="D8015" s="4" t="s">
        <v>771</v>
      </c>
      <c r="E8015" s="4" t="s">
        <v>241</v>
      </c>
    </row>
    <row r="8016" spans="1:5" hidden="1" x14ac:dyDescent="0.15">
      <c r="A8016" s="1" t="s">
        <v>30</v>
      </c>
      <c r="B8016" s="2">
        <v>11853</v>
      </c>
      <c r="C8016" s="3">
        <v>0.02</v>
      </c>
      <c r="D8016" s="4" t="s">
        <v>771</v>
      </c>
      <c r="E8016" s="4" t="s">
        <v>241</v>
      </c>
    </row>
    <row r="8017" spans="1:5" ht="39" hidden="1" x14ac:dyDescent="0.15">
      <c r="A8017" s="1" t="s">
        <v>31</v>
      </c>
      <c r="B8017" s="2">
        <v>2626</v>
      </c>
      <c r="C8017" s="3">
        <v>4.0000000000000001E-3</v>
      </c>
      <c r="D8017" s="4" t="s">
        <v>771</v>
      </c>
      <c r="E8017" s="4" t="s">
        <v>241</v>
      </c>
    </row>
    <row r="8018" spans="1:5" hidden="1" x14ac:dyDescent="0.15">
      <c r="A8018" s="1" t="s">
        <v>32</v>
      </c>
      <c r="B8018" s="2">
        <v>27816</v>
      </c>
      <c r="C8018" s="3">
        <v>4.5999999999999999E-2</v>
      </c>
      <c r="D8018" s="4" t="s">
        <v>771</v>
      </c>
      <c r="E8018" s="4" t="s">
        <v>241</v>
      </c>
    </row>
    <row r="8019" spans="1:5" hidden="1" x14ac:dyDescent="0.15">
      <c r="A8019" s="1" t="s">
        <v>33</v>
      </c>
      <c r="B8019" s="2">
        <v>150776</v>
      </c>
      <c r="C8019" s="3">
        <v>0.25</v>
      </c>
      <c r="D8019" s="4" t="s">
        <v>771</v>
      </c>
      <c r="E8019" s="4" t="s">
        <v>241</v>
      </c>
    </row>
    <row r="8020" spans="1:5" hidden="1" x14ac:dyDescent="0.15">
      <c r="A8020" s="1" t="s">
        <v>34</v>
      </c>
      <c r="B8020" s="2">
        <v>23574</v>
      </c>
      <c r="C8020" s="3">
        <v>3.9E-2</v>
      </c>
      <c r="D8020" s="4" t="s">
        <v>771</v>
      </c>
      <c r="E8020" s="4" t="s">
        <v>241</v>
      </c>
    </row>
    <row r="8021" spans="1:5" hidden="1" x14ac:dyDescent="0.15">
      <c r="A8021" s="1" t="s">
        <v>35</v>
      </c>
      <c r="B8021" s="2">
        <v>53784</v>
      </c>
      <c r="C8021" s="3">
        <v>8.900000000000001E-2</v>
      </c>
      <c r="D8021" s="4" t="s">
        <v>771</v>
      </c>
      <c r="E8021" s="4" t="s">
        <v>241</v>
      </c>
    </row>
    <row r="8022" spans="1:5" ht="26" hidden="1" x14ac:dyDescent="0.15">
      <c r="A8022" s="1" t="s">
        <v>36</v>
      </c>
      <c r="B8022" s="2">
        <v>19686</v>
      </c>
      <c r="C8022" s="3">
        <v>3.3000000000000002E-2</v>
      </c>
      <c r="D8022" s="4" t="s">
        <v>771</v>
      </c>
      <c r="E8022" s="4" t="s">
        <v>241</v>
      </c>
    </row>
    <row r="8023" spans="1:5" hidden="1" x14ac:dyDescent="0.15">
      <c r="A8023" s="1" t="s">
        <v>37</v>
      </c>
      <c r="B8023" s="2">
        <v>16418</v>
      </c>
      <c r="C8023" s="3">
        <v>2.7000000000000003E-2</v>
      </c>
      <c r="D8023" s="4" t="s">
        <v>771</v>
      </c>
      <c r="E8023" s="4" t="s">
        <v>241</v>
      </c>
    </row>
    <row r="8024" spans="1:5" ht="39" hidden="1" x14ac:dyDescent="0.15">
      <c r="A8024" s="1" t="s">
        <v>38</v>
      </c>
      <c r="B8024" s="2">
        <v>21623</v>
      </c>
      <c r="C8024" s="3">
        <v>3.6000000000000004E-2</v>
      </c>
      <c r="D8024" s="4" t="s">
        <v>771</v>
      </c>
      <c r="E8024" s="4" t="s">
        <v>241</v>
      </c>
    </row>
    <row r="8025" spans="1:5" hidden="1" x14ac:dyDescent="0.15">
      <c r="A8025" s="1" t="s">
        <v>39</v>
      </c>
      <c r="B8025" s="2">
        <v>45906</v>
      </c>
      <c r="C8025" s="3">
        <v>7.5999999999999998E-2</v>
      </c>
      <c r="D8025" s="4" t="s">
        <v>771</v>
      </c>
      <c r="E8025" s="4" t="s">
        <v>241</v>
      </c>
    </row>
    <row r="8026" spans="1:5" hidden="1" x14ac:dyDescent="0.15">
      <c r="A8026" s="1" t="s">
        <v>40</v>
      </c>
      <c r="B8026" s="2">
        <v>3078</v>
      </c>
      <c r="C8026" s="3">
        <v>5.0000000000000001E-3</v>
      </c>
      <c r="D8026" s="4" t="s">
        <v>771</v>
      </c>
      <c r="E8026" s="4" t="s">
        <v>241</v>
      </c>
    </row>
    <row r="8027" spans="1:5" hidden="1" x14ac:dyDescent="0.15">
      <c r="A8027" s="1" t="s">
        <v>41</v>
      </c>
      <c r="B8027" s="2">
        <v>11412</v>
      </c>
      <c r="C8027" s="3">
        <v>1.9E-2</v>
      </c>
      <c r="D8027" s="4" t="s">
        <v>771</v>
      </c>
      <c r="E8027" s="4" t="s">
        <v>241</v>
      </c>
    </row>
    <row r="8028" spans="1:5" hidden="1" x14ac:dyDescent="0.15">
      <c r="A8028" s="1" t="s">
        <v>42</v>
      </c>
      <c r="B8028" s="2">
        <v>33124</v>
      </c>
      <c r="C8028" s="3">
        <v>5.5E-2</v>
      </c>
      <c r="D8028" s="4" t="s">
        <v>771</v>
      </c>
      <c r="E8028" s="4" t="s">
        <v>241</v>
      </c>
    </row>
    <row r="8029" spans="1:5" hidden="1" x14ac:dyDescent="0.15">
      <c r="A8029" s="1" t="s">
        <v>43</v>
      </c>
      <c r="B8029" s="2">
        <v>80198</v>
      </c>
      <c r="C8029" s="3">
        <v>0.13300000000000001</v>
      </c>
      <c r="D8029" s="4" t="s">
        <v>771</v>
      </c>
      <c r="E8029" s="4" t="s">
        <v>241</v>
      </c>
    </row>
    <row r="8030" spans="1:5" ht="26" hidden="1" x14ac:dyDescent="0.15">
      <c r="A8030" s="1" t="s">
        <v>44</v>
      </c>
      <c r="B8030" s="2">
        <v>56392</v>
      </c>
      <c r="C8030" s="3">
        <v>9.3000000000000013E-2</v>
      </c>
      <c r="D8030" s="4" t="s">
        <v>771</v>
      </c>
      <c r="E8030" s="4" t="s">
        <v>241</v>
      </c>
    </row>
    <row r="8031" spans="1:5" hidden="1" x14ac:dyDescent="0.15">
      <c r="A8031" s="1" t="s">
        <v>45</v>
      </c>
      <c r="B8031" s="2">
        <v>78331</v>
      </c>
      <c r="C8031" s="3">
        <v>0.13</v>
      </c>
      <c r="D8031" s="4" t="s">
        <v>771</v>
      </c>
      <c r="E8031" s="4" t="s">
        <v>241</v>
      </c>
    </row>
    <row r="8032" spans="1:5" ht="26" hidden="1" x14ac:dyDescent="0.15">
      <c r="A8032" s="1" t="s">
        <v>46</v>
      </c>
      <c r="B8032" s="2">
        <v>109572</v>
      </c>
      <c r="C8032" s="3">
        <v>0.182</v>
      </c>
      <c r="D8032" s="4" t="s">
        <v>771</v>
      </c>
      <c r="E8032" s="4" t="s">
        <v>241</v>
      </c>
    </row>
    <row r="8033" spans="1:5" hidden="1" x14ac:dyDescent="0.15">
      <c r="A8033" s="1" t="s">
        <v>47</v>
      </c>
      <c r="B8033" s="2">
        <v>183435</v>
      </c>
      <c r="C8033" s="3">
        <v>0.30399999999999999</v>
      </c>
      <c r="D8033" s="4" t="s">
        <v>771</v>
      </c>
      <c r="E8033" s="4" t="s">
        <v>241</v>
      </c>
    </row>
    <row r="8034" spans="1:5" hidden="1" x14ac:dyDescent="0.15">
      <c r="A8034" s="1" t="s">
        <v>48</v>
      </c>
      <c r="B8034" s="2">
        <v>30604</v>
      </c>
      <c r="C8034" s="3">
        <v>5.0999999999999997E-2</v>
      </c>
      <c r="D8034" s="4" t="s">
        <v>771</v>
      </c>
      <c r="E8034" s="4" t="s">
        <v>241</v>
      </c>
    </row>
    <row r="8035" spans="1:5" hidden="1" x14ac:dyDescent="0.15">
      <c r="A8035" s="1" t="s">
        <v>49</v>
      </c>
      <c r="B8035" s="2">
        <v>79442</v>
      </c>
      <c r="C8035" s="3">
        <v>0.13200000000000001</v>
      </c>
      <c r="D8035" s="4" t="s">
        <v>771</v>
      </c>
      <c r="E8035" s="4" t="s">
        <v>241</v>
      </c>
    </row>
    <row r="8036" spans="1:5" ht="26" hidden="1" x14ac:dyDescent="0.15">
      <c r="A8036" s="1" t="s">
        <v>50</v>
      </c>
      <c r="B8036" s="2">
        <v>110034</v>
      </c>
      <c r="C8036" s="3">
        <v>0.182</v>
      </c>
      <c r="D8036" s="4" t="s">
        <v>771</v>
      </c>
      <c r="E8036" s="4" t="s">
        <v>241</v>
      </c>
    </row>
    <row r="8037" spans="1:5" hidden="1" x14ac:dyDescent="0.15">
      <c r="A8037" s="1" t="s">
        <v>51</v>
      </c>
      <c r="B8037" s="2">
        <v>171436</v>
      </c>
      <c r="C8037" s="3">
        <v>0.28399999999999997</v>
      </c>
      <c r="D8037" s="4" t="s">
        <v>771</v>
      </c>
      <c r="E8037" s="4" t="s">
        <v>241</v>
      </c>
    </row>
    <row r="8038" spans="1:5" hidden="1" x14ac:dyDescent="0.15">
      <c r="A8038" s="1" t="s">
        <v>52</v>
      </c>
      <c r="B8038" s="2">
        <v>100975</v>
      </c>
      <c r="C8038" s="3">
        <v>0.16699999999999998</v>
      </c>
      <c r="D8038" s="4" t="s">
        <v>771</v>
      </c>
      <c r="E8038" s="4" t="s">
        <v>241</v>
      </c>
    </row>
    <row r="8039" spans="1:5" ht="26" hidden="1" x14ac:dyDescent="0.15">
      <c r="A8039" s="1" t="s">
        <v>53</v>
      </c>
      <c r="B8039" s="2">
        <v>60043</v>
      </c>
      <c r="C8039" s="3">
        <v>0.1</v>
      </c>
      <c r="D8039" s="4" t="s">
        <v>771</v>
      </c>
      <c r="E8039" s="4" t="s">
        <v>241</v>
      </c>
    </row>
    <row r="8040" spans="1:5" hidden="1" x14ac:dyDescent="0.15">
      <c r="A8040" s="1" t="s">
        <v>54</v>
      </c>
      <c r="B8040" s="2">
        <v>203184</v>
      </c>
      <c r="C8040" s="3">
        <v>0.33700000000000002</v>
      </c>
      <c r="D8040" s="4" t="s">
        <v>771</v>
      </c>
      <c r="E8040" s="4" t="s">
        <v>241</v>
      </c>
    </row>
    <row r="8041" spans="1:5" ht="26" hidden="1" x14ac:dyDescent="0.15">
      <c r="A8041" s="1" t="s">
        <v>55</v>
      </c>
      <c r="B8041" s="2">
        <v>136592</v>
      </c>
      <c r="C8041" s="3">
        <v>0.22600000000000001</v>
      </c>
      <c r="D8041" s="4" t="s">
        <v>771</v>
      </c>
      <c r="E8041" s="4" t="s">
        <v>241</v>
      </c>
    </row>
    <row r="8042" spans="1:5" hidden="1" x14ac:dyDescent="0.15">
      <c r="A8042" s="1" t="s">
        <v>56</v>
      </c>
      <c r="B8042" s="2">
        <v>116724</v>
      </c>
      <c r="C8042" s="3">
        <v>0.193</v>
      </c>
      <c r="D8042" s="4" t="s">
        <v>771</v>
      </c>
      <c r="E8042" s="4" t="s">
        <v>241</v>
      </c>
    </row>
    <row r="8043" spans="1:5" hidden="1" x14ac:dyDescent="0.15">
      <c r="A8043" s="1" t="s">
        <v>57</v>
      </c>
      <c r="B8043" s="2">
        <v>108197</v>
      </c>
      <c r="C8043" s="3">
        <v>0.17899999999999999</v>
      </c>
      <c r="D8043" s="4" t="s">
        <v>771</v>
      </c>
      <c r="E8043" s="4" t="s">
        <v>241</v>
      </c>
    </row>
    <row r="8044" spans="1:5" hidden="1" x14ac:dyDescent="0.15">
      <c r="A8044" s="1" t="s">
        <v>58</v>
      </c>
      <c r="B8044" s="2">
        <v>35206</v>
      </c>
      <c r="C8044" s="3">
        <v>5.7999999999999996E-2</v>
      </c>
      <c r="D8044" s="4" t="s">
        <v>771</v>
      </c>
      <c r="E8044" s="4" t="s">
        <v>241</v>
      </c>
    </row>
    <row r="8045" spans="1:5" hidden="1" x14ac:dyDescent="0.15">
      <c r="A8045" s="1" t="s">
        <v>59</v>
      </c>
      <c r="B8045" s="2">
        <v>269061</v>
      </c>
      <c r="C8045" s="3">
        <v>0.44600000000000001</v>
      </c>
      <c r="D8045" s="4" t="s">
        <v>771</v>
      </c>
      <c r="E8045" s="4" t="s">
        <v>241</v>
      </c>
    </row>
    <row r="8046" spans="1:5" hidden="1" x14ac:dyDescent="0.15">
      <c r="A8046" s="1" t="s">
        <v>60</v>
      </c>
      <c r="B8046" s="2">
        <v>137719</v>
      </c>
      <c r="C8046" s="3">
        <v>0.22800000000000001</v>
      </c>
      <c r="D8046" s="4" t="s">
        <v>771</v>
      </c>
      <c r="E8046" s="4" t="s">
        <v>241</v>
      </c>
    </row>
    <row r="8047" spans="1:5" ht="26" hidden="1" x14ac:dyDescent="0.15">
      <c r="A8047" s="1" t="s">
        <v>61</v>
      </c>
      <c r="B8047" s="2">
        <v>84251</v>
      </c>
      <c r="C8047" s="3">
        <v>0.14000000000000001</v>
      </c>
      <c r="D8047" s="4" t="s">
        <v>771</v>
      </c>
      <c r="E8047" s="4" t="s">
        <v>241</v>
      </c>
    </row>
    <row r="8048" spans="1:5" hidden="1" x14ac:dyDescent="0.15">
      <c r="A8048" s="1" t="s">
        <v>62</v>
      </c>
      <c r="B8048" s="2">
        <v>135198</v>
      </c>
      <c r="C8048" s="3">
        <v>0.22399999999999998</v>
      </c>
      <c r="D8048" s="4" t="s">
        <v>771</v>
      </c>
      <c r="E8048" s="4" t="s">
        <v>241</v>
      </c>
    </row>
    <row r="8049" spans="1:5" ht="26" hidden="1" x14ac:dyDescent="0.15">
      <c r="A8049" s="1" t="s">
        <v>63</v>
      </c>
      <c r="B8049" s="2">
        <v>78316</v>
      </c>
      <c r="C8049" s="3">
        <v>0.13</v>
      </c>
      <c r="D8049" s="4" t="s">
        <v>771</v>
      </c>
      <c r="E8049" s="4" t="s">
        <v>241</v>
      </c>
    </row>
    <row r="8050" spans="1:5" ht="26" hidden="1" x14ac:dyDescent="0.15">
      <c r="A8050" s="1" t="s">
        <v>64</v>
      </c>
      <c r="B8050" s="2">
        <v>53766</v>
      </c>
      <c r="C8050" s="3">
        <v>8.900000000000001E-2</v>
      </c>
      <c r="D8050" s="4" t="s">
        <v>771</v>
      </c>
      <c r="E8050" s="4" t="s">
        <v>241</v>
      </c>
    </row>
    <row r="8051" spans="1:5" hidden="1" x14ac:dyDescent="0.15">
      <c r="A8051" s="1" t="s">
        <v>65</v>
      </c>
      <c r="B8051" s="2">
        <v>110465</v>
      </c>
      <c r="C8051" s="3">
        <v>0.183</v>
      </c>
      <c r="D8051" s="4" t="s">
        <v>771</v>
      </c>
      <c r="E8051" s="4" t="s">
        <v>241</v>
      </c>
    </row>
    <row r="8052" spans="1:5" hidden="1" x14ac:dyDescent="0.15">
      <c r="A8052" s="1" t="s">
        <v>66</v>
      </c>
      <c r="B8052" s="2">
        <v>78743</v>
      </c>
      <c r="C8052" s="3">
        <v>0.13100000000000001</v>
      </c>
      <c r="D8052" s="4" t="s">
        <v>771</v>
      </c>
      <c r="E8052" s="4" t="s">
        <v>241</v>
      </c>
    </row>
    <row r="8053" spans="1:5" hidden="1" x14ac:dyDescent="0.15">
      <c r="A8053" s="1" t="s">
        <v>67</v>
      </c>
      <c r="B8053" s="2">
        <v>165564</v>
      </c>
      <c r="C8053" s="3">
        <v>0.27399999999999997</v>
      </c>
      <c r="D8053" s="4" t="s">
        <v>771</v>
      </c>
      <c r="E8053" s="4" t="s">
        <v>241</v>
      </c>
    </row>
    <row r="8054" spans="1:5" hidden="1" x14ac:dyDescent="0.15">
      <c r="A8054" s="1" t="s">
        <v>68</v>
      </c>
      <c r="B8054" s="2">
        <v>210746</v>
      </c>
      <c r="C8054" s="3">
        <v>0.34899999999999998</v>
      </c>
      <c r="D8054" s="4" t="s">
        <v>771</v>
      </c>
      <c r="E8054" s="4" t="s">
        <v>241</v>
      </c>
    </row>
    <row r="8055" spans="1:5" hidden="1" x14ac:dyDescent="0.15">
      <c r="A8055" s="1" t="s">
        <v>69</v>
      </c>
      <c r="B8055" s="2">
        <v>350436</v>
      </c>
      <c r="C8055" s="3">
        <v>0.58099999999999996</v>
      </c>
      <c r="D8055" s="4" t="s">
        <v>771</v>
      </c>
      <c r="E8055" s="4" t="s">
        <v>241</v>
      </c>
    </row>
    <row r="8056" spans="1:5" hidden="1" x14ac:dyDescent="0.15">
      <c r="A8056" s="1" t="s">
        <v>70</v>
      </c>
      <c r="B8056" s="2">
        <v>118685</v>
      </c>
      <c r="C8056" s="3">
        <v>0.19699999999999998</v>
      </c>
      <c r="D8056" s="4" t="s">
        <v>771</v>
      </c>
      <c r="E8056" s="4" t="s">
        <v>241</v>
      </c>
    </row>
    <row r="8057" spans="1:5" ht="26" hidden="1" x14ac:dyDescent="0.15">
      <c r="A8057" s="1" t="s">
        <v>71</v>
      </c>
      <c r="B8057" s="2">
        <v>41512</v>
      </c>
      <c r="C8057" s="3">
        <v>6.9000000000000006E-2</v>
      </c>
      <c r="D8057" s="4" t="s">
        <v>771</v>
      </c>
      <c r="E8057" s="4" t="s">
        <v>241</v>
      </c>
    </row>
    <row r="8058" spans="1:5" hidden="1" x14ac:dyDescent="0.15">
      <c r="A8058" s="1" t="s">
        <v>72</v>
      </c>
      <c r="B8058" s="2">
        <v>98568</v>
      </c>
      <c r="C8058" s="3">
        <v>0.16300000000000001</v>
      </c>
      <c r="D8058" s="4" t="s">
        <v>771</v>
      </c>
      <c r="E8058" s="4" t="s">
        <v>241</v>
      </c>
    </row>
    <row r="8059" spans="1:5" hidden="1" x14ac:dyDescent="0.15">
      <c r="A8059" s="1" t="s">
        <v>73</v>
      </c>
      <c r="B8059" s="2">
        <v>327365</v>
      </c>
      <c r="C8059" s="3">
        <v>0.54299999999999993</v>
      </c>
      <c r="D8059" s="4" t="s">
        <v>771</v>
      </c>
      <c r="E8059" s="4" t="s">
        <v>241</v>
      </c>
    </row>
    <row r="8060" spans="1:5" hidden="1" x14ac:dyDescent="0.15">
      <c r="A8060" s="1" t="s">
        <v>74</v>
      </c>
      <c r="B8060" s="2">
        <v>98178</v>
      </c>
      <c r="C8060" s="3">
        <v>0.16300000000000001</v>
      </c>
      <c r="D8060" s="4" t="s">
        <v>771</v>
      </c>
      <c r="E8060" s="4" t="s">
        <v>241</v>
      </c>
    </row>
    <row r="8061" spans="1:5" hidden="1" x14ac:dyDescent="0.15">
      <c r="A8061" s="1" t="s">
        <v>75</v>
      </c>
      <c r="B8061" s="2">
        <v>177076</v>
      </c>
      <c r="C8061" s="3">
        <v>0.29399999999999998</v>
      </c>
      <c r="D8061" s="4" t="s">
        <v>771</v>
      </c>
      <c r="E8061" s="4" t="s">
        <v>241</v>
      </c>
    </row>
    <row r="8062" spans="1:5" hidden="1" x14ac:dyDescent="0.15">
      <c r="A8062" s="1" t="s">
        <v>76</v>
      </c>
      <c r="B8062" s="2">
        <v>103012</v>
      </c>
      <c r="C8062" s="3">
        <v>0.17100000000000001</v>
      </c>
      <c r="D8062" s="4" t="s">
        <v>771</v>
      </c>
      <c r="E8062" s="4" t="s">
        <v>241</v>
      </c>
    </row>
    <row r="8063" spans="1:5" hidden="1" x14ac:dyDescent="0.15">
      <c r="A8063" s="1" t="s">
        <v>77</v>
      </c>
      <c r="B8063" s="2">
        <v>95604</v>
      </c>
      <c r="C8063" s="3">
        <v>0.158</v>
      </c>
      <c r="D8063" s="4" t="s">
        <v>771</v>
      </c>
      <c r="E8063" s="4" t="s">
        <v>241</v>
      </c>
    </row>
    <row r="8064" spans="1:5" ht="26" hidden="1" x14ac:dyDescent="0.15">
      <c r="A8064" s="1" t="s">
        <v>78</v>
      </c>
      <c r="B8064" s="2">
        <v>99243</v>
      </c>
      <c r="C8064" s="3">
        <v>0.16399999999999998</v>
      </c>
      <c r="D8064" s="4" t="s">
        <v>771</v>
      </c>
      <c r="E8064" s="4" t="s">
        <v>241</v>
      </c>
    </row>
    <row r="8065" spans="1:5" hidden="1" x14ac:dyDescent="0.15">
      <c r="A8065" s="1" t="s">
        <v>79</v>
      </c>
      <c r="B8065" s="2">
        <v>134763</v>
      </c>
      <c r="C8065" s="3">
        <v>0.223</v>
      </c>
      <c r="D8065" s="4" t="s">
        <v>771</v>
      </c>
      <c r="E8065" s="4" t="s">
        <v>241</v>
      </c>
    </row>
    <row r="8066" spans="1:5" hidden="1" x14ac:dyDescent="0.15">
      <c r="A8066" s="1" t="s">
        <v>80</v>
      </c>
      <c r="B8066" s="2">
        <v>47573</v>
      </c>
      <c r="C8066" s="3">
        <v>7.9000000000000001E-2</v>
      </c>
      <c r="D8066" s="4" t="s">
        <v>771</v>
      </c>
      <c r="E8066" s="4" t="s">
        <v>241</v>
      </c>
    </row>
    <row r="8067" spans="1:5" ht="26" hidden="1" x14ac:dyDescent="0.15">
      <c r="A8067" s="1" t="s">
        <v>81</v>
      </c>
      <c r="B8067" s="2">
        <v>88292</v>
      </c>
      <c r="C8067" s="3">
        <v>0.14599999999999999</v>
      </c>
      <c r="D8067" s="4" t="s">
        <v>771</v>
      </c>
      <c r="E8067" s="4" t="s">
        <v>241</v>
      </c>
    </row>
    <row r="8068" spans="1:5" hidden="1" x14ac:dyDescent="0.15">
      <c r="A8068" s="1" t="s">
        <v>82</v>
      </c>
      <c r="B8068" s="2">
        <v>93233</v>
      </c>
      <c r="C8068" s="3">
        <v>0.155</v>
      </c>
      <c r="D8068" s="4" t="s">
        <v>771</v>
      </c>
      <c r="E8068" s="4" t="s">
        <v>241</v>
      </c>
    </row>
    <row r="8069" spans="1:5" hidden="1" x14ac:dyDescent="0.15">
      <c r="A8069" s="4"/>
      <c r="B8069" s="4"/>
      <c r="C8069" s="4"/>
      <c r="D8069" s="4" t="s">
        <v>771</v>
      </c>
      <c r="E8069" s="4" t="s">
        <v>241</v>
      </c>
    </row>
    <row r="8070" spans="1:5" hidden="1" x14ac:dyDescent="0.15">
      <c r="A8070" s="5"/>
      <c r="B8070" s="5"/>
      <c r="C8070" s="5"/>
      <c r="D8070" s="4" t="s">
        <v>771</v>
      </c>
      <c r="E8070" s="4" t="s">
        <v>241</v>
      </c>
    </row>
    <row r="8071" spans="1:5" ht="26" hidden="1" x14ac:dyDescent="0.15">
      <c r="A8071" s="1" t="s">
        <v>259</v>
      </c>
      <c r="B8071" s="2">
        <v>96761</v>
      </c>
      <c r="C8071" s="3">
        <v>0.16</v>
      </c>
      <c r="D8071" s="4" t="s">
        <v>771</v>
      </c>
      <c r="E8071" s="4" t="s">
        <v>241</v>
      </c>
    </row>
    <row r="8072" spans="1:5" ht="26" hidden="1" x14ac:dyDescent="0.15">
      <c r="A8072" s="1" t="s">
        <v>260</v>
      </c>
      <c r="B8072" s="2">
        <v>167719</v>
      </c>
      <c r="C8072" s="3">
        <v>0.27800000000000002</v>
      </c>
      <c r="D8072" s="4" t="s">
        <v>771</v>
      </c>
      <c r="E8072" s="4" t="s">
        <v>241</v>
      </c>
    </row>
    <row r="8073" spans="1:5" hidden="1" x14ac:dyDescent="0.15">
      <c r="A8073" s="4"/>
      <c r="B8073" s="4"/>
      <c r="C8073" s="4"/>
      <c r="D8073" s="4" t="s">
        <v>771</v>
      </c>
      <c r="E8073" s="4" t="s">
        <v>241</v>
      </c>
    </row>
    <row r="8074" spans="1:5" ht="26" hidden="1" x14ac:dyDescent="0.15">
      <c r="A8074" s="1" t="s">
        <v>263</v>
      </c>
      <c r="B8074" s="2">
        <v>62470</v>
      </c>
      <c r="C8074" s="3">
        <v>0.10400000000000001</v>
      </c>
      <c r="D8074" s="4" t="s">
        <v>771</v>
      </c>
      <c r="E8074" s="4" t="s">
        <v>241</v>
      </c>
    </row>
    <row r="8075" spans="1:5" ht="26" hidden="1" x14ac:dyDescent="0.15">
      <c r="A8075" s="1" t="s">
        <v>264</v>
      </c>
      <c r="B8075" s="2">
        <v>164750</v>
      </c>
      <c r="C8075" s="3">
        <v>0.27300000000000002</v>
      </c>
      <c r="D8075" s="4" t="s">
        <v>771</v>
      </c>
      <c r="E8075" s="4" t="s">
        <v>241</v>
      </c>
    </row>
    <row r="8076" spans="1:5" hidden="1" x14ac:dyDescent="0.15">
      <c r="A8076" s="4"/>
      <c r="B8076" s="4"/>
      <c r="C8076" s="4"/>
      <c r="D8076" s="4" t="s">
        <v>771</v>
      </c>
      <c r="E8076" s="4" t="s">
        <v>241</v>
      </c>
    </row>
    <row r="8077" spans="1:5" hidden="1" x14ac:dyDescent="0.15">
      <c r="A8077" s="5"/>
      <c r="B8077" s="5"/>
      <c r="C8077" s="5"/>
      <c r="D8077" s="4" t="s">
        <v>771</v>
      </c>
      <c r="E8077" s="4" t="s">
        <v>241</v>
      </c>
    </row>
    <row r="8078" spans="1:5" hidden="1" x14ac:dyDescent="0.15">
      <c r="A8078" s="1" t="s">
        <v>246</v>
      </c>
      <c r="B8078" s="2">
        <v>115073</v>
      </c>
      <c r="C8078" s="3">
        <v>0.191</v>
      </c>
      <c r="D8078" s="4" t="s">
        <v>771</v>
      </c>
      <c r="E8078" s="4" t="s">
        <v>241</v>
      </c>
    </row>
    <row r="8079" spans="1:5" hidden="1" x14ac:dyDescent="0.15">
      <c r="A8079" s="4"/>
      <c r="B8079" s="4"/>
      <c r="C8079" s="4"/>
      <c r="D8079" s="4" t="s">
        <v>771</v>
      </c>
      <c r="E8079" s="4" t="s">
        <v>241</v>
      </c>
    </row>
    <row r="8080" spans="1:5" hidden="1" x14ac:dyDescent="0.15">
      <c r="A8080" s="5"/>
      <c r="B8080" s="5"/>
      <c r="C8080" s="5"/>
      <c r="D8080" s="4" t="s">
        <v>771</v>
      </c>
      <c r="E8080" s="4" t="s">
        <v>241</v>
      </c>
    </row>
    <row r="8081" spans="1:5" hidden="1" x14ac:dyDescent="0.15">
      <c r="A8081" s="1" t="s">
        <v>266</v>
      </c>
      <c r="B8081" s="2">
        <v>20271</v>
      </c>
      <c r="C8081" s="3">
        <v>3.4000000000000002E-2</v>
      </c>
      <c r="D8081" s="4" t="s">
        <v>771</v>
      </c>
      <c r="E8081" s="4" t="s">
        <v>241</v>
      </c>
    </row>
    <row r="8082" spans="1:5" ht="26" hidden="1" x14ac:dyDescent="0.15">
      <c r="A8082" s="1" t="s">
        <v>267</v>
      </c>
      <c r="B8082" s="2">
        <v>46987</v>
      </c>
      <c r="C8082" s="3">
        <v>7.8E-2</v>
      </c>
      <c r="D8082" s="4" t="s">
        <v>771</v>
      </c>
      <c r="E8082" s="4" t="s">
        <v>241</v>
      </c>
    </row>
    <row r="8083" spans="1:5" hidden="1" x14ac:dyDescent="0.15">
      <c r="A8083" s="4"/>
      <c r="B8083" s="4"/>
      <c r="C8083" s="4"/>
      <c r="D8083" s="4" t="s">
        <v>771</v>
      </c>
      <c r="E8083" s="4" t="s">
        <v>241</v>
      </c>
    </row>
    <row r="8084" spans="1:5" hidden="1" x14ac:dyDescent="0.15">
      <c r="A8084" s="5"/>
      <c r="B8084" s="5"/>
      <c r="C8084" s="5"/>
      <c r="D8084" s="4" t="s">
        <v>771</v>
      </c>
      <c r="E8084" s="4" t="s">
        <v>241</v>
      </c>
    </row>
    <row r="8085" spans="1:5" ht="26" hidden="1" x14ac:dyDescent="0.15">
      <c r="A8085" s="1" t="s">
        <v>772</v>
      </c>
      <c r="B8085" s="2">
        <v>35631</v>
      </c>
      <c r="C8085" s="3">
        <v>5.9000000000000004E-2</v>
      </c>
      <c r="D8085" s="4" t="s">
        <v>771</v>
      </c>
      <c r="E8085" s="4" t="s">
        <v>241</v>
      </c>
    </row>
    <row r="8086" spans="1:5" ht="26" hidden="1" x14ac:dyDescent="0.15">
      <c r="A8086" s="1" t="s">
        <v>773</v>
      </c>
      <c r="B8086" s="2">
        <v>33193</v>
      </c>
      <c r="C8086" s="3">
        <v>5.5E-2</v>
      </c>
      <c r="D8086" s="4" t="s">
        <v>771</v>
      </c>
      <c r="E8086" s="4" t="s">
        <v>241</v>
      </c>
    </row>
    <row r="8087" spans="1:5" ht="26" hidden="1" x14ac:dyDescent="0.15">
      <c r="A8087" s="1" t="s">
        <v>774</v>
      </c>
      <c r="B8087" s="2">
        <v>38558</v>
      </c>
      <c r="C8087" s="3">
        <v>6.4000000000000001E-2</v>
      </c>
      <c r="D8087" s="4" t="s">
        <v>771</v>
      </c>
      <c r="E8087" s="4" t="s">
        <v>241</v>
      </c>
    </row>
    <row r="8088" spans="1:5" ht="26" hidden="1" x14ac:dyDescent="0.15">
      <c r="A8088" s="1" t="s">
        <v>775</v>
      </c>
      <c r="B8088" s="2">
        <v>48794</v>
      </c>
      <c r="C8088" s="3">
        <v>8.1000000000000003E-2</v>
      </c>
      <c r="D8088" s="4" t="s">
        <v>771</v>
      </c>
      <c r="E8088" s="4" t="s">
        <v>241</v>
      </c>
    </row>
    <row r="8089" spans="1:5" ht="26" hidden="1" x14ac:dyDescent="0.15">
      <c r="A8089" s="1" t="s">
        <v>776</v>
      </c>
      <c r="B8089" s="2">
        <v>49941</v>
      </c>
      <c r="C8089" s="3">
        <v>8.3000000000000004E-2</v>
      </c>
      <c r="D8089" s="4" t="s">
        <v>771</v>
      </c>
      <c r="E8089" s="4" t="s">
        <v>241</v>
      </c>
    </row>
    <row r="8090" spans="1:5" ht="26" hidden="1" x14ac:dyDescent="0.15">
      <c r="A8090" s="1" t="s">
        <v>777</v>
      </c>
      <c r="B8090" s="2">
        <v>67073</v>
      </c>
      <c r="C8090" s="3">
        <v>0.111</v>
      </c>
      <c r="D8090" s="4" t="s">
        <v>771</v>
      </c>
      <c r="E8090" s="4" t="s">
        <v>241</v>
      </c>
    </row>
    <row r="8091" spans="1:5" hidden="1" x14ac:dyDescent="0.15">
      <c r="A8091" s="1" t="s">
        <v>0</v>
      </c>
      <c r="B8091" s="2">
        <v>1480527</v>
      </c>
      <c r="C8091" s="3">
        <v>1</v>
      </c>
      <c r="D8091" s="4" t="s">
        <v>778</v>
      </c>
      <c r="E8091" s="4" t="s">
        <v>272</v>
      </c>
    </row>
    <row r="8092" spans="1:5" ht="26" hidden="1" x14ac:dyDescent="0.15">
      <c r="A8092" s="1" t="s">
        <v>3</v>
      </c>
      <c r="B8092" s="2">
        <v>10739</v>
      </c>
      <c r="C8092" s="3">
        <v>6.9999999999999993E-3</v>
      </c>
      <c r="D8092" s="4" t="s">
        <v>778</v>
      </c>
      <c r="E8092" s="4" t="s">
        <v>272</v>
      </c>
    </row>
    <row r="8093" spans="1:5" hidden="1" x14ac:dyDescent="0.15">
      <c r="A8093" s="1" t="s">
        <v>4</v>
      </c>
      <c r="B8093" s="2">
        <v>15836</v>
      </c>
      <c r="C8093" s="3">
        <v>1.1000000000000001E-2</v>
      </c>
      <c r="D8093" s="4" t="s">
        <v>778</v>
      </c>
      <c r="E8093" s="4" t="s">
        <v>272</v>
      </c>
    </row>
    <row r="8094" spans="1:5" ht="26" hidden="1" x14ac:dyDescent="0.15">
      <c r="A8094" s="1" t="s">
        <v>5</v>
      </c>
      <c r="B8094" s="2">
        <v>78110</v>
      </c>
      <c r="C8094" s="3">
        <v>5.2999999999999999E-2</v>
      </c>
      <c r="D8094" s="4" t="s">
        <v>778</v>
      </c>
      <c r="E8094" s="4" t="s">
        <v>272</v>
      </c>
    </row>
    <row r="8095" spans="1:5" ht="26" hidden="1" x14ac:dyDescent="0.15">
      <c r="A8095" s="1" t="s">
        <v>6</v>
      </c>
      <c r="B8095" s="2">
        <v>118774</v>
      </c>
      <c r="C8095" s="3">
        <v>0.08</v>
      </c>
      <c r="D8095" s="4" t="s">
        <v>778</v>
      </c>
      <c r="E8095" s="4" t="s">
        <v>272</v>
      </c>
    </row>
    <row r="8096" spans="1:5" ht="26" hidden="1" x14ac:dyDescent="0.15">
      <c r="A8096" s="1" t="s">
        <v>7</v>
      </c>
      <c r="B8096" s="2">
        <v>400033</v>
      </c>
      <c r="C8096" s="3">
        <v>0.27</v>
      </c>
      <c r="D8096" s="4" t="s">
        <v>778</v>
      </c>
      <c r="E8096" s="4" t="s">
        <v>272</v>
      </c>
    </row>
    <row r="8097" spans="1:5" ht="26" hidden="1" x14ac:dyDescent="0.15">
      <c r="A8097" s="1" t="s">
        <v>8</v>
      </c>
      <c r="B8097" s="2">
        <v>3936</v>
      </c>
      <c r="C8097" s="3">
        <v>3.0000000000000001E-3</v>
      </c>
      <c r="D8097" s="4" t="s">
        <v>778</v>
      </c>
      <c r="E8097" s="4" t="s">
        <v>272</v>
      </c>
    </row>
    <row r="8098" spans="1:5" ht="26" hidden="1" x14ac:dyDescent="0.15">
      <c r="A8098" s="1" t="s">
        <v>9</v>
      </c>
      <c r="B8098" s="2">
        <v>46512</v>
      </c>
      <c r="C8098" s="3">
        <v>3.1E-2</v>
      </c>
      <c r="D8098" s="4" t="s">
        <v>778</v>
      </c>
      <c r="E8098" s="4" t="s">
        <v>272</v>
      </c>
    </row>
    <row r="8099" spans="1:5" ht="26" hidden="1" x14ac:dyDescent="0.15">
      <c r="A8099" s="1" t="s">
        <v>10</v>
      </c>
      <c r="B8099" s="2">
        <v>23561</v>
      </c>
      <c r="C8099" s="3">
        <v>1.6E-2</v>
      </c>
      <c r="D8099" s="4" t="s">
        <v>778</v>
      </c>
      <c r="E8099" s="4" t="s">
        <v>272</v>
      </c>
    </row>
    <row r="8100" spans="1:5" ht="26" hidden="1" x14ac:dyDescent="0.15">
      <c r="A8100" s="1" t="s">
        <v>11</v>
      </c>
      <c r="B8100" s="2">
        <v>73344</v>
      </c>
      <c r="C8100" s="3">
        <v>0.05</v>
      </c>
      <c r="D8100" s="4" t="s">
        <v>778</v>
      </c>
      <c r="E8100" s="4" t="s">
        <v>272</v>
      </c>
    </row>
    <row r="8101" spans="1:5" ht="26" hidden="1" x14ac:dyDescent="0.15">
      <c r="A8101" s="1" t="s">
        <v>12</v>
      </c>
      <c r="B8101" s="2">
        <v>24328</v>
      </c>
      <c r="C8101" s="3">
        <v>1.6E-2</v>
      </c>
      <c r="D8101" s="4" t="s">
        <v>778</v>
      </c>
      <c r="E8101" s="4" t="s">
        <v>272</v>
      </c>
    </row>
    <row r="8102" spans="1:5" ht="26" hidden="1" x14ac:dyDescent="0.15">
      <c r="A8102" s="1" t="s">
        <v>13</v>
      </c>
      <c r="B8102" s="2">
        <v>6807</v>
      </c>
      <c r="C8102" s="3">
        <v>5.0000000000000001E-3</v>
      </c>
      <c r="D8102" s="4" t="s">
        <v>778</v>
      </c>
      <c r="E8102" s="4" t="s">
        <v>272</v>
      </c>
    </row>
    <row r="8103" spans="1:5" hidden="1" x14ac:dyDescent="0.15">
      <c r="A8103" s="1" t="s">
        <v>14</v>
      </c>
      <c r="B8103" s="2">
        <v>94577</v>
      </c>
      <c r="C8103" s="3">
        <v>6.4000000000000001E-2</v>
      </c>
      <c r="D8103" s="4" t="s">
        <v>778</v>
      </c>
      <c r="E8103" s="4" t="s">
        <v>272</v>
      </c>
    </row>
    <row r="8104" spans="1:5" ht="26" hidden="1" x14ac:dyDescent="0.15">
      <c r="A8104" s="1" t="s">
        <v>15</v>
      </c>
      <c r="B8104" s="2">
        <v>80022</v>
      </c>
      <c r="C8104" s="3">
        <v>5.4000000000000006E-2</v>
      </c>
      <c r="D8104" s="4" t="s">
        <v>778</v>
      </c>
      <c r="E8104" s="4" t="s">
        <v>272</v>
      </c>
    </row>
    <row r="8105" spans="1:5" ht="26" hidden="1" x14ac:dyDescent="0.15">
      <c r="A8105" s="1" t="s">
        <v>16</v>
      </c>
      <c r="B8105" s="2">
        <v>51694</v>
      </c>
      <c r="C8105" s="3">
        <v>3.5000000000000003E-2</v>
      </c>
      <c r="D8105" s="4" t="s">
        <v>778</v>
      </c>
      <c r="E8105" s="4" t="s">
        <v>272</v>
      </c>
    </row>
    <row r="8106" spans="1:5" ht="26" hidden="1" x14ac:dyDescent="0.15">
      <c r="A8106" s="1" t="s">
        <v>17</v>
      </c>
      <c r="B8106" s="2">
        <v>19624</v>
      </c>
      <c r="C8106" s="3">
        <v>1.3000000000000001E-2</v>
      </c>
      <c r="D8106" s="4" t="s">
        <v>778</v>
      </c>
      <c r="E8106" s="4" t="s">
        <v>272</v>
      </c>
    </row>
    <row r="8107" spans="1:5" hidden="1" x14ac:dyDescent="0.15">
      <c r="A8107" s="1" t="s">
        <v>18</v>
      </c>
      <c r="B8107" s="2">
        <v>19004</v>
      </c>
      <c r="C8107" s="3">
        <v>1.3000000000000001E-2</v>
      </c>
      <c r="D8107" s="4" t="s">
        <v>778</v>
      </c>
      <c r="E8107" s="4" t="s">
        <v>272</v>
      </c>
    </row>
    <row r="8108" spans="1:5" hidden="1" x14ac:dyDescent="0.15">
      <c r="A8108" s="1" t="s">
        <v>19</v>
      </c>
      <c r="B8108" s="2">
        <v>140006</v>
      </c>
      <c r="C8108" s="3">
        <v>9.5000000000000001E-2</v>
      </c>
      <c r="D8108" s="4" t="s">
        <v>778</v>
      </c>
      <c r="E8108" s="4" t="s">
        <v>272</v>
      </c>
    </row>
    <row r="8109" spans="1:5" hidden="1" x14ac:dyDescent="0.15">
      <c r="A8109" s="1" t="s">
        <v>20</v>
      </c>
      <c r="B8109" s="2">
        <v>37304</v>
      </c>
      <c r="C8109" s="3">
        <v>2.5000000000000001E-2</v>
      </c>
      <c r="D8109" s="4" t="s">
        <v>778</v>
      </c>
      <c r="E8109" s="4" t="s">
        <v>272</v>
      </c>
    </row>
    <row r="8110" spans="1:5" ht="26" hidden="1" x14ac:dyDescent="0.15">
      <c r="A8110" s="1" t="s">
        <v>21</v>
      </c>
      <c r="B8110" s="2">
        <v>57033</v>
      </c>
      <c r="C8110" s="3">
        <v>3.9E-2</v>
      </c>
      <c r="D8110" s="4" t="s">
        <v>778</v>
      </c>
      <c r="E8110" s="4" t="s">
        <v>272</v>
      </c>
    </row>
    <row r="8111" spans="1:5" ht="26" hidden="1" x14ac:dyDescent="0.15">
      <c r="A8111" s="1" t="s">
        <v>22</v>
      </c>
      <c r="B8111" s="2">
        <v>36950</v>
      </c>
      <c r="C8111" s="3">
        <v>2.5000000000000001E-2</v>
      </c>
      <c r="D8111" s="4" t="s">
        <v>778</v>
      </c>
      <c r="E8111" s="4" t="s">
        <v>272</v>
      </c>
    </row>
    <row r="8112" spans="1:5" ht="26" hidden="1" x14ac:dyDescent="0.15">
      <c r="A8112" s="1" t="s">
        <v>23</v>
      </c>
      <c r="B8112" s="2">
        <v>24415</v>
      </c>
      <c r="C8112" s="3">
        <v>1.6E-2</v>
      </c>
      <c r="D8112" s="4" t="s">
        <v>778</v>
      </c>
      <c r="E8112" s="4" t="s">
        <v>272</v>
      </c>
    </row>
    <row r="8113" spans="1:5" ht="26" hidden="1" x14ac:dyDescent="0.15">
      <c r="A8113" s="1" t="s">
        <v>24</v>
      </c>
      <c r="B8113" s="2">
        <v>14605</v>
      </c>
      <c r="C8113" s="3">
        <v>0.01</v>
      </c>
      <c r="D8113" s="4" t="s">
        <v>778</v>
      </c>
      <c r="E8113" s="4" t="s">
        <v>272</v>
      </c>
    </row>
    <row r="8114" spans="1:5" ht="26" hidden="1" x14ac:dyDescent="0.15">
      <c r="A8114" s="1" t="s">
        <v>25</v>
      </c>
      <c r="B8114" s="2">
        <v>10524</v>
      </c>
      <c r="C8114" s="3">
        <v>6.9999999999999993E-3</v>
      </c>
      <c r="D8114" s="4" t="s">
        <v>778</v>
      </c>
      <c r="E8114" s="4" t="s">
        <v>272</v>
      </c>
    </row>
    <row r="8115" spans="1:5" hidden="1" x14ac:dyDescent="0.15">
      <c r="A8115" s="1" t="s">
        <v>26</v>
      </c>
      <c r="B8115" s="2">
        <v>15422</v>
      </c>
      <c r="C8115" s="3">
        <v>0.01</v>
      </c>
      <c r="D8115" s="4" t="s">
        <v>778</v>
      </c>
      <c r="E8115" s="4" t="s">
        <v>272</v>
      </c>
    </row>
    <row r="8116" spans="1:5" hidden="1" x14ac:dyDescent="0.15">
      <c r="A8116" s="1" t="s">
        <v>27</v>
      </c>
      <c r="B8116" s="2">
        <v>71453</v>
      </c>
      <c r="C8116" s="3">
        <v>4.8000000000000001E-2</v>
      </c>
      <c r="D8116" s="4" t="s">
        <v>778</v>
      </c>
      <c r="E8116" s="4" t="s">
        <v>272</v>
      </c>
    </row>
    <row r="8117" spans="1:5" hidden="1" x14ac:dyDescent="0.15">
      <c r="A8117" s="1" t="s">
        <v>28</v>
      </c>
      <c r="B8117" s="2">
        <v>145946</v>
      </c>
      <c r="C8117" s="3">
        <v>9.9000000000000005E-2</v>
      </c>
      <c r="D8117" s="4" t="s">
        <v>778</v>
      </c>
      <c r="E8117" s="4" t="s">
        <v>272</v>
      </c>
    </row>
    <row r="8118" spans="1:5" hidden="1" x14ac:dyDescent="0.15">
      <c r="A8118" s="1" t="s">
        <v>29</v>
      </c>
      <c r="B8118" s="2">
        <v>366616</v>
      </c>
      <c r="C8118" s="3">
        <v>0.248</v>
      </c>
      <c r="D8118" s="4" t="s">
        <v>778</v>
      </c>
      <c r="E8118" s="4" t="s">
        <v>272</v>
      </c>
    </row>
    <row r="8119" spans="1:5" hidden="1" x14ac:dyDescent="0.15">
      <c r="A8119" s="1" t="s">
        <v>30</v>
      </c>
      <c r="B8119" s="2">
        <v>29497</v>
      </c>
      <c r="C8119" s="3">
        <v>0.02</v>
      </c>
      <c r="D8119" s="4" t="s">
        <v>778</v>
      </c>
      <c r="E8119" s="4" t="s">
        <v>272</v>
      </c>
    </row>
    <row r="8120" spans="1:5" ht="39" hidden="1" x14ac:dyDescent="0.15">
      <c r="A8120" s="1" t="s">
        <v>31</v>
      </c>
      <c r="B8120" s="2">
        <v>13422</v>
      </c>
      <c r="C8120" s="3">
        <v>9.0000000000000011E-3</v>
      </c>
      <c r="D8120" s="4" t="s">
        <v>778</v>
      </c>
      <c r="E8120" s="4" t="s">
        <v>272</v>
      </c>
    </row>
    <row r="8121" spans="1:5" hidden="1" x14ac:dyDescent="0.15">
      <c r="A8121" s="1" t="s">
        <v>32</v>
      </c>
      <c r="B8121" s="2">
        <v>29457</v>
      </c>
      <c r="C8121" s="3">
        <v>0.02</v>
      </c>
      <c r="D8121" s="4" t="s">
        <v>778</v>
      </c>
      <c r="E8121" s="4" t="s">
        <v>272</v>
      </c>
    </row>
    <row r="8122" spans="1:5" hidden="1" x14ac:dyDescent="0.15">
      <c r="A8122" s="1" t="s">
        <v>33</v>
      </c>
      <c r="B8122" s="2">
        <v>397387</v>
      </c>
      <c r="C8122" s="3">
        <v>0.26800000000000002</v>
      </c>
      <c r="D8122" s="4" t="s">
        <v>778</v>
      </c>
      <c r="E8122" s="4" t="s">
        <v>272</v>
      </c>
    </row>
    <row r="8123" spans="1:5" hidden="1" x14ac:dyDescent="0.15">
      <c r="A8123" s="1" t="s">
        <v>34</v>
      </c>
      <c r="B8123" s="2">
        <v>86702</v>
      </c>
      <c r="C8123" s="3">
        <v>5.9000000000000004E-2</v>
      </c>
      <c r="D8123" s="4" t="s">
        <v>778</v>
      </c>
      <c r="E8123" s="4" t="s">
        <v>272</v>
      </c>
    </row>
    <row r="8124" spans="1:5" hidden="1" x14ac:dyDescent="0.15">
      <c r="A8124" s="1" t="s">
        <v>35</v>
      </c>
      <c r="B8124" s="2">
        <v>83052</v>
      </c>
      <c r="C8124" s="3">
        <v>5.5999999999999994E-2</v>
      </c>
      <c r="D8124" s="4" t="s">
        <v>778</v>
      </c>
      <c r="E8124" s="4" t="s">
        <v>272</v>
      </c>
    </row>
    <row r="8125" spans="1:5" ht="26" hidden="1" x14ac:dyDescent="0.15">
      <c r="A8125" s="1" t="s">
        <v>36</v>
      </c>
      <c r="B8125" s="2">
        <v>36943</v>
      </c>
      <c r="C8125" s="3">
        <v>2.5000000000000001E-2</v>
      </c>
      <c r="D8125" s="4" t="s">
        <v>778</v>
      </c>
      <c r="E8125" s="4" t="s">
        <v>272</v>
      </c>
    </row>
    <row r="8126" spans="1:5" hidden="1" x14ac:dyDescent="0.15">
      <c r="A8126" s="1" t="s">
        <v>37</v>
      </c>
      <c r="B8126" s="2">
        <v>34692</v>
      </c>
      <c r="C8126" s="3">
        <v>2.3E-2</v>
      </c>
      <c r="D8126" s="4" t="s">
        <v>778</v>
      </c>
      <c r="E8126" s="4" t="s">
        <v>272</v>
      </c>
    </row>
    <row r="8127" spans="1:5" ht="39" hidden="1" x14ac:dyDescent="0.15">
      <c r="A8127" s="1" t="s">
        <v>38</v>
      </c>
      <c r="B8127" s="2">
        <v>10898</v>
      </c>
      <c r="C8127" s="3">
        <v>6.9999999999999993E-3</v>
      </c>
      <c r="D8127" s="4" t="s">
        <v>778</v>
      </c>
      <c r="E8127" s="4" t="s">
        <v>272</v>
      </c>
    </row>
    <row r="8128" spans="1:5" hidden="1" x14ac:dyDescent="0.15">
      <c r="A8128" s="1" t="s">
        <v>39</v>
      </c>
      <c r="B8128" s="2">
        <v>64534</v>
      </c>
      <c r="C8128" s="3">
        <v>4.4000000000000004E-2</v>
      </c>
      <c r="D8128" s="4" t="s">
        <v>778</v>
      </c>
      <c r="E8128" s="4" t="s">
        <v>272</v>
      </c>
    </row>
    <row r="8129" spans="1:5" hidden="1" x14ac:dyDescent="0.15">
      <c r="A8129" s="1" t="s">
        <v>40</v>
      </c>
      <c r="B8129" s="2">
        <v>13945</v>
      </c>
      <c r="C8129" s="3">
        <v>9.0000000000000011E-3</v>
      </c>
      <c r="D8129" s="4" t="s">
        <v>778</v>
      </c>
      <c r="E8129" s="4" t="s">
        <v>272</v>
      </c>
    </row>
    <row r="8130" spans="1:5" hidden="1" x14ac:dyDescent="0.15">
      <c r="A8130" s="1" t="s">
        <v>41</v>
      </c>
      <c r="B8130" s="2">
        <v>33660</v>
      </c>
      <c r="C8130" s="3">
        <v>2.3E-2</v>
      </c>
      <c r="D8130" s="4" t="s">
        <v>778</v>
      </c>
      <c r="E8130" s="4" t="s">
        <v>272</v>
      </c>
    </row>
    <row r="8131" spans="1:5" hidden="1" x14ac:dyDescent="0.15">
      <c r="A8131" s="1" t="s">
        <v>42</v>
      </c>
      <c r="B8131" s="2">
        <v>38284</v>
      </c>
      <c r="C8131" s="3">
        <v>2.6000000000000002E-2</v>
      </c>
      <c r="D8131" s="4" t="s">
        <v>778</v>
      </c>
      <c r="E8131" s="4" t="s">
        <v>272</v>
      </c>
    </row>
    <row r="8132" spans="1:5" hidden="1" x14ac:dyDescent="0.15">
      <c r="A8132" s="1" t="s">
        <v>43</v>
      </c>
      <c r="B8132" s="2">
        <v>107490</v>
      </c>
      <c r="C8132" s="3">
        <v>7.2999999999999995E-2</v>
      </c>
      <c r="D8132" s="4" t="s">
        <v>778</v>
      </c>
      <c r="E8132" s="4" t="s">
        <v>272</v>
      </c>
    </row>
    <row r="8133" spans="1:5" ht="26" hidden="1" x14ac:dyDescent="0.15">
      <c r="A8133" s="1" t="s">
        <v>44</v>
      </c>
      <c r="B8133" s="2">
        <v>156771</v>
      </c>
      <c r="C8133" s="3">
        <v>0.106</v>
      </c>
      <c r="D8133" s="4" t="s">
        <v>778</v>
      </c>
      <c r="E8133" s="4" t="s">
        <v>272</v>
      </c>
    </row>
    <row r="8134" spans="1:5" hidden="1" x14ac:dyDescent="0.15">
      <c r="A8134" s="1" t="s">
        <v>45</v>
      </c>
      <c r="B8134" s="2">
        <v>425395</v>
      </c>
      <c r="C8134" s="3">
        <v>0.28699999999999998</v>
      </c>
      <c r="D8134" s="4" t="s">
        <v>778</v>
      </c>
      <c r="E8134" s="4" t="s">
        <v>272</v>
      </c>
    </row>
    <row r="8135" spans="1:5" ht="26" hidden="1" x14ac:dyDescent="0.15">
      <c r="A8135" s="1" t="s">
        <v>46</v>
      </c>
      <c r="B8135" s="2">
        <v>496078</v>
      </c>
      <c r="C8135" s="3">
        <v>0.33500000000000002</v>
      </c>
      <c r="D8135" s="4" t="s">
        <v>778</v>
      </c>
      <c r="E8135" s="4" t="s">
        <v>272</v>
      </c>
    </row>
    <row r="8136" spans="1:5" hidden="1" x14ac:dyDescent="0.15">
      <c r="A8136" s="1" t="s">
        <v>47</v>
      </c>
      <c r="B8136" s="2">
        <v>813661</v>
      </c>
      <c r="C8136" s="3">
        <v>0.55000000000000004</v>
      </c>
      <c r="D8136" s="4" t="s">
        <v>778</v>
      </c>
      <c r="E8136" s="4" t="s">
        <v>272</v>
      </c>
    </row>
    <row r="8137" spans="1:5" hidden="1" x14ac:dyDescent="0.15">
      <c r="A8137" s="1" t="s">
        <v>48</v>
      </c>
      <c r="B8137" s="2">
        <v>108036</v>
      </c>
      <c r="C8137" s="3">
        <v>7.2999999999999995E-2</v>
      </c>
      <c r="D8137" s="4" t="s">
        <v>778</v>
      </c>
      <c r="E8137" s="4" t="s">
        <v>272</v>
      </c>
    </row>
    <row r="8138" spans="1:5" hidden="1" x14ac:dyDescent="0.15">
      <c r="A8138" s="1" t="s">
        <v>49</v>
      </c>
      <c r="B8138" s="2">
        <v>218827</v>
      </c>
      <c r="C8138" s="3">
        <v>0.14800000000000002</v>
      </c>
      <c r="D8138" s="4" t="s">
        <v>778</v>
      </c>
      <c r="E8138" s="4" t="s">
        <v>272</v>
      </c>
    </row>
    <row r="8139" spans="1:5" ht="26" hidden="1" x14ac:dyDescent="0.15">
      <c r="A8139" s="1" t="s">
        <v>50</v>
      </c>
      <c r="B8139" s="2">
        <v>236283</v>
      </c>
      <c r="C8139" s="3">
        <v>0.16</v>
      </c>
      <c r="D8139" s="4" t="s">
        <v>778</v>
      </c>
      <c r="E8139" s="4" t="s">
        <v>272</v>
      </c>
    </row>
    <row r="8140" spans="1:5" hidden="1" x14ac:dyDescent="0.15">
      <c r="A8140" s="1" t="s">
        <v>51</v>
      </c>
      <c r="B8140" s="2">
        <v>417977</v>
      </c>
      <c r="C8140" s="3">
        <v>0.28199999999999997</v>
      </c>
      <c r="D8140" s="4" t="s">
        <v>778</v>
      </c>
      <c r="E8140" s="4" t="s">
        <v>272</v>
      </c>
    </row>
    <row r="8141" spans="1:5" hidden="1" x14ac:dyDescent="0.15">
      <c r="A8141" s="1" t="s">
        <v>52</v>
      </c>
      <c r="B8141" s="2">
        <v>252520</v>
      </c>
      <c r="C8141" s="3">
        <v>0.17100000000000001</v>
      </c>
      <c r="D8141" s="4" t="s">
        <v>778</v>
      </c>
      <c r="E8141" s="4" t="s">
        <v>272</v>
      </c>
    </row>
    <row r="8142" spans="1:5" ht="26" hidden="1" x14ac:dyDescent="0.15">
      <c r="A8142" s="1" t="s">
        <v>53</v>
      </c>
      <c r="B8142" s="2">
        <v>97683</v>
      </c>
      <c r="C8142" s="3">
        <v>6.6000000000000003E-2</v>
      </c>
      <c r="D8142" s="4" t="s">
        <v>778</v>
      </c>
      <c r="E8142" s="4" t="s">
        <v>272</v>
      </c>
    </row>
    <row r="8143" spans="1:5" hidden="1" x14ac:dyDescent="0.15">
      <c r="A8143" s="1" t="s">
        <v>54</v>
      </c>
      <c r="B8143" s="2">
        <v>567958</v>
      </c>
      <c r="C8143" s="3">
        <v>0.38400000000000001</v>
      </c>
      <c r="D8143" s="4" t="s">
        <v>778</v>
      </c>
      <c r="E8143" s="4" t="s">
        <v>272</v>
      </c>
    </row>
    <row r="8144" spans="1:5" ht="26" hidden="1" x14ac:dyDescent="0.15">
      <c r="A8144" s="1" t="s">
        <v>55</v>
      </c>
      <c r="B8144" s="2">
        <v>466467</v>
      </c>
      <c r="C8144" s="3">
        <v>0.315</v>
      </c>
      <c r="D8144" s="4" t="s">
        <v>778</v>
      </c>
      <c r="E8144" s="4" t="s">
        <v>272</v>
      </c>
    </row>
    <row r="8145" spans="1:5" hidden="1" x14ac:dyDescent="0.15">
      <c r="A8145" s="1" t="s">
        <v>56</v>
      </c>
      <c r="B8145" s="2">
        <v>300591</v>
      </c>
      <c r="C8145" s="3">
        <v>0.20300000000000001</v>
      </c>
      <c r="D8145" s="4" t="s">
        <v>778</v>
      </c>
      <c r="E8145" s="4" t="s">
        <v>272</v>
      </c>
    </row>
    <row r="8146" spans="1:5" hidden="1" x14ac:dyDescent="0.15">
      <c r="A8146" s="1" t="s">
        <v>57</v>
      </c>
      <c r="B8146" s="2">
        <v>172181</v>
      </c>
      <c r="C8146" s="3">
        <v>0.11599999999999999</v>
      </c>
      <c r="D8146" s="4" t="s">
        <v>778</v>
      </c>
      <c r="E8146" s="4" t="s">
        <v>272</v>
      </c>
    </row>
    <row r="8147" spans="1:5" hidden="1" x14ac:dyDescent="0.15">
      <c r="A8147" s="1" t="s">
        <v>58</v>
      </c>
      <c r="B8147" s="2">
        <v>143222</v>
      </c>
      <c r="C8147" s="3">
        <v>9.6999999999999989E-2</v>
      </c>
      <c r="D8147" s="4" t="s">
        <v>778</v>
      </c>
      <c r="E8147" s="4" t="s">
        <v>272</v>
      </c>
    </row>
    <row r="8148" spans="1:5" hidden="1" x14ac:dyDescent="0.15">
      <c r="A8148" s="1" t="s">
        <v>59</v>
      </c>
      <c r="B8148" s="2">
        <v>603897</v>
      </c>
      <c r="C8148" s="3">
        <v>0.40799999999999997</v>
      </c>
      <c r="D8148" s="4" t="s">
        <v>778</v>
      </c>
      <c r="E8148" s="4" t="s">
        <v>272</v>
      </c>
    </row>
    <row r="8149" spans="1:5" hidden="1" x14ac:dyDescent="0.15">
      <c r="A8149" s="1" t="s">
        <v>60</v>
      </c>
      <c r="B8149" s="2">
        <v>235533</v>
      </c>
      <c r="C8149" s="3">
        <v>0.159</v>
      </c>
      <c r="D8149" s="4" t="s">
        <v>778</v>
      </c>
      <c r="E8149" s="4" t="s">
        <v>272</v>
      </c>
    </row>
    <row r="8150" spans="1:5" ht="26" hidden="1" x14ac:dyDescent="0.15">
      <c r="A8150" s="1" t="s">
        <v>61</v>
      </c>
      <c r="B8150" s="2">
        <v>285309</v>
      </c>
      <c r="C8150" s="3">
        <v>0.193</v>
      </c>
      <c r="D8150" s="4" t="s">
        <v>778</v>
      </c>
      <c r="E8150" s="4" t="s">
        <v>272</v>
      </c>
    </row>
    <row r="8151" spans="1:5" hidden="1" x14ac:dyDescent="0.15">
      <c r="A8151" s="1" t="s">
        <v>62</v>
      </c>
      <c r="B8151" s="2">
        <v>196723</v>
      </c>
      <c r="C8151" s="3">
        <v>0.13300000000000001</v>
      </c>
      <c r="D8151" s="4" t="s">
        <v>778</v>
      </c>
      <c r="E8151" s="4" t="s">
        <v>272</v>
      </c>
    </row>
    <row r="8152" spans="1:5" ht="26" hidden="1" x14ac:dyDescent="0.15">
      <c r="A8152" s="1" t="s">
        <v>63</v>
      </c>
      <c r="B8152" s="2">
        <v>263659</v>
      </c>
      <c r="C8152" s="3">
        <v>0.17800000000000002</v>
      </c>
      <c r="D8152" s="4" t="s">
        <v>778</v>
      </c>
      <c r="E8152" s="4" t="s">
        <v>272</v>
      </c>
    </row>
    <row r="8153" spans="1:5" ht="26" hidden="1" x14ac:dyDescent="0.15">
      <c r="A8153" s="1" t="s">
        <v>64</v>
      </c>
      <c r="B8153" s="2">
        <v>95088</v>
      </c>
      <c r="C8153" s="3">
        <v>6.4000000000000001E-2</v>
      </c>
      <c r="D8153" s="4" t="s">
        <v>778</v>
      </c>
      <c r="E8153" s="4" t="s">
        <v>272</v>
      </c>
    </row>
    <row r="8154" spans="1:5" hidden="1" x14ac:dyDescent="0.15">
      <c r="A8154" s="1" t="s">
        <v>65</v>
      </c>
      <c r="B8154" s="2">
        <v>183089</v>
      </c>
      <c r="C8154" s="3">
        <v>0.124</v>
      </c>
      <c r="D8154" s="4" t="s">
        <v>778</v>
      </c>
      <c r="E8154" s="4" t="s">
        <v>272</v>
      </c>
    </row>
    <row r="8155" spans="1:5" hidden="1" x14ac:dyDescent="0.15">
      <c r="A8155" s="1" t="s">
        <v>66</v>
      </c>
      <c r="B8155" s="2">
        <v>126537</v>
      </c>
      <c r="C8155" s="3">
        <v>8.5000000000000006E-2</v>
      </c>
      <c r="D8155" s="4" t="s">
        <v>778</v>
      </c>
      <c r="E8155" s="4" t="s">
        <v>272</v>
      </c>
    </row>
    <row r="8156" spans="1:5" hidden="1" x14ac:dyDescent="0.15">
      <c r="A8156" s="1" t="s">
        <v>67</v>
      </c>
      <c r="B8156" s="2">
        <v>281814</v>
      </c>
      <c r="C8156" s="3">
        <v>0.19</v>
      </c>
      <c r="D8156" s="4" t="s">
        <v>778</v>
      </c>
      <c r="E8156" s="4" t="s">
        <v>272</v>
      </c>
    </row>
    <row r="8157" spans="1:5" hidden="1" x14ac:dyDescent="0.15">
      <c r="A8157" s="1" t="s">
        <v>68</v>
      </c>
      <c r="B8157" s="2">
        <v>529481</v>
      </c>
      <c r="C8157" s="3">
        <v>0.35799999999999998</v>
      </c>
      <c r="D8157" s="4" t="s">
        <v>778</v>
      </c>
      <c r="E8157" s="4" t="s">
        <v>272</v>
      </c>
    </row>
    <row r="8158" spans="1:5" hidden="1" x14ac:dyDescent="0.15">
      <c r="A8158" s="1" t="s">
        <v>69</v>
      </c>
      <c r="B8158" s="2">
        <v>837324</v>
      </c>
      <c r="C8158" s="3">
        <v>0.56600000000000006</v>
      </c>
      <c r="D8158" s="4" t="s">
        <v>778</v>
      </c>
      <c r="E8158" s="4" t="s">
        <v>272</v>
      </c>
    </row>
    <row r="8159" spans="1:5" hidden="1" x14ac:dyDescent="0.15">
      <c r="A8159" s="1" t="s">
        <v>70</v>
      </c>
      <c r="B8159" s="2">
        <v>215621</v>
      </c>
      <c r="C8159" s="3">
        <v>0.14599999999999999</v>
      </c>
      <c r="D8159" s="4" t="s">
        <v>778</v>
      </c>
      <c r="E8159" s="4" t="s">
        <v>272</v>
      </c>
    </row>
    <row r="8160" spans="1:5" ht="26" hidden="1" x14ac:dyDescent="0.15">
      <c r="A8160" s="1" t="s">
        <v>71</v>
      </c>
      <c r="B8160" s="2">
        <v>135915</v>
      </c>
      <c r="C8160" s="3">
        <v>9.1999999999999998E-2</v>
      </c>
      <c r="D8160" s="4" t="s">
        <v>778</v>
      </c>
      <c r="E8160" s="4" t="s">
        <v>272</v>
      </c>
    </row>
    <row r="8161" spans="1:5" hidden="1" x14ac:dyDescent="0.15">
      <c r="A8161" s="1" t="s">
        <v>72</v>
      </c>
      <c r="B8161" s="2">
        <v>144291</v>
      </c>
      <c r="C8161" s="3">
        <v>9.6999999999999989E-2</v>
      </c>
      <c r="D8161" s="4" t="s">
        <v>778</v>
      </c>
      <c r="E8161" s="4" t="s">
        <v>272</v>
      </c>
    </row>
    <row r="8162" spans="1:5" hidden="1" x14ac:dyDescent="0.15">
      <c r="A8162" s="1" t="s">
        <v>73</v>
      </c>
      <c r="B8162" s="2">
        <v>953104</v>
      </c>
      <c r="C8162" s="3">
        <v>0.64400000000000002</v>
      </c>
      <c r="D8162" s="4" t="s">
        <v>778</v>
      </c>
      <c r="E8162" s="4" t="s">
        <v>272</v>
      </c>
    </row>
    <row r="8163" spans="1:5" hidden="1" x14ac:dyDescent="0.15">
      <c r="A8163" s="1" t="s">
        <v>74</v>
      </c>
      <c r="B8163" s="2">
        <v>332745</v>
      </c>
      <c r="C8163" s="3">
        <v>0.22500000000000001</v>
      </c>
      <c r="D8163" s="4" t="s">
        <v>778</v>
      </c>
      <c r="E8163" s="4" t="s">
        <v>272</v>
      </c>
    </row>
    <row r="8164" spans="1:5" hidden="1" x14ac:dyDescent="0.15">
      <c r="A8164" s="1" t="s">
        <v>75</v>
      </c>
      <c r="B8164" s="2">
        <v>328445</v>
      </c>
      <c r="C8164" s="3">
        <v>0.222</v>
      </c>
      <c r="D8164" s="4" t="s">
        <v>778</v>
      </c>
      <c r="E8164" s="4" t="s">
        <v>272</v>
      </c>
    </row>
    <row r="8165" spans="1:5" hidden="1" x14ac:dyDescent="0.15">
      <c r="A8165" s="1" t="s">
        <v>76</v>
      </c>
      <c r="B8165" s="2">
        <v>251653</v>
      </c>
      <c r="C8165" s="3">
        <v>0.17</v>
      </c>
      <c r="D8165" s="4" t="s">
        <v>778</v>
      </c>
      <c r="E8165" s="4" t="s">
        <v>272</v>
      </c>
    </row>
    <row r="8166" spans="1:5" hidden="1" x14ac:dyDescent="0.15">
      <c r="A8166" s="1" t="s">
        <v>77</v>
      </c>
      <c r="B8166" s="2">
        <v>252217</v>
      </c>
      <c r="C8166" s="3">
        <v>0.17</v>
      </c>
      <c r="D8166" s="4" t="s">
        <v>778</v>
      </c>
      <c r="E8166" s="4" t="s">
        <v>272</v>
      </c>
    </row>
    <row r="8167" spans="1:5" ht="26" hidden="1" x14ac:dyDescent="0.15">
      <c r="A8167" s="1" t="s">
        <v>78</v>
      </c>
      <c r="B8167" s="2">
        <v>121751</v>
      </c>
      <c r="C8167" s="3">
        <v>8.199999999999999E-2</v>
      </c>
      <c r="D8167" s="4" t="s">
        <v>778</v>
      </c>
      <c r="E8167" s="4" t="s">
        <v>272</v>
      </c>
    </row>
    <row r="8168" spans="1:5" hidden="1" x14ac:dyDescent="0.15">
      <c r="A8168" s="1" t="s">
        <v>79</v>
      </c>
      <c r="B8168" s="2">
        <v>249298</v>
      </c>
      <c r="C8168" s="3">
        <v>0.16800000000000001</v>
      </c>
      <c r="D8168" s="4" t="s">
        <v>778</v>
      </c>
      <c r="E8168" s="4" t="s">
        <v>272</v>
      </c>
    </row>
    <row r="8169" spans="1:5" hidden="1" x14ac:dyDescent="0.15">
      <c r="A8169" s="1" t="s">
        <v>80</v>
      </c>
      <c r="B8169" s="2">
        <v>154705</v>
      </c>
      <c r="C8169" s="3">
        <v>0.10400000000000001</v>
      </c>
      <c r="D8169" s="4" t="s">
        <v>778</v>
      </c>
      <c r="E8169" s="4" t="s">
        <v>272</v>
      </c>
    </row>
    <row r="8170" spans="1:5" ht="26" hidden="1" x14ac:dyDescent="0.15">
      <c r="A8170" s="1" t="s">
        <v>81</v>
      </c>
      <c r="B8170" s="2">
        <v>269540</v>
      </c>
      <c r="C8170" s="3">
        <v>0.182</v>
      </c>
      <c r="D8170" s="4" t="s">
        <v>778</v>
      </c>
      <c r="E8170" s="4" t="s">
        <v>272</v>
      </c>
    </row>
    <row r="8171" spans="1:5" hidden="1" x14ac:dyDescent="0.15">
      <c r="A8171" s="1" t="s">
        <v>82</v>
      </c>
      <c r="B8171" s="2">
        <v>171093</v>
      </c>
      <c r="C8171" s="3">
        <v>0.11599999999999999</v>
      </c>
      <c r="D8171" s="4" t="s">
        <v>778</v>
      </c>
      <c r="E8171" s="4" t="s">
        <v>272</v>
      </c>
    </row>
    <row r="8172" spans="1:5" hidden="1" x14ac:dyDescent="0.15">
      <c r="A8172" s="4"/>
      <c r="B8172" s="4"/>
      <c r="C8172" s="4"/>
      <c r="D8172" s="4" t="s">
        <v>778</v>
      </c>
      <c r="E8172" s="4" t="s">
        <v>272</v>
      </c>
    </row>
    <row r="8173" spans="1:5" hidden="1" x14ac:dyDescent="0.15">
      <c r="A8173" s="5"/>
      <c r="B8173" s="5"/>
      <c r="C8173" s="5"/>
      <c r="D8173" s="4" t="s">
        <v>778</v>
      </c>
      <c r="E8173" s="4" t="s">
        <v>272</v>
      </c>
    </row>
    <row r="8174" spans="1:5" hidden="1" x14ac:dyDescent="0.15">
      <c r="A8174" s="1" t="s">
        <v>273</v>
      </c>
      <c r="B8174" s="2">
        <v>250918</v>
      </c>
      <c r="C8174" s="3">
        <v>0.16899999999999998</v>
      </c>
      <c r="D8174" s="4" t="s">
        <v>778</v>
      </c>
      <c r="E8174" s="4" t="s">
        <v>272</v>
      </c>
    </row>
    <row r="8175" spans="1:5" hidden="1" x14ac:dyDescent="0.15">
      <c r="A8175" s="1" t="s">
        <v>274</v>
      </c>
      <c r="B8175" s="2">
        <v>363460</v>
      </c>
      <c r="C8175" s="3">
        <v>0.245</v>
      </c>
      <c r="D8175" s="4" t="s">
        <v>778</v>
      </c>
      <c r="E8175" s="4" t="s">
        <v>272</v>
      </c>
    </row>
    <row r="8176" spans="1:5" hidden="1" x14ac:dyDescent="0.15">
      <c r="A8176" s="4"/>
      <c r="B8176" s="4"/>
      <c r="C8176" s="4"/>
      <c r="D8176" s="4" t="s">
        <v>778</v>
      </c>
      <c r="E8176" s="4" t="s">
        <v>272</v>
      </c>
    </row>
    <row r="8177" spans="1:5" hidden="1" x14ac:dyDescent="0.15">
      <c r="A8177" s="4"/>
      <c r="B8177" s="4"/>
      <c r="C8177" s="4"/>
      <c r="D8177" s="4" t="s">
        <v>778</v>
      </c>
      <c r="E8177" s="4" t="s">
        <v>272</v>
      </c>
    </row>
    <row r="8178" spans="1:5" hidden="1" x14ac:dyDescent="0.15">
      <c r="A8178" s="5"/>
      <c r="B8178" s="5"/>
      <c r="C8178" s="5"/>
      <c r="D8178" s="4" t="s">
        <v>778</v>
      </c>
      <c r="E8178" s="4" t="s">
        <v>272</v>
      </c>
    </row>
    <row r="8179" spans="1:5" ht="26" hidden="1" x14ac:dyDescent="0.15">
      <c r="A8179" s="1" t="s">
        <v>669</v>
      </c>
      <c r="B8179" s="2">
        <v>232332</v>
      </c>
      <c r="C8179" s="3">
        <v>0.157</v>
      </c>
      <c r="D8179" s="4" t="s">
        <v>778</v>
      </c>
      <c r="E8179" s="4" t="s">
        <v>272</v>
      </c>
    </row>
    <row r="8180" spans="1:5" ht="26" hidden="1" x14ac:dyDescent="0.15">
      <c r="A8180" s="1" t="s">
        <v>547</v>
      </c>
      <c r="B8180" s="2">
        <v>167044</v>
      </c>
      <c r="C8180" s="3">
        <v>0.113</v>
      </c>
      <c r="D8180" s="4" t="s">
        <v>778</v>
      </c>
      <c r="E8180" s="4" t="s">
        <v>272</v>
      </c>
    </row>
    <row r="8181" spans="1:5" ht="26" hidden="1" x14ac:dyDescent="0.15">
      <c r="A8181" s="1" t="s">
        <v>275</v>
      </c>
      <c r="B8181" s="2">
        <v>391330</v>
      </c>
      <c r="C8181" s="3">
        <v>0.26400000000000001</v>
      </c>
      <c r="D8181" s="4" t="s">
        <v>778</v>
      </c>
      <c r="E8181" s="4" t="s">
        <v>272</v>
      </c>
    </row>
    <row r="8182" spans="1:5" hidden="1" x14ac:dyDescent="0.15">
      <c r="A8182" s="4"/>
      <c r="B8182" s="4"/>
      <c r="C8182" s="4"/>
      <c r="D8182" s="4" t="s">
        <v>778</v>
      </c>
      <c r="E8182" s="4" t="s">
        <v>272</v>
      </c>
    </row>
    <row r="8183" spans="1:5" hidden="1" x14ac:dyDescent="0.15">
      <c r="A8183" s="4"/>
      <c r="B8183" s="4"/>
      <c r="C8183" s="4"/>
      <c r="D8183" s="4" t="s">
        <v>778</v>
      </c>
      <c r="E8183" s="4" t="s">
        <v>272</v>
      </c>
    </row>
    <row r="8184" spans="1:5" hidden="1" x14ac:dyDescent="0.15">
      <c r="A8184" s="5"/>
      <c r="B8184" s="5"/>
      <c r="C8184" s="5"/>
      <c r="D8184" s="4" t="s">
        <v>778</v>
      </c>
      <c r="E8184" s="4" t="s">
        <v>272</v>
      </c>
    </row>
    <row r="8185" spans="1:5" hidden="1" x14ac:dyDescent="0.15">
      <c r="A8185" s="1" t="s">
        <v>276</v>
      </c>
      <c r="B8185" s="2">
        <v>597188</v>
      </c>
      <c r="C8185" s="3">
        <v>0.40299999999999997</v>
      </c>
      <c r="D8185" s="4" t="s">
        <v>778</v>
      </c>
      <c r="E8185" s="4" t="s">
        <v>272</v>
      </c>
    </row>
    <row r="8186" spans="1:5" hidden="1" x14ac:dyDescent="0.15">
      <c r="A8186" s="1" t="s">
        <v>277</v>
      </c>
      <c r="B8186" s="2">
        <v>442028</v>
      </c>
      <c r="C8186" s="3">
        <v>0.29899999999999999</v>
      </c>
      <c r="D8186" s="4" t="s">
        <v>778</v>
      </c>
      <c r="E8186" s="4" t="s">
        <v>272</v>
      </c>
    </row>
    <row r="8187" spans="1:5" hidden="1" x14ac:dyDescent="0.15">
      <c r="A8187" s="4"/>
      <c r="B8187" s="4"/>
      <c r="C8187" s="4"/>
      <c r="D8187" s="4" t="s">
        <v>778</v>
      </c>
      <c r="E8187" s="4" t="s">
        <v>272</v>
      </c>
    </row>
    <row r="8188" spans="1:5" hidden="1" x14ac:dyDescent="0.15">
      <c r="A8188" s="5"/>
      <c r="B8188" s="5"/>
      <c r="C8188" s="5"/>
      <c r="D8188" s="4" t="s">
        <v>778</v>
      </c>
      <c r="E8188" s="4" t="s">
        <v>272</v>
      </c>
    </row>
    <row r="8189" spans="1:5" hidden="1" x14ac:dyDescent="0.15">
      <c r="A8189" s="1" t="s">
        <v>278</v>
      </c>
      <c r="B8189" s="2">
        <v>65404</v>
      </c>
      <c r="C8189" s="3">
        <v>4.4000000000000004E-2</v>
      </c>
      <c r="D8189" s="4" t="s">
        <v>778</v>
      </c>
      <c r="E8189" s="4" t="s">
        <v>272</v>
      </c>
    </row>
    <row r="8190" spans="1:5" hidden="1" x14ac:dyDescent="0.15">
      <c r="A8190" s="4"/>
      <c r="B8190" s="4"/>
      <c r="C8190" s="4"/>
      <c r="D8190" s="4" t="s">
        <v>778</v>
      </c>
      <c r="E8190" s="4" t="s">
        <v>272</v>
      </c>
    </row>
    <row r="8191" spans="1:5" hidden="1" x14ac:dyDescent="0.15">
      <c r="A8191" s="5"/>
      <c r="B8191" s="5"/>
      <c r="C8191" s="5"/>
      <c r="D8191" s="4" t="s">
        <v>778</v>
      </c>
      <c r="E8191" s="4" t="s">
        <v>272</v>
      </c>
    </row>
    <row r="8192" spans="1:5" ht="26" hidden="1" x14ac:dyDescent="0.15">
      <c r="A8192" s="1" t="s">
        <v>779</v>
      </c>
      <c r="B8192" s="2">
        <v>199544</v>
      </c>
      <c r="C8192" s="3">
        <v>0.13500000000000001</v>
      </c>
      <c r="D8192" s="4" t="s">
        <v>778</v>
      </c>
      <c r="E8192" s="4" t="s">
        <v>272</v>
      </c>
    </row>
    <row r="8193" spans="1:5" ht="26" hidden="1" x14ac:dyDescent="0.15">
      <c r="A8193" s="1" t="s">
        <v>780</v>
      </c>
      <c r="B8193" s="2">
        <v>597175</v>
      </c>
      <c r="C8193" s="3">
        <v>0.40299999999999997</v>
      </c>
      <c r="D8193" s="4" t="s">
        <v>778</v>
      </c>
      <c r="E8193" s="4" t="s">
        <v>272</v>
      </c>
    </row>
    <row r="8194" spans="1:5" ht="39" hidden="1" x14ac:dyDescent="0.15">
      <c r="A8194" s="1" t="s">
        <v>781</v>
      </c>
      <c r="B8194" s="2">
        <v>339574</v>
      </c>
      <c r="C8194" s="3">
        <v>0.22899999999999998</v>
      </c>
      <c r="D8194" s="4" t="s">
        <v>778</v>
      </c>
      <c r="E8194" s="4" t="s">
        <v>272</v>
      </c>
    </row>
    <row r="8195" spans="1:5" ht="39" hidden="1" x14ac:dyDescent="0.15">
      <c r="A8195" s="1" t="s">
        <v>782</v>
      </c>
      <c r="B8195" s="2">
        <v>128193</v>
      </c>
      <c r="C8195" s="3">
        <v>8.6999999999999994E-2</v>
      </c>
      <c r="D8195" s="4" t="s">
        <v>778</v>
      </c>
      <c r="E8195" s="4" t="s">
        <v>272</v>
      </c>
    </row>
    <row r="8196" spans="1:5" ht="26" hidden="1" x14ac:dyDescent="0.15">
      <c r="A8196" s="1" t="s">
        <v>553</v>
      </c>
      <c r="B8196" s="2">
        <v>141483</v>
      </c>
      <c r="C8196" s="3">
        <v>9.6000000000000002E-2</v>
      </c>
      <c r="D8196" s="4" t="s">
        <v>778</v>
      </c>
      <c r="E8196" s="4" t="s">
        <v>272</v>
      </c>
    </row>
    <row r="8197" spans="1:5" ht="26" hidden="1" x14ac:dyDescent="0.15">
      <c r="A8197" s="1" t="s">
        <v>554</v>
      </c>
      <c r="B8197" s="2">
        <v>325803</v>
      </c>
      <c r="C8197" s="3">
        <v>0.22</v>
      </c>
      <c r="D8197" s="4" t="s">
        <v>778</v>
      </c>
      <c r="E8197" s="4" t="s">
        <v>272</v>
      </c>
    </row>
    <row r="8198" spans="1:5" hidden="1" x14ac:dyDescent="0.15">
      <c r="A8198" s="1" t="s">
        <v>0</v>
      </c>
      <c r="B8198" s="2">
        <v>4817914</v>
      </c>
      <c r="C8198" s="3">
        <v>1</v>
      </c>
      <c r="D8198" s="4" t="s">
        <v>783</v>
      </c>
      <c r="E8198" s="4" t="s">
        <v>784</v>
      </c>
    </row>
    <row r="8199" spans="1:5" ht="26" hidden="1" x14ac:dyDescent="0.15">
      <c r="A8199" s="1" t="s">
        <v>3</v>
      </c>
      <c r="B8199" s="2">
        <v>87047</v>
      </c>
      <c r="C8199" s="3">
        <v>1.8000000000000002E-2</v>
      </c>
      <c r="D8199" s="4" t="s">
        <v>783</v>
      </c>
      <c r="E8199" s="4" t="s">
        <v>784</v>
      </c>
    </row>
    <row r="8200" spans="1:5" hidden="1" x14ac:dyDescent="0.15">
      <c r="A8200" s="1" t="s">
        <v>4</v>
      </c>
      <c r="B8200" s="2">
        <v>119854</v>
      </c>
      <c r="C8200" s="3">
        <v>2.5000000000000001E-2</v>
      </c>
      <c r="D8200" s="4" t="s">
        <v>783</v>
      </c>
      <c r="E8200" s="4" t="s">
        <v>784</v>
      </c>
    </row>
    <row r="8201" spans="1:5" ht="26" hidden="1" x14ac:dyDescent="0.15">
      <c r="A8201" s="1" t="s">
        <v>5</v>
      </c>
      <c r="B8201" s="2">
        <v>179839</v>
      </c>
      <c r="C8201" s="3">
        <v>3.7000000000000005E-2</v>
      </c>
      <c r="D8201" s="4" t="s">
        <v>783</v>
      </c>
      <c r="E8201" s="4" t="s">
        <v>784</v>
      </c>
    </row>
    <row r="8202" spans="1:5" ht="26" hidden="1" x14ac:dyDescent="0.15">
      <c r="A8202" s="1" t="s">
        <v>6</v>
      </c>
      <c r="B8202" s="2">
        <v>515354</v>
      </c>
      <c r="C8202" s="3">
        <v>0.107</v>
      </c>
      <c r="D8202" s="4" t="s">
        <v>783</v>
      </c>
      <c r="E8202" s="4" t="s">
        <v>784</v>
      </c>
    </row>
    <row r="8203" spans="1:5" ht="26" hidden="1" x14ac:dyDescent="0.15">
      <c r="A8203" s="1" t="s">
        <v>7</v>
      </c>
      <c r="B8203" s="2">
        <v>1440068</v>
      </c>
      <c r="C8203" s="3">
        <v>0.29899999999999999</v>
      </c>
      <c r="D8203" s="4" t="s">
        <v>783</v>
      </c>
      <c r="E8203" s="4" t="s">
        <v>784</v>
      </c>
    </row>
    <row r="8204" spans="1:5" ht="26" hidden="1" x14ac:dyDescent="0.15">
      <c r="A8204" s="1" t="s">
        <v>8</v>
      </c>
      <c r="B8204" s="2">
        <v>47027</v>
      </c>
      <c r="C8204" s="3">
        <v>0.01</v>
      </c>
      <c r="D8204" s="4" t="s">
        <v>783</v>
      </c>
      <c r="E8204" s="4" t="s">
        <v>784</v>
      </c>
    </row>
    <row r="8205" spans="1:5" ht="26" hidden="1" x14ac:dyDescent="0.15">
      <c r="A8205" s="1" t="s">
        <v>9</v>
      </c>
      <c r="B8205" s="2">
        <v>154180</v>
      </c>
      <c r="C8205" s="3">
        <v>3.2000000000000001E-2</v>
      </c>
      <c r="D8205" s="4" t="s">
        <v>783</v>
      </c>
      <c r="E8205" s="4" t="s">
        <v>784</v>
      </c>
    </row>
    <row r="8206" spans="1:5" ht="26" hidden="1" x14ac:dyDescent="0.15">
      <c r="A8206" s="1" t="s">
        <v>10</v>
      </c>
      <c r="B8206" s="2">
        <v>89277</v>
      </c>
      <c r="C8206" s="3">
        <v>1.9E-2</v>
      </c>
      <c r="D8206" s="4" t="s">
        <v>783</v>
      </c>
      <c r="E8206" s="4" t="s">
        <v>784</v>
      </c>
    </row>
    <row r="8207" spans="1:5" ht="26" hidden="1" x14ac:dyDescent="0.15">
      <c r="A8207" s="1" t="s">
        <v>11</v>
      </c>
      <c r="B8207" s="2">
        <v>212897</v>
      </c>
      <c r="C8207" s="3">
        <v>4.4000000000000004E-2</v>
      </c>
      <c r="D8207" s="4" t="s">
        <v>783</v>
      </c>
      <c r="E8207" s="4" t="s">
        <v>784</v>
      </c>
    </row>
    <row r="8208" spans="1:5" ht="26" hidden="1" x14ac:dyDescent="0.15">
      <c r="A8208" s="1" t="s">
        <v>12</v>
      </c>
      <c r="B8208" s="2">
        <v>66454</v>
      </c>
      <c r="C8208" s="3">
        <v>1.3999999999999999E-2</v>
      </c>
      <c r="D8208" s="4" t="s">
        <v>783</v>
      </c>
      <c r="E8208" s="4" t="s">
        <v>784</v>
      </c>
    </row>
    <row r="8209" spans="1:5" ht="26" hidden="1" x14ac:dyDescent="0.15">
      <c r="A8209" s="1" t="s">
        <v>13</v>
      </c>
      <c r="B8209" s="2">
        <v>76788</v>
      </c>
      <c r="C8209" s="3">
        <v>1.6E-2</v>
      </c>
      <c r="D8209" s="4" t="s">
        <v>783</v>
      </c>
      <c r="E8209" s="4" t="s">
        <v>784</v>
      </c>
    </row>
    <row r="8210" spans="1:5" hidden="1" x14ac:dyDescent="0.15">
      <c r="A8210" s="1" t="s">
        <v>14</v>
      </c>
      <c r="B8210" s="2">
        <v>348834</v>
      </c>
      <c r="C8210" s="3">
        <v>7.2000000000000008E-2</v>
      </c>
      <c r="D8210" s="4" t="s">
        <v>783</v>
      </c>
      <c r="E8210" s="4" t="s">
        <v>784</v>
      </c>
    </row>
    <row r="8211" spans="1:5" ht="26" hidden="1" x14ac:dyDescent="0.15">
      <c r="A8211" s="1" t="s">
        <v>15</v>
      </c>
      <c r="B8211" s="2">
        <v>402507</v>
      </c>
      <c r="C8211" s="3">
        <v>8.4000000000000005E-2</v>
      </c>
      <c r="D8211" s="4" t="s">
        <v>783</v>
      </c>
      <c r="E8211" s="4" t="s">
        <v>784</v>
      </c>
    </row>
    <row r="8212" spans="1:5" ht="26" hidden="1" x14ac:dyDescent="0.15">
      <c r="A8212" s="1" t="s">
        <v>16</v>
      </c>
      <c r="B8212" s="2">
        <v>160631</v>
      </c>
      <c r="C8212" s="3">
        <v>3.3000000000000002E-2</v>
      </c>
      <c r="D8212" s="4" t="s">
        <v>783</v>
      </c>
      <c r="E8212" s="4" t="s">
        <v>784</v>
      </c>
    </row>
    <row r="8213" spans="1:5" ht="26" hidden="1" x14ac:dyDescent="0.15">
      <c r="A8213" s="1" t="s">
        <v>17</v>
      </c>
      <c r="B8213" s="2">
        <v>87315</v>
      </c>
      <c r="C8213" s="3">
        <v>1.8000000000000002E-2</v>
      </c>
      <c r="D8213" s="4" t="s">
        <v>783</v>
      </c>
      <c r="E8213" s="4" t="s">
        <v>784</v>
      </c>
    </row>
    <row r="8214" spans="1:5" hidden="1" x14ac:dyDescent="0.15">
      <c r="A8214" s="1" t="s">
        <v>18</v>
      </c>
      <c r="B8214" s="2">
        <v>49025</v>
      </c>
      <c r="C8214" s="3">
        <v>0.01</v>
      </c>
      <c r="D8214" s="4" t="s">
        <v>783</v>
      </c>
      <c r="E8214" s="4" t="s">
        <v>784</v>
      </c>
    </row>
    <row r="8215" spans="1:5" hidden="1" x14ac:dyDescent="0.15">
      <c r="A8215" s="1" t="s">
        <v>19</v>
      </c>
      <c r="B8215" s="2">
        <v>747642</v>
      </c>
      <c r="C8215" s="3">
        <v>0.155</v>
      </c>
      <c r="D8215" s="4" t="s">
        <v>783</v>
      </c>
      <c r="E8215" s="4" t="s">
        <v>784</v>
      </c>
    </row>
    <row r="8216" spans="1:5" hidden="1" x14ac:dyDescent="0.15">
      <c r="A8216" s="1" t="s">
        <v>20</v>
      </c>
      <c r="B8216" s="2">
        <v>94868</v>
      </c>
      <c r="C8216" s="3">
        <v>0.02</v>
      </c>
      <c r="D8216" s="4" t="s">
        <v>783</v>
      </c>
      <c r="E8216" s="4" t="s">
        <v>784</v>
      </c>
    </row>
    <row r="8217" spans="1:5" ht="26" hidden="1" x14ac:dyDescent="0.15">
      <c r="A8217" s="1" t="s">
        <v>21</v>
      </c>
      <c r="B8217" s="2">
        <v>161698</v>
      </c>
      <c r="C8217" s="3">
        <v>3.4000000000000002E-2</v>
      </c>
      <c r="D8217" s="4" t="s">
        <v>783</v>
      </c>
      <c r="E8217" s="4" t="s">
        <v>784</v>
      </c>
    </row>
    <row r="8218" spans="1:5" ht="26" hidden="1" x14ac:dyDescent="0.15">
      <c r="A8218" s="1" t="s">
        <v>22</v>
      </c>
      <c r="B8218" s="2">
        <v>90167</v>
      </c>
      <c r="C8218" s="3">
        <v>1.9E-2</v>
      </c>
      <c r="D8218" s="4" t="s">
        <v>783</v>
      </c>
      <c r="E8218" s="4" t="s">
        <v>784</v>
      </c>
    </row>
    <row r="8219" spans="1:5" ht="26" hidden="1" x14ac:dyDescent="0.15">
      <c r="A8219" s="1" t="s">
        <v>23</v>
      </c>
      <c r="B8219" s="2">
        <v>83024</v>
      </c>
      <c r="C8219" s="3">
        <v>1.7000000000000001E-2</v>
      </c>
      <c r="D8219" s="4" t="s">
        <v>783</v>
      </c>
      <c r="E8219" s="4" t="s">
        <v>784</v>
      </c>
    </row>
    <row r="8220" spans="1:5" ht="26" hidden="1" x14ac:dyDescent="0.15">
      <c r="A8220" s="1" t="s">
        <v>24</v>
      </c>
      <c r="B8220" s="2">
        <v>36270</v>
      </c>
      <c r="C8220" s="3">
        <v>8.0000000000000002E-3</v>
      </c>
      <c r="D8220" s="4" t="s">
        <v>783</v>
      </c>
      <c r="E8220" s="4" t="s">
        <v>784</v>
      </c>
    </row>
    <row r="8221" spans="1:5" ht="26" hidden="1" x14ac:dyDescent="0.15">
      <c r="A8221" s="1" t="s">
        <v>25</v>
      </c>
      <c r="B8221" s="2">
        <v>119513</v>
      </c>
      <c r="C8221" s="3">
        <v>2.5000000000000001E-2</v>
      </c>
      <c r="D8221" s="4" t="s">
        <v>783</v>
      </c>
      <c r="E8221" s="4" t="s">
        <v>784</v>
      </c>
    </row>
    <row r="8222" spans="1:5" hidden="1" x14ac:dyDescent="0.15">
      <c r="A8222" s="1" t="s">
        <v>26</v>
      </c>
      <c r="B8222" s="2">
        <v>47174</v>
      </c>
      <c r="C8222" s="3">
        <v>0.01</v>
      </c>
      <c r="D8222" s="4" t="s">
        <v>783</v>
      </c>
      <c r="E8222" s="4" t="s">
        <v>784</v>
      </c>
    </row>
    <row r="8223" spans="1:5" hidden="1" x14ac:dyDescent="0.15">
      <c r="A8223" s="1" t="s">
        <v>27</v>
      </c>
      <c r="B8223" s="2">
        <v>397176</v>
      </c>
      <c r="C8223" s="3">
        <v>8.199999999999999E-2</v>
      </c>
      <c r="D8223" s="4" t="s">
        <v>783</v>
      </c>
      <c r="E8223" s="4" t="s">
        <v>784</v>
      </c>
    </row>
    <row r="8224" spans="1:5" hidden="1" x14ac:dyDescent="0.15">
      <c r="A8224" s="1" t="s">
        <v>28</v>
      </c>
      <c r="B8224" s="2">
        <v>609169</v>
      </c>
      <c r="C8224" s="3">
        <v>0.126</v>
      </c>
      <c r="D8224" s="4" t="s">
        <v>783</v>
      </c>
      <c r="E8224" s="4" t="s">
        <v>784</v>
      </c>
    </row>
    <row r="8225" spans="1:5" hidden="1" x14ac:dyDescent="0.15">
      <c r="A8225" s="1" t="s">
        <v>29</v>
      </c>
      <c r="B8225" s="2">
        <v>1555116</v>
      </c>
      <c r="C8225" s="3">
        <v>0.32299999999999995</v>
      </c>
      <c r="D8225" s="4" t="s">
        <v>783</v>
      </c>
      <c r="E8225" s="4" t="s">
        <v>784</v>
      </c>
    </row>
    <row r="8226" spans="1:5" hidden="1" x14ac:dyDescent="0.15">
      <c r="A8226" s="1" t="s">
        <v>30</v>
      </c>
      <c r="B8226" s="2">
        <v>104373</v>
      </c>
      <c r="C8226" s="3">
        <v>2.2000000000000002E-2</v>
      </c>
      <c r="D8226" s="4" t="s">
        <v>783</v>
      </c>
      <c r="E8226" s="4" t="s">
        <v>784</v>
      </c>
    </row>
    <row r="8227" spans="1:5" ht="39" hidden="1" x14ac:dyDescent="0.15">
      <c r="A8227" s="1" t="s">
        <v>31</v>
      </c>
      <c r="B8227" s="2">
        <v>75195</v>
      </c>
      <c r="C8227" s="3">
        <v>1.6E-2</v>
      </c>
      <c r="D8227" s="4" t="s">
        <v>783</v>
      </c>
      <c r="E8227" s="4" t="s">
        <v>784</v>
      </c>
    </row>
    <row r="8228" spans="1:5" hidden="1" x14ac:dyDescent="0.15">
      <c r="A8228" s="1" t="s">
        <v>32</v>
      </c>
      <c r="B8228" s="2">
        <v>136983</v>
      </c>
      <c r="C8228" s="3">
        <v>2.7999999999999997E-2</v>
      </c>
      <c r="D8228" s="4" t="s">
        <v>783</v>
      </c>
      <c r="E8228" s="4" t="s">
        <v>784</v>
      </c>
    </row>
    <row r="8229" spans="1:5" hidden="1" x14ac:dyDescent="0.15">
      <c r="A8229" s="1" t="s">
        <v>33</v>
      </c>
      <c r="B8229" s="2">
        <v>1213880</v>
      </c>
      <c r="C8229" s="3">
        <v>0.252</v>
      </c>
      <c r="D8229" s="4" t="s">
        <v>783</v>
      </c>
      <c r="E8229" s="4" t="s">
        <v>784</v>
      </c>
    </row>
    <row r="8230" spans="1:5" hidden="1" x14ac:dyDescent="0.15">
      <c r="A8230" s="1" t="s">
        <v>34</v>
      </c>
      <c r="B8230" s="2">
        <v>336000</v>
      </c>
      <c r="C8230" s="3">
        <v>7.0000000000000007E-2</v>
      </c>
      <c r="D8230" s="4" t="s">
        <v>783</v>
      </c>
      <c r="E8230" s="4" t="s">
        <v>784</v>
      </c>
    </row>
    <row r="8231" spans="1:5" hidden="1" x14ac:dyDescent="0.15">
      <c r="A8231" s="1" t="s">
        <v>35</v>
      </c>
      <c r="B8231" s="2">
        <v>254343</v>
      </c>
      <c r="C8231" s="3">
        <v>5.2999999999999999E-2</v>
      </c>
      <c r="D8231" s="4" t="s">
        <v>783</v>
      </c>
      <c r="E8231" s="4" t="s">
        <v>784</v>
      </c>
    </row>
    <row r="8232" spans="1:5" ht="26" hidden="1" x14ac:dyDescent="0.15">
      <c r="A8232" s="1" t="s">
        <v>36</v>
      </c>
      <c r="B8232" s="2">
        <v>69047</v>
      </c>
      <c r="C8232" s="3">
        <v>1.3999999999999999E-2</v>
      </c>
      <c r="D8232" s="4" t="s">
        <v>783</v>
      </c>
      <c r="E8232" s="4" t="s">
        <v>784</v>
      </c>
    </row>
    <row r="8233" spans="1:5" hidden="1" x14ac:dyDescent="0.15">
      <c r="A8233" s="1" t="s">
        <v>37</v>
      </c>
      <c r="B8233" s="2">
        <v>56793</v>
      </c>
      <c r="C8233" s="3">
        <v>1.2E-2</v>
      </c>
      <c r="D8233" s="4" t="s">
        <v>783</v>
      </c>
      <c r="E8233" s="4" t="s">
        <v>784</v>
      </c>
    </row>
    <row r="8234" spans="1:5" ht="39" hidden="1" x14ac:dyDescent="0.15">
      <c r="A8234" s="1" t="s">
        <v>38</v>
      </c>
      <c r="B8234" s="2">
        <v>109975</v>
      </c>
      <c r="C8234" s="3">
        <v>2.3E-2</v>
      </c>
      <c r="D8234" s="4" t="s">
        <v>783</v>
      </c>
      <c r="E8234" s="4" t="s">
        <v>784</v>
      </c>
    </row>
    <row r="8235" spans="1:5" hidden="1" x14ac:dyDescent="0.15">
      <c r="A8235" s="1" t="s">
        <v>39</v>
      </c>
      <c r="B8235" s="2">
        <v>262011</v>
      </c>
      <c r="C8235" s="3">
        <v>5.4000000000000006E-2</v>
      </c>
      <c r="D8235" s="4" t="s">
        <v>783</v>
      </c>
      <c r="E8235" s="4" t="s">
        <v>784</v>
      </c>
    </row>
    <row r="8236" spans="1:5" hidden="1" x14ac:dyDescent="0.15">
      <c r="A8236" s="1" t="s">
        <v>40</v>
      </c>
      <c r="B8236" s="2">
        <v>127319</v>
      </c>
      <c r="C8236" s="3">
        <v>2.6000000000000002E-2</v>
      </c>
      <c r="D8236" s="4" t="s">
        <v>783</v>
      </c>
      <c r="E8236" s="4" t="s">
        <v>784</v>
      </c>
    </row>
    <row r="8237" spans="1:5" hidden="1" x14ac:dyDescent="0.15">
      <c r="A8237" s="1" t="s">
        <v>41</v>
      </c>
      <c r="B8237" s="2">
        <v>203994</v>
      </c>
      <c r="C8237" s="3">
        <v>4.2000000000000003E-2</v>
      </c>
      <c r="D8237" s="4" t="s">
        <v>783</v>
      </c>
      <c r="E8237" s="4" t="s">
        <v>784</v>
      </c>
    </row>
    <row r="8238" spans="1:5" hidden="1" x14ac:dyDescent="0.15">
      <c r="A8238" s="1" t="s">
        <v>42</v>
      </c>
      <c r="B8238" s="2">
        <v>226960</v>
      </c>
      <c r="C8238" s="3">
        <v>4.7E-2</v>
      </c>
      <c r="D8238" s="4" t="s">
        <v>783</v>
      </c>
      <c r="E8238" s="4" t="s">
        <v>784</v>
      </c>
    </row>
    <row r="8239" spans="1:5" hidden="1" x14ac:dyDescent="0.15">
      <c r="A8239" s="1" t="s">
        <v>43</v>
      </c>
      <c r="B8239" s="2">
        <v>392864</v>
      </c>
      <c r="C8239" s="3">
        <v>8.199999999999999E-2</v>
      </c>
      <c r="D8239" s="4" t="s">
        <v>783</v>
      </c>
      <c r="E8239" s="4" t="s">
        <v>784</v>
      </c>
    </row>
    <row r="8240" spans="1:5" ht="26" hidden="1" x14ac:dyDescent="0.15">
      <c r="A8240" s="1" t="s">
        <v>44</v>
      </c>
      <c r="B8240" s="2">
        <v>621714</v>
      </c>
      <c r="C8240" s="3">
        <v>0.129</v>
      </c>
      <c r="D8240" s="4" t="s">
        <v>783</v>
      </c>
      <c r="E8240" s="4" t="s">
        <v>784</v>
      </c>
    </row>
    <row r="8241" spans="1:5" hidden="1" x14ac:dyDescent="0.15">
      <c r="A8241" s="1" t="s">
        <v>45</v>
      </c>
      <c r="B8241" s="2">
        <v>1102260</v>
      </c>
      <c r="C8241" s="3">
        <v>0.22899999999999998</v>
      </c>
      <c r="D8241" s="4" t="s">
        <v>783</v>
      </c>
      <c r="E8241" s="4" t="s">
        <v>784</v>
      </c>
    </row>
    <row r="8242" spans="1:5" ht="26" hidden="1" x14ac:dyDescent="0.15">
      <c r="A8242" s="1" t="s">
        <v>46</v>
      </c>
      <c r="B8242" s="2">
        <v>1654529</v>
      </c>
      <c r="C8242" s="3">
        <v>0.34299999999999997</v>
      </c>
      <c r="D8242" s="4" t="s">
        <v>783</v>
      </c>
      <c r="E8242" s="4" t="s">
        <v>784</v>
      </c>
    </row>
    <row r="8243" spans="1:5" hidden="1" x14ac:dyDescent="0.15">
      <c r="A8243" s="1" t="s">
        <v>47</v>
      </c>
      <c r="B8243" s="2">
        <v>2663451</v>
      </c>
      <c r="C8243" s="3">
        <v>0.55299999999999994</v>
      </c>
      <c r="D8243" s="4" t="s">
        <v>783</v>
      </c>
      <c r="E8243" s="4" t="s">
        <v>784</v>
      </c>
    </row>
    <row r="8244" spans="1:5" hidden="1" x14ac:dyDescent="0.15">
      <c r="A8244" s="1" t="s">
        <v>48</v>
      </c>
      <c r="B8244" s="2">
        <v>293128</v>
      </c>
      <c r="C8244" s="3">
        <v>6.0999999999999999E-2</v>
      </c>
      <c r="D8244" s="4" t="s">
        <v>783</v>
      </c>
      <c r="E8244" s="4" t="s">
        <v>784</v>
      </c>
    </row>
    <row r="8245" spans="1:5" hidden="1" x14ac:dyDescent="0.15">
      <c r="A8245" s="1" t="s">
        <v>49</v>
      </c>
      <c r="B8245" s="2">
        <v>688867</v>
      </c>
      <c r="C8245" s="3">
        <v>0.14300000000000002</v>
      </c>
      <c r="D8245" s="4" t="s">
        <v>783</v>
      </c>
      <c r="E8245" s="4" t="s">
        <v>784</v>
      </c>
    </row>
    <row r="8246" spans="1:5" ht="26" hidden="1" x14ac:dyDescent="0.15">
      <c r="A8246" s="1" t="s">
        <v>50</v>
      </c>
      <c r="B8246" s="2">
        <v>753466</v>
      </c>
      <c r="C8246" s="3">
        <v>0.156</v>
      </c>
      <c r="D8246" s="4" t="s">
        <v>783</v>
      </c>
      <c r="E8246" s="4" t="s">
        <v>784</v>
      </c>
    </row>
    <row r="8247" spans="1:5" hidden="1" x14ac:dyDescent="0.15">
      <c r="A8247" s="1" t="s">
        <v>51</v>
      </c>
      <c r="B8247" s="2">
        <v>1316584</v>
      </c>
      <c r="C8247" s="3">
        <v>0.27300000000000002</v>
      </c>
      <c r="D8247" s="4" t="s">
        <v>783</v>
      </c>
      <c r="E8247" s="4" t="s">
        <v>784</v>
      </c>
    </row>
    <row r="8248" spans="1:5" hidden="1" x14ac:dyDescent="0.15">
      <c r="A8248" s="1" t="s">
        <v>52</v>
      </c>
      <c r="B8248" s="2">
        <v>601564</v>
      </c>
      <c r="C8248" s="3">
        <v>0.125</v>
      </c>
      <c r="D8248" s="4" t="s">
        <v>783</v>
      </c>
      <c r="E8248" s="4" t="s">
        <v>784</v>
      </c>
    </row>
    <row r="8249" spans="1:5" ht="26" hidden="1" x14ac:dyDescent="0.15">
      <c r="A8249" s="1" t="s">
        <v>53</v>
      </c>
      <c r="B8249" s="2">
        <v>409897</v>
      </c>
      <c r="C8249" s="3">
        <v>8.5000000000000006E-2</v>
      </c>
      <c r="D8249" s="4" t="s">
        <v>783</v>
      </c>
      <c r="E8249" s="4" t="s">
        <v>784</v>
      </c>
    </row>
    <row r="8250" spans="1:5" hidden="1" x14ac:dyDescent="0.15">
      <c r="A8250" s="1" t="s">
        <v>54</v>
      </c>
      <c r="B8250" s="2">
        <v>1712675</v>
      </c>
      <c r="C8250" s="3">
        <v>0.35499999999999998</v>
      </c>
      <c r="D8250" s="4" t="s">
        <v>783</v>
      </c>
      <c r="E8250" s="4" t="s">
        <v>784</v>
      </c>
    </row>
    <row r="8251" spans="1:5" ht="26" hidden="1" x14ac:dyDescent="0.15">
      <c r="A8251" s="1" t="s">
        <v>55</v>
      </c>
      <c r="B8251" s="2">
        <v>1661036</v>
      </c>
      <c r="C8251" s="3">
        <v>0.34499999999999997</v>
      </c>
      <c r="D8251" s="4" t="s">
        <v>783</v>
      </c>
      <c r="E8251" s="4" t="s">
        <v>784</v>
      </c>
    </row>
    <row r="8252" spans="1:5" hidden="1" x14ac:dyDescent="0.15">
      <c r="A8252" s="1" t="s">
        <v>56</v>
      </c>
      <c r="B8252" s="2">
        <v>979488</v>
      </c>
      <c r="C8252" s="3">
        <v>0.20300000000000001</v>
      </c>
      <c r="D8252" s="4" t="s">
        <v>783</v>
      </c>
      <c r="E8252" s="4" t="s">
        <v>784</v>
      </c>
    </row>
    <row r="8253" spans="1:5" hidden="1" x14ac:dyDescent="0.15">
      <c r="A8253" s="1" t="s">
        <v>57</v>
      </c>
      <c r="B8253" s="2">
        <v>677440</v>
      </c>
      <c r="C8253" s="3">
        <v>0.14099999999999999</v>
      </c>
      <c r="D8253" s="4" t="s">
        <v>783</v>
      </c>
      <c r="E8253" s="4" t="s">
        <v>784</v>
      </c>
    </row>
    <row r="8254" spans="1:5" hidden="1" x14ac:dyDescent="0.15">
      <c r="A8254" s="1" t="s">
        <v>58</v>
      </c>
      <c r="B8254" s="2">
        <v>610194</v>
      </c>
      <c r="C8254" s="3">
        <v>0.127</v>
      </c>
      <c r="D8254" s="4" t="s">
        <v>783</v>
      </c>
      <c r="E8254" s="4" t="s">
        <v>784</v>
      </c>
    </row>
    <row r="8255" spans="1:5" hidden="1" x14ac:dyDescent="0.15">
      <c r="A8255" s="1" t="s">
        <v>59</v>
      </c>
      <c r="B8255" s="2">
        <v>2455023</v>
      </c>
      <c r="C8255" s="3">
        <v>0.51</v>
      </c>
      <c r="D8255" s="4" t="s">
        <v>783</v>
      </c>
      <c r="E8255" s="4" t="s">
        <v>784</v>
      </c>
    </row>
    <row r="8256" spans="1:5" hidden="1" x14ac:dyDescent="0.15">
      <c r="A8256" s="1" t="s">
        <v>60</v>
      </c>
      <c r="B8256" s="2">
        <v>863770</v>
      </c>
      <c r="C8256" s="3">
        <v>0.17899999999999999</v>
      </c>
      <c r="D8256" s="4" t="s">
        <v>783</v>
      </c>
      <c r="E8256" s="4" t="s">
        <v>784</v>
      </c>
    </row>
    <row r="8257" spans="1:5" ht="26" hidden="1" x14ac:dyDescent="0.15">
      <c r="A8257" s="1" t="s">
        <v>61</v>
      </c>
      <c r="B8257" s="2">
        <v>1023376</v>
      </c>
      <c r="C8257" s="3">
        <v>0.21199999999999999</v>
      </c>
      <c r="D8257" s="4" t="s">
        <v>783</v>
      </c>
      <c r="E8257" s="4" t="s">
        <v>784</v>
      </c>
    </row>
    <row r="8258" spans="1:5" hidden="1" x14ac:dyDescent="0.15">
      <c r="A8258" s="1" t="s">
        <v>62</v>
      </c>
      <c r="B8258" s="2">
        <v>545230</v>
      </c>
      <c r="C8258" s="3">
        <v>0.113</v>
      </c>
      <c r="D8258" s="4" t="s">
        <v>783</v>
      </c>
      <c r="E8258" s="4" t="s">
        <v>784</v>
      </c>
    </row>
    <row r="8259" spans="1:5" ht="26" hidden="1" x14ac:dyDescent="0.15">
      <c r="A8259" s="1" t="s">
        <v>63</v>
      </c>
      <c r="B8259" s="2">
        <v>686458</v>
      </c>
      <c r="C8259" s="3">
        <v>0.14199999999999999</v>
      </c>
      <c r="D8259" s="4" t="s">
        <v>783</v>
      </c>
      <c r="E8259" s="4" t="s">
        <v>784</v>
      </c>
    </row>
    <row r="8260" spans="1:5" ht="26" hidden="1" x14ac:dyDescent="0.15">
      <c r="A8260" s="1" t="s">
        <v>64</v>
      </c>
      <c r="B8260" s="2">
        <v>202421</v>
      </c>
      <c r="C8260" s="3">
        <v>4.2000000000000003E-2</v>
      </c>
      <c r="D8260" s="4" t="s">
        <v>783</v>
      </c>
      <c r="E8260" s="4" t="s">
        <v>784</v>
      </c>
    </row>
    <row r="8261" spans="1:5" hidden="1" x14ac:dyDescent="0.15">
      <c r="A8261" s="1" t="s">
        <v>65</v>
      </c>
      <c r="B8261" s="2">
        <v>686275</v>
      </c>
      <c r="C8261" s="3">
        <v>0.14199999999999999</v>
      </c>
      <c r="D8261" s="4" t="s">
        <v>783</v>
      </c>
      <c r="E8261" s="4" t="s">
        <v>784</v>
      </c>
    </row>
    <row r="8262" spans="1:5" hidden="1" x14ac:dyDescent="0.15">
      <c r="A8262" s="1" t="s">
        <v>66</v>
      </c>
      <c r="B8262" s="2">
        <v>324623</v>
      </c>
      <c r="C8262" s="3">
        <v>6.7000000000000004E-2</v>
      </c>
      <c r="D8262" s="4" t="s">
        <v>783</v>
      </c>
      <c r="E8262" s="4" t="s">
        <v>784</v>
      </c>
    </row>
    <row r="8263" spans="1:5" hidden="1" x14ac:dyDescent="0.15">
      <c r="A8263" s="1" t="s">
        <v>67</v>
      </c>
      <c r="B8263" s="2">
        <v>1329877</v>
      </c>
      <c r="C8263" s="3">
        <v>0.27600000000000002</v>
      </c>
      <c r="D8263" s="4" t="s">
        <v>783</v>
      </c>
      <c r="E8263" s="4" t="s">
        <v>784</v>
      </c>
    </row>
    <row r="8264" spans="1:5" hidden="1" x14ac:dyDescent="0.15">
      <c r="A8264" s="1" t="s">
        <v>68</v>
      </c>
      <c r="B8264" s="2">
        <v>1750156</v>
      </c>
      <c r="C8264" s="3">
        <v>0.36299999999999999</v>
      </c>
      <c r="D8264" s="4" t="s">
        <v>783</v>
      </c>
      <c r="E8264" s="4" t="s">
        <v>784</v>
      </c>
    </row>
    <row r="8265" spans="1:5" hidden="1" x14ac:dyDescent="0.15">
      <c r="A8265" s="1" t="s">
        <v>69</v>
      </c>
      <c r="B8265" s="2">
        <v>3165746</v>
      </c>
      <c r="C8265" s="3">
        <v>0.65700000000000003</v>
      </c>
      <c r="D8265" s="4" t="s">
        <v>783</v>
      </c>
      <c r="E8265" s="4" t="s">
        <v>784</v>
      </c>
    </row>
    <row r="8266" spans="1:5" hidden="1" x14ac:dyDescent="0.15">
      <c r="A8266" s="1" t="s">
        <v>70</v>
      </c>
      <c r="B8266" s="2">
        <v>759106</v>
      </c>
      <c r="C8266" s="3">
        <v>0.158</v>
      </c>
      <c r="D8266" s="4" t="s">
        <v>783</v>
      </c>
      <c r="E8266" s="4" t="s">
        <v>784</v>
      </c>
    </row>
    <row r="8267" spans="1:5" ht="26" hidden="1" x14ac:dyDescent="0.15">
      <c r="A8267" s="1" t="s">
        <v>71</v>
      </c>
      <c r="B8267" s="2">
        <v>367303</v>
      </c>
      <c r="C8267" s="3">
        <v>7.5999999999999998E-2</v>
      </c>
      <c r="D8267" s="4" t="s">
        <v>783</v>
      </c>
      <c r="E8267" s="4" t="s">
        <v>784</v>
      </c>
    </row>
    <row r="8268" spans="1:5" hidden="1" x14ac:dyDescent="0.15">
      <c r="A8268" s="1" t="s">
        <v>72</v>
      </c>
      <c r="B8268" s="2">
        <v>552217</v>
      </c>
      <c r="C8268" s="3">
        <v>0.115</v>
      </c>
      <c r="D8268" s="4" t="s">
        <v>783</v>
      </c>
      <c r="E8268" s="4" t="s">
        <v>784</v>
      </c>
    </row>
    <row r="8269" spans="1:5" hidden="1" x14ac:dyDescent="0.15">
      <c r="A8269" s="1" t="s">
        <v>73</v>
      </c>
      <c r="B8269" s="2">
        <v>2919723</v>
      </c>
      <c r="C8269" s="3">
        <v>0.60599999999999998</v>
      </c>
      <c r="D8269" s="4" t="s">
        <v>783</v>
      </c>
      <c r="E8269" s="4" t="s">
        <v>784</v>
      </c>
    </row>
    <row r="8270" spans="1:5" hidden="1" x14ac:dyDescent="0.15">
      <c r="A8270" s="1" t="s">
        <v>74</v>
      </c>
      <c r="B8270" s="2">
        <v>1439991</v>
      </c>
      <c r="C8270" s="3">
        <v>0.29899999999999999</v>
      </c>
      <c r="D8270" s="4" t="s">
        <v>783</v>
      </c>
      <c r="E8270" s="4" t="s">
        <v>784</v>
      </c>
    </row>
    <row r="8271" spans="1:5" hidden="1" x14ac:dyDescent="0.15">
      <c r="A8271" s="1" t="s">
        <v>75</v>
      </c>
      <c r="B8271" s="2">
        <v>1072276</v>
      </c>
      <c r="C8271" s="3">
        <v>0.223</v>
      </c>
      <c r="D8271" s="4" t="s">
        <v>783</v>
      </c>
      <c r="E8271" s="4" t="s">
        <v>784</v>
      </c>
    </row>
    <row r="8272" spans="1:5" hidden="1" x14ac:dyDescent="0.15">
      <c r="A8272" s="1" t="s">
        <v>76</v>
      </c>
      <c r="B8272" s="2">
        <v>550774</v>
      </c>
      <c r="C8272" s="3">
        <v>0.114</v>
      </c>
      <c r="D8272" s="4" t="s">
        <v>783</v>
      </c>
      <c r="E8272" s="4" t="s">
        <v>784</v>
      </c>
    </row>
    <row r="8273" spans="1:5" hidden="1" x14ac:dyDescent="0.15">
      <c r="A8273" s="1" t="s">
        <v>77</v>
      </c>
      <c r="B8273" s="2">
        <v>462827</v>
      </c>
      <c r="C8273" s="3">
        <v>9.6000000000000002E-2</v>
      </c>
      <c r="D8273" s="4" t="s">
        <v>783</v>
      </c>
      <c r="E8273" s="4" t="s">
        <v>784</v>
      </c>
    </row>
    <row r="8274" spans="1:5" ht="26" hidden="1" x14ac:dyDescent="0.15">
      <c r="A8274" s="1" t="s">
        <v>78</v>
      </c>
      <c r="B8274" s="2">
        <v>528308</v>
      </c>
      <c r="C8274" s="3">
        <v>0.11</v>
      </c>
      <c r="D8274" s="4" t="s">
        <v>783</v>
      </c>
      <c r="E8274" s="4" t="s">
        <v>784</v>
      </c>
    </row>
    <row r="8275" spans="1:5" hidden="1" x14ac:dyDescent="0.15">
      <c r="A8275" s="1" t="s">
        <v>79</v>
      </c>
      <c r="B8275" s="2">
        <v>830840</v>
      </c>
      <c r="C8275" s="3">
        <v>0.17199999999999999</v>
      </c>
      <c r="D8275" s="4" t="s">
        <v>783</v>
      </c>
      <c r="E8275" s="4" t="s">
        <v>784</v>
      </c>
    </row>
    <row r="8276" spans="1:5" hidden="1" x14ac:dyDescent="0.15">
      <c r="A8276" s="1" t="s">
        <v>80</v>
      </c>
      <c r="B8276" s="2">
        <v>743858</v>
      </c>
      <c r="C8276" s="3">
        <v>0.154</v>
      </c>
      <c r="D8276" s="4" t="s">
        <v>783</v>
      </c>
      <c r="E8276" s="4" t="s">
        <v>784</v>
      </c>
    </row>
    <row r="8277" spans="1:5" ht="26" hidden="1" x14ac:dyDescent="0.15">
      <c r="A8277" s="1" t="s">
        <v>81</v>
      </c>
      <c r="B8277" s="2">
        <v>1099259</v>
      </c>
      <c r="C8277" s="3">
        <v>0.22800000000000001</v>
      </c>
      <c r="D8277" s="4" t="s">
        <v>783</v>
      </c>
      <c r="E8277" s="4" t="s">
        <v>784</v>
      </c>
    </row>
    <row r="8278" spans="1:5" hidden="1" x14ac:dyDescent="0.15">
      <c r="A8278" s="1" t="s">
        <v>82</v>
      </c>
      <c r="B8278" s="2">
        <v>702797</v>
      </c>
      <c r="C8278" s="3">
        <v>0.14599999999999999</v>
      </c>
      <c r="D8278" s="4" t="s">
        <v>783</v>
      </c>
      <c r="E8278" s="4" t="s">
        <v>784</v>
      </c>
    </row>
    <row r="8279" spans="1:5" hidden="1" x14ac:dyDescent="0.15">
      <c r="A8279" s="4"/>
      <c r="B8279" s="4"/>
      <c r="C8279" s="4"/>
      <c r="D8279" s="4" t="s">
        <v>783</v>
      </c>
      <c r="E8279" s="4" t="s">
        <v>784</v>
      </c>
    </row>
    <row r="8280" spans="1:5" hidden="1" x14ac:dyDescent="0.15">
      <c r="A8280" s="16"/>
      <c r="B8280" s="16"/>
      <c r="C8280" s="16"/>
      <c r="D8280" s="4" t="s">
        <v>783</v>
      </c>
      <c r="E8280" s="4" t="s">
        <v>784</v>
      </c>
    </row>
    <row r="8281" spans="1:5" hidden="1" x14ac:dyDescent="0.15">
      <c r="A8281" s="1" t="s">
        <v>308</v>
      </c>
      <c r="B8281" s="2">
        <v>2455026</v>
      </c>
      <c r="C8281" s="3">
        <v>0.51</v>
      </c>
      <c r="D8281" s="4" t="s">
        <v>783</v>
      </c>
      <c r="E8281" s="4" t="s">
        <v>784</v>
      </c>
    </row>
    <row r="8282" spans="1:5" hidden="1" x14ac:dyDescent="0.15">
      <c r="A8282" s="4"/>
      <c r="B8282" s="4"/>
      <c r="C8282" s="4"/>
      <c r="D8282" s="4" t="s">
        <v>783</v>
      </c>
      <c r="E8282" s="4" t="s">
        <v>784</v>
      </c>
    </row>
    <row r="8283" spans="1:5" hidden="1" x14ac:dyDescent="0.15">
      <c r="A8283" s="16"/>
      <c r="B8283" s="16"/>
      <c r="C8283" s="16"/>
      <c r="D8283" s="4" t="s">
        <v>783</v>
      </c>
      <c r="E8283" s="4" t="s">
        <v>784</v>
      </c>
    </row>
    <row r="8284" spans="1:5" hidden="1" x14ac:dyDescent="0.15">
      <c r="A8284" s="1" t="s">
        <v>756</v>
      </c>
      <c r="B8284" s="2">
        <v>1358572</v>
      </c>
      <c r="C8284" s="3">
        <v>0.28199999999999997</v>
      </c>
      <c r="D8284" s="4" t="s">
        <v>783</v>
      </c>
      <c r="E8284" s="4" t="s">
        <v>784</v>
      </c>
    </row>
    <row r="8285" spans="1:5" hidden="1" x14ac:dyDescent="0.15">
      <c r="A8285" s="4"/>
      <c r="B8285" s="4"/>
      <c r="C8285" s="4"/>
      <c r="D8285" s="4" t="s">
        <v>783</v>
      </c>
      <c r="E8285" s="4" t="s">
        <v>784</v>
      </c>
    </row>
    <row r="8286" spans="1:5" hidden="1" x14ac:dyDescent="0.15">
      <c r="A8286" s="16"/>
      <c r="B8286" s="16"/>
      <c r="C8286" s="16"/>
      <c r="D8286" s="4" t="s">
        <v>783</v>
      </c>
      <c r="E8286" s="4" t="s">
        <v>784</v>
      </c>
    </row>
    <row r="8287" spans="1:5" hidden="1" x14ac:dyDescent="0.15">
      <c r="A8287" s="1" t="s">
        <v>523</v>
      </c>
      <c r="B8287" s="2">
        <v>2686796</v>
      </c>
      <c r="C8287" s="3">
        <v>0.55799999999999994</v>
      </c>
      <c r="D8287" s="4" t="s">
        <v>783</v>
      </c>
      <c r="E8287" s="4" t="s">
        <v>784</v>
      </c>
    </row>
    <row r="8288" spans="1:5" hidden="1" x14ac:dyDescent="0.15">
      <c r="A8288" s="4"/>
      <c r="B8288" s="4"/>
      <c r="C8288" s="4"/>
      <c r="D8288" s="4" t="s">
        <v>783</v>
      </c>
      <c r="E8288" s="4" t="s">
        <v>784</v>
      </c>
    </row>
    <row r="8289" spans="1:5" hidden="1" x14ac:dyDescent="0.15">
      <c r="A8289" s="4"/>
      <c r="B8289" s="4"/>
      <c r="C8289" s="4"/>
      <c r="D8289" s="4" t="s">
        <v>783</v>
      </c>
      <c r="E8289" s="4" t="s">
        <v>784</v>
      </c>
    </row>
    <row r="8290" spans="1:5" hidden="1" x14ac:dyDescent="0.15">
      <c r="A8290" s="16" t="s">
        <v>397</v>
      </c>
      <c r="B8290" s="16"/>
      <c r="C8290" s="16"/>
      <c r="D8290" s="4" t="s">
        <v>783</v>
      </c>
      <c r="E8290" s="4" t="s">
        <v>784</v>
      </c>
    </row>
    <row r="8291" spans="1:5" ht="26" hidden="1" x14ac:dyDescent="0.15">
      <c r="A8291" s="1" t="s">
        <v>785</v>
      </c>
      <c r="B8291" s="2">
        <v>338773</v>
      </c>
      <c r="C8291" s="3">
        <v>7.0000000000000007E-2</v>
      </c>
      <c r="D8291" s="4" t="s">
        <v>783</v>
      </c>
      <c r="E8291" s="4" t="s">
        <v>784</v>
      </c>
    </row>
    <row r="8292" spans="1:5" ht="26" hidden="1" x14ac:dyDescent="0.15">
      <c r="A8292" s="1" t="s">
        <v>786</v>
      </c>
      <c r="B8292" s="2">
        <v>709151</v>
      </c>
      <c r="C8292" s="3">
        <v>0.14699999999999999</v>
      </c>
      <c r="D8292" s="4" t="s">
        <v>783</v>
      </c>
      <c r="E8292" s="4" t="s">
        <v>784</v>
      </c>
    </row>
    <row r="8293" spans="1:5" ht="39" hidden="1" x14ac:dyDescent="0.15">
      <c r="A8293" s="1" t="s">
        <v>787</v>
      </c>
      <c r="B8293" s="2">
        <v>689733</v>
      </c>
      <c r="C8293" s="3">
        <v>0.14300000000000002</v>
      </c>
      <c r="D8293" s="4" t="s">
        <v>783</v>
      </c>
      <c r="E8293" s="4" t="s">
        <v>784</v>
      </c>
    </row>
    <row r="8294" spans="1:5" ht="39" hidden="1" x14ac:dyDescent="0.15">
      <c r="A8294" s="1" t="s">
        <v>788</v>
      </c>
      <c r="B8294" s="2">
        <v>323104</v>
      </c>
      <c r="C8294" s="3">
        <v>6.7000000000000004E-2</v>
      </c>
      <c r="D8294" s="4" t="s">
        <v>783</v>
      </c>
      <c r="E8294" s="4" t="s">
        <v>784</v>
      </c>
    </row>
    <row r="8295" spans="1:5" ht="26" hidden="1" x14ac:dyDescent="0.15">
      <c r="A8295" s="1" t="s">
        <v>789</v>
      </c>
      <c r="B8295" s="2">
        <v>1957737</v>
      </c>
      <c r="C8295" s="3">
        <v>0.40600000000000003</v>
      </c>
      <c r="D8295" s="4" t="s">
        <v>783</v>
      </c>
      <c r="E8295" s="4" t="s">
        <v>784</v>
      </c>
    </row>
    <row r="8296" spans="1:5" ht="26" hidden="1" x14ac:dyDescent="0.15">
      <c r="A8296" s="1" t="s">
        <v>790</v>
      </c>
      <c r="B8296" s="2">
        <v>563022</v>
      </c>
      <c r="C8296" s="3">
        <v>0.11699999999999999</v>
      </c>
      <c r="D8296" s="4" t="s">
        <v>783</v>
      </c>
      <c r="E8296" s="4" t="s">
        <v>784</v>
      </c>
    </row>
    <row r="8297" spans="1:5" ht="26" hidden="1" x14ac:dyDescent="0.15">
      <c r="A8297" s="1" t="s">
        <v>791</v>
      </c>
      <c r="B8297" s="2">
        <v>1200676</v>
      </c>
      <c r="C8297" s="3">
        <v>0.249</v>
      </c>
      <c r="D8297" s="4" t="s">
        <v>783</v>
      </c>
      <c r="E8297" s="4" t="s">
        <v>784</v>
      </c>
    </row>
    <row r="8298" spans="1:5" ht="26" hidden="1" x14ac:dyDescent="0.15">
      <c r="A8298" s="1" t="s">
        <v>792</v>
      </c>
      <c r="B8298" s="2">
        <v>363388</v>
      </c>
      <c r="C8298" s="3">
        <v>7.4999999999999997E-2</v>
      </c>
      <c r="D8298" s="4" t="s">
        <v>783</v>
      </c>
      <c r="E8298" s="4" t="s">
        <v>784</v>
      </c>
    </row>
    <row r="8299" spans="1:5" ht="26" hidden="1" x14ac:dyDescent="0.15">
      <c r="A8299" s="1" t="s">
        <v>793</v>
      </c>
      <c r="B8299" s="2">
        <v>159369</v>
      </c>
      <c r="C8299" s="3">
        <v>3.3000000000000002E-2</v>
      </c>
      <c r="D8299" s="4" t="s">
        <v>783</v>
      </c>
      <c r="E8299" s="4" t="s">
        <v>784</v>
      </c>
    </row>
    <row r="8300" spans="1:5" ht="39" hidden="1" x14ac:dyDescent="0.15">
      <c r="A8300" s="1" t="s">
        <v>794</v>
      </c>
      <c r="B8300" s="2">
        <v>206499</v>
      </c>
      <c r="C8300" s="3">
        <v>4.2999999999999997E-2</v>
      </c>
      <c r="D8300" s="4" t="s">
        <v>783</v>
      </c>
      <c r="E8300" s="4" t="s">
        <v>784</v>
      </c>
    </row>
    <row r="8301" spans="1:5" ht="26" hidden="1" x14ac:dyDescent="0.15">
      <c r="A8301" s="1" t="s">
        <v>795</v>
      </c>
      <c r="B8301" s="2">
        <v>216718</v>
      </c>
      <c r="C8301" s="3">
        <v>4.4999999999999998E-2</v>
      </c>
      <c r="D8301" s="4" t="s">
        <v>783</v>
      </c>
      <c r="E8301" s="4" t="s">
        <v>784</v>
      </c>
    </row>
    <row r="8302" spans="1:5" hidden="1" x14ac:dyDescent="0.15">
      <c r="A8302" s="1" t="s">
        <v>0</v>
      </c>
      <c r="B8302" s="2">
        <v>1465407</v>
      </c>
      <c r="C8302" s="3">
        <v>1</v>
      </c>
      <c r="D8302" s="4" t="s">
        <v>796</v>
      </c>
      <c r="E8302" s="4" t="s">
        <v>797</v>
      </c>
    </row>
    <row r="8303" spans="1:5" ht="26" hidden="1" x14ac:dyDescent="0.15">
      <c r="A8303" s="1" t="s">
        <v>3</v>
      </c>
      <c r="B8303" s="2">
        <v>28061</v>
      </c>
      <c r="C8303" s="3">
        <v>1.9E-2</v>
      </c>
      <c r="D8303" s="4" t="s">
        <v>796</v>
      </c>
      <c r="E8303" s="4" t="s">
        <v>797</v>
      </c>
    </row>
    <row r="8304" spans="1:5" hidden="1" x14ac:dyDescent="0.15">
      <c r="A8304" s="1" t="s">
        <v>4</v>
      </c>
      <c r="B8304" s="2">
        <v>14992</v>
      </c>
      <c r="C8304" s="3">
        <v>0.01</v>
      </c>
      <c r="D8304" s="4" t="s">
        <v>796</v>
      </c>
      <c r="E8304" s="4" t="s">
        <v>797</v>
      </c>
    </row>
    <row r="8305" spans="1:5" ht="26" hidden="1" x14ac:dyDescent="0.15">
      <c r="A8305" s="1" t="s">
        <v>5</v>
      </c>
      <c r="B8305" s="2">
        <v>50906</v>
      </c>
      <c r="C8305" s="3">
        <v>3.5000000000000003E-2</v>
      </c>
      <c r="D8305" s="4" t="s">
        <v>796</v>
      </c>
      <c r="E8305" s="4" t="s">
        <v>797</v>
      </c>
    </row>
    <row r="8306" spans="1:5" ht="26" hidden="1" x14ac:dyDescent="0.15">
      <c r="A8306" s="1" t="s">
        <v>6</v>
      </c>
      <c r="B8306" s="2">
        <v>183171</v>
      </c>
      <c r="C8306" s="3">
        <v>0.125</v>
      </c>
      <c r="D8306" s="4" t="s">
        <v>796</v>
      </c>
      <c r="E8306" s="4" t="s">
        <v>797</v>
      </c>
    </row>
    <row r="8307" spans="1:5" ht="26" hidden="1" x14ac:dyDescent="0.15">
      <c r="A8307" s="1" t="s">
        <v>7</v>
      </c>
      <c r="B8307" s="2">
        <v>216329</v>
      </c>
      <c r="C8307" s="3">
        <v>0.14800000000000002</v>
      </c>
      <c r="D8307" s="4" t="s">
        <v>796</v>
      </c>
      <c r="E8307" s="4" t="s">
        <v>797</v>
      </c>
    </row>
    <row r="8308" spans="1:5" ht="26" hidden="1" x14ac:dyDescent="0.15">
      <c r="A8308" s="1" t="s">
        <v>8</v>
      </c>
      <c r="B8308" s="2">
        <v>25051</v>
      </c>
      <c r="C8308" s="3">
        <v>1.7000000000000001E-2</v>
      </c>
      <c r="D8308" s="4" t="s">
        <v>796</v>
      </c>
      <c r="E8308" s="4" t="s">
        <v>797</v>
      </c>
    </row>
    <row r="8309" spans="1:5" ht="26" hidden="1" x14ac:dyDescent="0.15">
      <c r="A8309" s="1" t="s">
        <v>9</v>
      </c>
      <c r="B8309" s="2">
        <v>46331</v>
      </c>
      <c r="C8309" s="3">
        <v>3.2000000000000001E-2</v>
      </c>
      <c r="D8309" s="4" t="s">
        <v>796</v>
      </c>
      <c r="E8309" s="4" t="s">
        <v>797</v>
      </c>
    </row>
    <row r="8310" spans="1:5" ht="26" hidden="1" x14ac:dyDescent="0.15">
      <c r="A8310" s="1" t="s">
        <v>10</v>
      </c>
      <c r="B8310" s="2">
        <v>72608</v>
      </c>
      <c r="C8310" s="3">
        <v>0.05</v>
      </c>
      <c r="D8310" s="4" t="s">
        <v>796</v>
      </c>
      <c r="E8310" s="4" t="s">
        <v>797</v>
      </c>
    </row>
    <row r="8311" spans="1:5" ht="26" hidden="1" x14ac:dyDescent="0.15">
      <c r="A8311" s="1" t="s">
        <v>11</v>
      </c>
      <c r="B8311" s="2">
        <v>85434</v>
      </c>
      <c r="C8311" s="3">
        <v>5.7999999999999996E-2</v>
      </c>
      <c r="D8311" s="4" t="s">
        <v>796</v>
      </c>
      <c r="E8311" s="4" t="s">
        <v>797</v>
      </c>
    </row>
    <row r="8312" spans="1:5" ht="26" hidden="1" x14ac:dyDescent="0.15">
      <c r="A8312" s="1" t="s">
        <v>12</v>
      </c>
      <c r="B8312" s="2">
        <v>41100</v>
      </c>
      <c r="C8312" s="3">
        <v>2.7999999999999997E-2</v>
      </c>
      <c r="D8312" s="4" t="s">
        <v>796</v>
      </c>
      <c r="E8312" s="4" t="s">
        <v>797</v>
      </c>
    </row>
    <row r="8313" spans="1:5" ht="26" hidden="1" x14ac:dyDescent="0.15">
      <c r="A8313" s="1" t="s">
        <v>13</v>
      </c>
      <c r="B8313" s="2">
        <v>34242</v>
      </c>
      <c r="C8313" s="3">
        <v>2.3E-2</v>
      </c>
      <c r="D8313" s="4" t="s">
        <v>796</v>
      </c>
      <c r="E8313" s="4" t="s">
        <v>797</v>
      </c>
    </row>
    <row r="8314" spans="1:5" hidden="1" x14ac:dyDescent="0.15">
      <c r="A8314" s="1" t="s">
        <v>14</v>
      </c>
      <c r="B8314" s="2">
        <v>91363</v>
      </c>
      <c r="C8314" s="3">
        <v>6.2E-2</v>
      </c>
      <c r="D8314" s="4" t="s">
        <v>796</v>
      </c>
      <c r="E8314" s="4" t="s">
        <v>797</v>
      </c>
    </row>
    <row r="8315" spans="1:5" ht="26" hidden="1" x14ac:dyDescent="0.15">
      <c r="A8315" s="1" t="s">
        <v>15</v>
      </c>
      <c r="B8315" s="2">
        <v>107176</v>
      </c>
      <c r="C8315" s="3">
        <v>7.2999999999999995E-2</v>
      </c>
      <c r="D8315" s="4" t="s">
        <v>796</v>
      </c>
      <c r="E8315" s="4" t="s">
        <v>797</v>
      </c>
    </row>
    <row r="8316" spans="1:5" ht="26" hidden="1" x14ac:dyDescent="0.15">
      <c r="A8316" s="1" t="s">
        <v>16</v>
      </c>
      <c r="B8316" s="2">
        <v>67511</v>
      </c>
      <c r="C8316" s="3">
        <v>4.5999999999999999E-2</v>
      </c>
      <c r="D8316" s="4" t="s">
        <v>796</v>
      </c>
      <c r="E8316" s="4" t="s">
        <v>797</v>
      </c>
    </row>
    <row r="8317" spans="1:5" ht="26" hidden="1" x14ac:dyDescent="0.15">
      <c r="A8317" s="1" t="s">
        <v>17</v>
      </c>
      <c r="B8317" s="2">
        <v>47326</v>
      </c>
      <c r="C8317" s="3">
        <v>3.2000000000000001E-2</v>
      </c>
      <c r="D8317" s="4" t="s">
        <v>796</v>
      </c>
      <c r="E8317" s="4" t="s">
        <v>797</v>
      </c>
    </row>
    <row r="8318" spans="1:5" hidden="1" x14ac:dyDescent="0.15">
      <c r="A8318" s="1" t="s">
        <v>18</v>
      </c>
      <c r="B8318" s="2">
        <v>13223</v>
      </c>
      <c r="C8318" s="3">
        <v>9.0000000000000011E-3</v>
      </c>
      <c r="D8318" s="4" t="s">
        <v>796</v>
      </c>
      <c r="E8318" s="4" t="s">
        <v>797</v>
      </c>
    </row>
    <row r="8319" spans="1:5" hidden="1" x14ac:dyDescent="0.15">
      <c r="A8319" s="1" t="s">
        <v>19</v>
      </c>
      <c r="B8319" s="2">
        <v>125855</v>
      </c>
      <c r="C8319" s="3">
        <v>8.5999999999999993E-2</v>
      </c>
      <c r="D8319" s="4" t="s">
        <v>796</v>
      </c>
      <c r="E8319" s="4" t="s">
        <v>797</v>
      </c>
    </row>
    <row r="8320" spans="1:5" hidden="1" x14ac:dyDescent="0.15">
      <c r="A8320" s="1" t="s">
        <v>20</v>
      </c>
      <c r="B8320" s="2">
        <v>39172</v>
      </c>
      <c r="C8320" s="3">
        <v>2.7000000000000003E-2</v>
      </c>
      <c r="D8320" s="4" t="s">
        <v>796</v>
      </c>
      <c r="E8320" s="4" t="s">
        <v>797</v>
      </c>
    </row>
    <row r="8321" spans="1:5" ht="26" hidden="1" x14ac:dyDescent="0.15">
      <c r="A8321" s="1" t="s">
        <v>21</v>
      </c>
      <c r="B8321" s="2">
        <v>22653</v>
      </c>
      <c r="C8321" s="3">
        <v>1.4999999999999999E-2</v>
      </c>
      <c r="D8321" s="4" t="s">
        <v>796</v>
      </c>
      <c r="E8321" s="4" t="s">
        <v>797</v>
      </c>
    </row>
    <row r="8322" spans="1:5" ht="26" hidden="1" x14ac:dyDescent="0.15">
      <c r="A8322" s="1" t="s">
        <v>22</v>
      </c>
      <c r="B8322" s="2">
        <v>53955</v>
      </c>
      <c r="C8322" s="3">
        <v>3.7000000000000005E-2</v>
      </c>
      <c r="D8322" s="4" t="s">
        <v>796</v>
      </c>
      <c r="E8322" s="4" t="s">
        <v>797</v>
      </c>
    </row>
    <row r="8323" spans="1:5" ht="26" hidden="1" x14ac:dyDescent="0.15">
      <c r="A8323" s="1" t="s">
        <v>23</v>
      </c>
      <c r="B8323" s="2">
        <v>48278</v>
      </c>
      <c r="C8323" s="3">
        <v>3.3000000000000002E-2</v>
      </c>
      <c r="D8323" s="4" t="s">
        <v>796</v>
      </c>
      <c r="E8323" s="4" t="s">
        <v>797</v>
      </c>
    </row>
    <row r="8324" spans="1:5" ht="26" hidden="1" x14ac:dyDescent="0.15">
      <c r="A8324" s="1" t="s">
        <v>24</v>
      </c>
      <c r="B8324" s="2">
        <v>11619</v>
      </c>
      <c r="C8324" s="3">
        <v>8.0000000000000002E-3</v>
      </c>
      <c r="D8324" s="4" t="s">
        <v>796</v>
      </c>
      <c r="E8324" s="4" t="s">
        <v>797</v>
      </c>
    </row>
    <row r="8325" spans="1:5" ht="26" hidden="1" x14ac:dyDescent="0.15">
      <c r="A8325" s="1" t="s">
        <v>25</v>
      </c>
      <c r="B8325" s="2">
        <v>46646</v>
      </c>
      <c r="C8325" s="3">
        <v>3.2000000000000001E-2</v>
      </c>
      <c r="D8325" s="4" t="s">
        <v>796</v>
      </c>
      <c r="E8325" s="4" t="s">
        <v>797</v>
      </c>
    </row>
    <row r="8326" spans="1:5" hidden="1" x14ac:dyDescent="0.15">
      <c r="A8326" s="1" t="s">
        <v>26</v>
      </c>
      <c r="B8326" s="2">
        <v>28754</v>
      </c>
      <c r="C8326" s="3">
        <v>0.02</v>
      </c>
      <c r="D8326" s="4" t="s">
        <v>796</v>
      </c>
      <c r="E8326" s="4" t="s">
        <v>797</v>
      </c>
    </row>
    <row r="8327" spans="1:5" hidden="1" x14ac:dyDescent="0.15">
      <c r="A8327" s="1" t="s">
        <v>27</v>
      </c>
      <c r="B8327" s="2">
        <v>93378</v>
      </c>
      <c r="C8327" s="3">
        <v>6.4000000000000001E-2</v>
      </c>
      <c r="D8327" s="4" t="s">
        <v>796</v>
      </c>
      <c r="E8327" s="4" t="s">
        <v>797</v>
      </c>
    </row>
    <row r="8328" spans="1:5" hidden="1" x14ac:dyDescent="0.15">
      <c r="A8328" s="1" t="s">
        <v>28</v>
      </c>
      <c r="B8328" s="2">
        <v>157842</v>
      </c>
      <c r="C8328" s="3">
        <v>0.10800000000000001</v>
      </c>
      <c r="D8328" s="4" t="s">
        <v>796</v>
      </c>
      <c r="E8328" s="4" t="s">
        <v>797</v>
      </c>
    </row>
    <row r="8329" spans="1:5" hidden="1" x14ac:dyDescent="0.15">
      <c r="A8329" s="1" t="s">
        <v>29</v>
      </c>
      <c r="B8329" s="2">
        <v>429290</v>
      </c>
      <c r="C8329" s="3">
        <v>0.29299999999999998</v>
      </c>
      <c r="D8329" s="4" t="s">
        <v>796</v>
      </c>
      <c r="E8329" s="4" t="s">
        <v>797</v>
      </c>
    </row>
    <row r="8330" spans="1:5" hidden="1" x14ac:dyDescent="0.15">
      <c r="A8330" s="1" t="s">
        <v>30</v>
      </c>
      <c r="B8330" s="2">
        <v>45799</v>
      </c>
      <c r="C8330" s="3">
        <v>3.1E-2</v>
      </c>
      <c r="D8330" s="4" t="s">
        <v>796</v>
      </c>
      <c r="E8330" s="4" t="s">
        <v>797</v>
      </c>
    </row>
    <row r="8331" spans="1:5" ht="39" hidden="1" x14ac:dyDescent="0.15">
      <c r="A8331" s="1" t="s">
        <v>31</v>
      </c>
      <c r="B8331" s="2">
        <v>26241</v>
      </c>
      <c r="C8331" s="3">
        <v>1.8000000000000002E-2</v>
      </c>
      <c r="D8331" s="4" t="s">
        <v>796</v>
      </c>
      <c r="E8331" s="4" t="s">
        <v>797</v>
      </c>
    </row>
    <row r="8332" spans="1:5" hidden="1" x14ac:dyDescent="0.15">
      <c r="A8332" s="1" t="s">
        <v>32</v>
      </c>
      <c r="B8332" s="2">
        <v>85426</v>
      </c>
      <c r="C8332" s="3">
        <v>5.7999999999999996E-2</v>
      </c>
      <c r="D8332" s="4" t="s">
        <v>796</v>
      </c>
      <c r="E8332" s="4" t="s">
        <v>797</v>
      </c>
    </row>
    <row r="8333" spans="1:5" hidden="1" x14ac:dyDescent="0.15">
      <c r="A8333" s="1" t="s">
        <v>33</v>
      </c>
      <c r="B8333" s="2">
        <v>423517</v>
      </c>
      <c r="C8333" s="3">
        <v>0.28899999999999998</v>
      </c>
      <c r="D8333" s="4" t="s">
        <v>796</v>
      </c>
      <c r="E8333" s="4" t="s">
        <v>797</v>
      </c>
    </row>
    <row r="8334" spans="1:5" hidden="1" x14ac:dyDescent="0.15">
      <c r="A8334" s="1" t="s">
        <v>34</v>
      </c>
      <c r="B8334" s="2">
        <v>70339</v>
      </c>
      <c r="C8334" s="3">
        <v>4.8000000000000001E-2</v>
      </c>
      <c r="D8334" s="4" t="s">
        <v>796</v>
      </c>
      <c r="E8334" s="4" t="s">
        <v>797</v>
      </c>
    </row>
    <row r="8335" spans="1:5" hidden="1" x14ac:dyDescent="0.15">
      <c r="A8335" s="1" t="s">
        <v>35</v>
      </c>
      <c r="B8335" s="2">
        <v>105813</v>
      </c>
      <c r="C8335" s="3">
        <v>7.2000000000000008E-2</v>
      </c>
      <c r="D8335" s="4" t="s">
        <v>796</v>
      </c>
      <c r="E8335" s="4" t="s">
        <v>797</v>
      </c>
    </row>
    <row r="8336" spans="1:5" ht="26" hidden="1" x14ac:dyDescent="0.15">
      <c r="A8336" s="1" t="s">
        <v>36</v>
      </c>
      <c r="B8336" s="2">
        <v>121597</v>
      </c>
      <c r="C8336" s="3">
        <v>8.3000000000000004E-2</v>
      </c>
      <c r="D8336" s="4" t="s">
        <v>796</v>
      </c>
      <c r="E8336" s="4" t="s">
        <v>797</v>
      </c>
    </row>
    <row r="8337" spans="1:5" hidden="1" x14ac:dyDescent="0.15">
      <c r="A8337" s="1" t="s">
        <v>37</v>
      </c>
      <c r="B8337" s="2">
        <v>111215</v>
      </c>
      <c r="C8337" s="3">
        <v>7.5999999999999998E-2</v>
      </c>
      <c r="D8337" s="4" t="s">
        <v>796</v>
      </c>
      <c r="E8337" s="4" t="s">
        <v>797</v>
      </c>
    </row>
    <row r="8338" spans="1:5" ht="39" hidden="1" x14ac:dyDescent="0.15">
      <c r="A8338" s="1" t="s">
        <v>38</v>
      </c>
      <c r="B8338" s="2">
        <v>35649</v>
      </c>
      <c r="C8338" s="3">
        <v>2.4E-2</v>
      </c>
      <c r="D8338" s="4" t="s">
        <v>796</v>
      </c>
      <c r="E8338" s="4" t="s">
        <v>797</v>
      </c>
    </row>
    <row r="8339" spans="1:5" hidden="1" x14ac:dyDescent="0.15">
      <c r="A8339" s="1" t="s">
        <v>39</v>
      </c>
      <c r="B8339" s="2">
        <v>84968</v>
      </c>
      <c r="C8339" s="3">
        <v>5.7999999999999996E-2</v>
      </c>
      <c r="D8339" s="4" t="s">
        <v>796</v>
      </c>
      <c r="E8339" s="4" t="s">
        <v>797</v>
      </c>
    </row>
    <row r="8340" spans="1:5" hidden="1" x14ac:dyDescent="0.15">
      <c r="A8340" s="1" t="s">
        <v>40</v>
      </c>
      <c r="B8340" s="2">
        <v>19187</v>
      </c>
      <c r="C8340" s="3">
        <v>1.3000000000000001E-2</v>
      </c>
      <c r="D8340" s="4" t="s">
        <v>796</v>
      </c>
      <c r="E8340" s="4" t="s">
        <v>797</v>
      </c>
    </row>
    <row r="8341" spans="1:5" hidden="1" x14ac:dyDescent="0.15">
      <c r="A8341" s="1" t="s">
        <v>41</v>
      </c>
      <c r="B8341" s="2">
        <v>27381</v>
      </c>
      <c r="C8341" s="3">
        <v>1.9E-2</v>
      </c>
      <c r="D8341" s="4" t="s">
        <v>796</v>
      </c>
      <c r="E8341" s="4" t="s">
        <v>797</v>
      </c>
    </row>
    <row r="8342" spans="1:5" hidden="1" x14ac:dyDescent="0.15">
      <c r="A8342" s="1" t="s">
        <v>42</v>
      </c>
      <c r="B8342" s="2">
        <v>77747</v>
      </c>
      <c r="C8342" s="3">
        <v>5.2999999999999999E-2</v>
      </c>
      <c r="D8342" s="4" t="s">
        <v>796</v>
      </c>
      <c r="E8342" s="4" t="s">
        <v>797</v>
      </c>
    </row>
    <row r="8343" spans="1:5" hidden="1" x14ac:dyDescent="0.15">
      <c r="A8343" s="1" t="s">
        <v>43</v>
      </c>
      <c r="B8343" s="2">
        <v>178260</v>
      </c>
      <c r="C8343" s="3">
        <v>0.122</v>
      </c>
      <c r="D8343" s="4" t="s">
        <v>796</v>
      </c>
      <c r="E8343" s="4" t="s">
        <v>797</v>
      </c>
    </row>
    <row r="8344" spans="1:5" ht="26" hidden="1" x14ac:dyDescent="0.15">
      <c r="A8344" s="1" t="s">
        <v>44</v>
      </c>
      <c r="B8344" s="2">
        <v>135048</v>
      </c>
      <c r="C8344" s="3">
        <v>9.1999999999999998E-2</v>
      </c>
      <c r="D8344" s="4" t="s">
        <v>796</v>
      </c>
      <c r="E8344" s="4" t="s">
        <v>797</v>
      </c>
    </row>
    <row r="8345" spans="1:5" hidden="1" x14ac:dyDescent="0.15">
      <c r="A8345" s="1" t="s">
        <v>45</v>
      </c>
      <c r="B8345" s="2">
        <v>253714</v>
      </c>
      <c r="C8345" s="3">
        <v>0.17300000000000001</v>
      </c>
      <c r="D8345" s="4" t="s">
        <v>796</v>
      </c>
      <c r="E8345" s="4" t="s">
        <v>797</v>
      </c>
    </row>
    <row r="8346" spans="1:5" ht="26" hidden="1" x14ac:dyDescent="0.15">
      <c r="A8346" s="1" t="s">
        <v>46</v>
      </c>
      <c r="B8346" s="2">
        <v>512971</v>
      </c>
      <c r="C8346" s="3">
        <v>0.35</v>
      </c>
      <c r="D8346" s="4" t="s">
        <v>796</v>
      </c>
      <c r="E8346" s="4" t="s">
        <v>797</v>
      </c>
    </row>
    <row r="8347" spans="1:5" hidden="1" x14ac:dyDescent="0.15">
      <c r="A8347" s="1" t="s">
        <v>47</v>
      </c>
      <c r="B8347" s="2">
        <v>613157</v>
      </c>
      <c r="C8347" s="3">
        <v>0.41799999999999998</v>
      </c>
      <c r="D8347" s="4" t="s">
        <v>796</v>
      </c>
      <c r="E8347" s="4" t="s">
        <v>797</v>
      </c>
    </row>
    <row r="8348" spans="1:5" hidden="1" x14ac:dyDescent="0.15">
      <c r="A8348" s="1" t="s">
        <v>48</v>
      </c>
      <c r="B8348" s="2">
        <v>138168</v>
      </c>
      <c r="C8348" s="3">
        <v>9.4E-2</v>
      </c>
      <c r="D8348" s="4" t="s">
        <v>796</v>
      </c>
      <c r="E8348" s="4" t="s">
        <v>797</v>
      </c>
    </row>
    <row r="8349" spans="1:5" hidden="1" x14ac:dyDescent="0.15">
      <c r="A8349" s="1" t="s">
        <v>49</v>
      </c>
      <c r="B8349" s="2">
        <v>172593</v>
      </c>
      <c r="C8349" s="3">
        <v>0.11800000000000001</v>
      </c>
      <c r="D8349" s="4" t="s">
        <v>796</v>
      </c>
      <c r="E8349" s="4" t="s">
        <v>797</v>
      </c>
    </row>
    <row r="8350" spans="1:5" ht="26" hidden="1" x14ac:dyDescent="0.15">
      <c r="A8350" s="1" t="s">
        <v>50</v>
      </c>
      <c r="B8350" s="2">
        <v>311433</v>
      </c>
      <c r="C8350" s="3">
        <v>0.21299999999999999</v>
      </c>
      <c r="D8350" s="4" t="s">
        <v>796</v>
      </c>
      <c r="E8350" s="4" t="s">
        <v>797</v>
      </c>
    </row>
    <row r="8351" spans="1:5" hidden="1" x14ac:dyDescent="0.15">
      <c r="A8351" s="1" t="s">
        <v>51</v>
      </c>
      <c r="B8351" s="2">
        <v>432519</v>
      </c>
      <c r="C8351" s="3">
        <v>0.29499999999999998</v>
      </c>
      <c r="D8351" s="4" t="s">
        <v>796</v>
      </c>
      <c r="E8351" s="4" t="s">
        <v>797</v>
      </c>
    </row>
    <row r="8352" spans="1:5" hidden="1" x14ac:dyDescent="0.15">
      <c r="A8352" s="1" t="s">
        <v>52</v>
      </c>
      <c r="B8352" s="2">
        <v>216787</v>
      </c>
      <c r="C8352" s="3">
        <v>0.14800000000000002</v>
      </c>
      <c r="D8352" s="4" t="s">
        <v>796</v>
      </c>
      <c r="E8352" s="4" t="s">
        <v>797</v>
      </c>
    </row>
    <row r="8353" spans="1:5" ht="26" hidden="1" x14ac:dyDescent="0.15">
      <c r="A8353" s="1" t="s">
        <v>53</v>
      </c>
      <c r="B8353" s="2">
        <v>162065</v>
      </c>
      <c r="C8353" s="3">
        <v>0.111</v>
      </c>
      <c r="D8353" s="4" t="s">
        <v>796</v>
      </c>
      <c r="E8353" s="4" t="s">
        <v>797</v>
      </c>
    </row>
    <row r="8354" spans="1:5" hidden="1" x14ac:dyDescent="0.15">
      <c r="A8354" s="1" t="s">
        <v>54</v>
      </c>
      <c r="B8354" s="2">
        <v>459639</v>
      </c>
      <c r="C8354" s="3">
        <v>0.314</v>
      </c>
      <c r="D8354" s="4" t="s">
        <v>796</v>
      </c>
      <c r="E8354" s="4" t="s">
        <v>797</v>
      </c>
    </row>
    <row r="8355" spans="1:5" ht="26" hidden="1" x14ac:dyDescent="0.15">
      <c r="A8355" s="1" t="s">
        <v>55</v>
      </c>
      <c r="B8355" s="2">
        <v>400475</v>
      </c>
      <c r="C8355" s="3">
        <v>0.27300000000000002</v>
      </c>
      <c r="D8355" s="4" t="s">
        <v>796</v>
      </c>
      <c r="E8355" s="4" t="s">
        <v>797</v>
      </c>
    </row>
    <row r="8356" spans="1:5" hidden="1" x14ac:dyDescent="0.15">
      <c r="A8356" s="1" t="s">
        <v>56</v>
      </c>
      <c r="B8356" s="2">
        <v>352746</v>
      </c>
      <c r="C8356" s="3">
        <v>0.24100000000000002</v>
      </c>
      <c r="D8356" s="4" t="s">
        <v>796</v>
      </c>
      <c r="E8356" s="4" t="s">
        <v>797</v>
      </c>
    </row>
    <row r="8357" spans="1:5" hidden="1" x14ac:dyDescent="0.15">
      <c r="A8357" s="1" t="s">
        <v>57</v>
      </c>
      <c r="B8357" s="2">
        <v>247486</v>
      </c>
      <c r="C8357" s="3">
        <v>0.16899999999999998</v>
      </c>
      <c r="D8357" s="4" t="s">
        <v>796</v>
      </c>
      <c r="E8357" s="4" t="s">
        <v>797</v>
      </c>
    </row>
    <row r="8358" spans="1:5" hidden="1" x14ac:dyDescent="0.15">
      <c r="A8358" s="1" t="s">
        <v>58</v>
      </c>
      <c r="B8358" s="2">
        <v>153223</v>
      </c>
      <c r="C8358" s="3">
        <v>0.105</v>
      </c>
      <c r="D8358" s="4" t="s">
        <v>796</v>
      </c>
      <c r="E8358" s="4" t="s">
        <v>797</v>
      </c>
    </row>
    <row r="8359" spans="1:5" hidden="1" x14ac:dyDescent="0.15">
      <c r="A8359" s="1" t="s">
        <v>59</v>
      </c>
      <c r="B8359" s="2">
        <v>591411</v>
      </c>
      <c r="C8359" s="3">
        <v>0.40399999999999997</v>
      </c>
      <c r="D8359" s="4" t="s">
        <v>796</v>
      </c>
      <c r="E8359" s="4" t="s">
        <v>797</v>
      </c>
    </row>
    <row r="8360" spans="1:5" hidden="1" x14ac:dyDescent="0.15">
      <c r="A8360" s="1" t="s">
        <v>60</v>
      </c>
      <c r="B8360" s="2">
        <v>204793</v>
      </c>
      <c r="C8360" s="3">
        <v>0.14000000000000001</v>
      </c>
      <c r="D8360" s="4" t="s">
        <v>796</v>
      </c>
      <c r="E8360" s="4" t="s">
        <v>797</v>
      </c>
    </row>
    <row r="8361" spans="1:5" ht="26" hidden="1" x14ac:dyDescent="0.15">
      <c r="A8361" s="1" t="s">
        <v>61</v>
      </c>
      <c r="B8361" s="2">
        <v>181862</v>
      </c>
      <c r="C8361" s="3">
        <v>0.124</v>
      </c>
      <c r="D8361" s="4" t="s">
        <v>796</v>
      </c>
      <c r="E8361" s="4" t="s">
        <v>797</v>
      </c>
    </row>
    <row r="8362" spans="1:5" hidden="1" x14ac:dyDescent="0.15">
      <c r="A8362" s="1" t="s">
        <v>62</v>
      </c>
      <c r="B8362" s="2">
        <v>164512</v>
      </c>
      <c r="C8362" s="3">
        <v>0.11199999999999999</v>
      </c>
      <c r="D8362" s="4" t="s">
        <v>796</v>
      </c>
      <c r="E8362" s="4" t="s">
        <v>797</v>
      </c>
    </row>
    <row r="8363" spans="1:5" ht="26" hidden="1" x14ac:dyDescent="0.15">
      <c r="A8363" s="1" t="s">
        <v>63</v>
      </c>
      <c r="B8363" s="2">
        <v>287837</v>
      </c>
      <c r="C8363" s="3">
        <v>0.19600000000000001</v>
      </c>
      <c r="D8363" s="4" t="s">
        <v>796</v>
      </c>
      <c r="E8363" s="4" t="s">
        <v>797</v>
      </c>
    </row>
    <row r="8364" spans="1:5" ht="26" hidden="1" x14ac:dyDescent="0.15">
      <c r="A8364" s="1" t="s">
        <v>64</v>
      </c>
      <c r="B8364" s="2">
        <v>74159</v>
      </c>
      <c r="C8364" s="3">
        <v>5.0999999999999997E-2</v>
      </c>
      <c r="D8364" s="4" t="s">
        <v>796</v>
      </c>
      <c r="E8364" s="4" t="s">
        <v>797</v>
      </c>
    </row>
    <row r="8365" spans="1:5" hidden="1" x14ac:dyDescent="0.15">
      <c r="A8365" s="1" t="s">
        <v>65</v>
      </c>
      <c r="B8365" s="2">
        <v>322318</v>
      </c>
      <c r="C8365" s="3">
        <v>0.22</v>
      </c>
      <c r="D8365" s="4" t="s">
        <v>796</v>
      </c>
      <c r="E8365" s="4" t="s">
        <v>797</v>
      </c>
    </row>
    <row r="8366" spans="1:5" hidden="1" x14ac:dyDescent="0.15">
      <c r="A8366" s="1" t="s">
        <v>66</v>
      </c>
      <c r="B8366" s="2">
        <v>168209</v>
      </c>
      <c r="C8366" s="3">
        <v>0.115</v>
      </c>
      <c r="D8366" s="4" t="s">
        <v>796</v>
      </c>
      <c r="E8366" s="4" t="s">
        <v>797</v>
      </c>
    </row>
    <row r="8367" spans="1:5" hidden="1" x14ac:dyDescent="0.15">
      <c r="A8367" s="1" t="s">
        <v>67</v>
      </c>
      <c r="B8367" s="2">
        <v>362715</v>
      </c>
      <c r="C8367" s="3">
        <v>0.248</v>
      </c>
      <c r="D8367" s="4" t="s">
        <v>796</v>
      </c>
      <c r="E8367" s="4" t="s">
        <v>797</v>
      </c>
    </row>
    <row r="8368" spans="1:5" hidden="1" x14ac:dyDescent="0.15">
      <c r="A8368" s="1" t="s">
        <v>68</v>
      </c>
      <c r="B8368" s="2">
        <v>581585</v>
      </c>
      <c r="C8368" s="3">
        <v>0.39700000000000002</v>
      </c>
      <c r="D8368" s="4" t="s">
        <v>796</v>
      </c>
      <c r="E8368" s="4" t="s">
        <v>797</v>
      </c>
    </row>
    <row r="8369" spans="1:5" hidden="1" x14ac:dyDescent="0.15">
      <c r="A8369" s="1" t="s">
        <v>69</v>
      </c>
      <c r="B8369" s="2">
        <v>974882</v>
      </c>
      <c r="C8369" s="3">
        <v>0.66500000000000004</v>
      </c>
      <c r="D8369" s="4" t="s">
        <v>796</v>
      </c>
      <c r="E8369" s="4" t="s">
        <v>797</v>
      </c>
    </row>
    <row r="8370" spans="1:5" hidden="1" x14ac:dyDescent="0.15">
      <c r="A8370" s="1" t="s">
        <v>70</v>
      </c>
      <c r="B8370" s="2">
        <v>273740</v>
      </c>
      <c r="C8370" s="3">
        <v>0.187</v>
      </c>
      <c r="D8370" s="4" t="s">
        <v>796</v>
      </c>
      <c r="E8370" s="4" t="s">
        <v>797</v>
      </c>
    </row>
    <row r="8371" spans="1:5" ht="26" hidden="1" x14ac:dyDescent="0.15">
      <c r="A8371" s="1" t="s">
        <v>71</v>
      </c>
      <c r="B8371" s="2">
        <v>106247</v>
      </c>
      <c r="C8371" s="3">
        <v>7.2999999999999995E-2</v>
      </c>
      <c r="D8371" s="4" t="s">
        <v>796</v>
      </c>
      <c r="E8371" s="4" t="s">
        <v>797</v>
      </c>
    </row>
    <row r="8372" spans="1:5" hidden="1" x14ac:dyDescent="0.15">
      <c r="A8372" s="1" t="s">
        <v>72</v>
      </c>
      <c r="B8372" s="2">
        <v>238726</v>
      </c>
      <c r="C8372" s="3">
        <v>0.16300000000000001</v>
      </c>
      <c r="D8372" s="4" t="s">
        <v>796</v>
      </c>
      <c r="E8372" s="4" t="s">
        <v>797</v>
      </c>
    </row>
    <row r="8373" spans="1:5" hidden="1" x14ac:dyDescent="0.15">
      <c r="A8373" s="1" t="s">
        <v>73</v>
      </c>
      <c r="B8373" s="2">
        <v>830112</v>
      </c>
      <c r="C8373" s="3">
        <v>0.56600000000000006</v>
      </c>
      <c r="D8373" s="4" t="s">
        <v>796</v>
      </c>
      <c r="E8373" s="4" t="s">
        <v>797</v>
      </c>
    </row>
    <row r="8374" spans="1:5" hidden="1" x14ac:dyDescent="0.15">
      <c r="A8374" s="1" t="s">
        <v>74</v>
      </c>
      <c r="B8374" s="2">
        <v>313185</v>
      </c>
      <c r="C8374" s="3">
        <v>0.214</v>
      </c>
      <c r="D8374" s="4" t="s">
        <v>796</v>
      </c>
      <c r="E8374" s="4" t="s">
        <v>797</v>
      </c>
    </row>
    <row r="8375" spans="1:5" hidden="1" x14ac:dyDescent="0.15">
      <c r="A8375" s="1" t="s">
        <v>75</v>
      </c>
      <c r="B8375" s="2">
        <v>442155</v>
      </c>
      <c r="C8375" s="3">
        <v>0.30199999999999999</v>
      </c>
      <c r="D8375" s="4" t="s">
        <v>796</v>
      </c>
      <c r="E8375" s="4" t="s">
        <v>797</v>
      </c>
    </row>
    <row r="8376" spans="1:5" hidden="1" x14ac:dyDescent="0.15">
      <c r="A8376" s="1" t="s">
        <v>76</v>
      </c>
      <c r="B8376" s="2">
        <v>370535</v>
      </c>
      <c r="C8376" s="3">
        <v>0.253</v>
      </c>
      <c r="D8376" s="4" t="s">
        <v>796</v>
      </c>
      <c r="E8376" s="4" t="s">
        <v>797</v>
      </c>
    </row>
    <row r="8377" spans="1:5" hidden="1" x14ac:dyDescent="0.15">
      <c r="A8377" s="1" t="s">
        <v>77</v>
      </c>
      <c r="B8377" s="2">
        <v>317290</v>
      </c>
      <c r="C8377" s="3">
        <v>0.217</v>
      </c>
      <c r="D8377" s="4" t="s">
        <v>796</v>
      </c>
      <c r="E8377" s="4" t="s">
        <v>797</v>
      </c>
    </row>
    <row r="8378" spans="1:5" ht="26" hidden="1" x14ac:dyDescent="0.15">
      <c r="A8378" s="1" t="s">
        <v>78</v>
      </c>
      <c r="B8378" s="2">
        <v>222890</v>
      </c>
      <c r="C8378" s="3">
        <v>0.152</v>
      </c>
      <c r="D8378" s="4" t="s">
        <v>796</v>
      </c>
      <c r="E8378" s="4" t="s">
        <v>797</v>
      </c>
    </row>
    <row r="8379" spans="1:5" hidden="1" x14ac:dyDescent="0.15">
      <c r="A8379" s="1" t="s">
        <v>79</v>
      </c>
      <c r="B8379" s="2">
        <v>327220</v>
      </c>
      <c r="C8379" s="3">
        <v>0.223</v>
      </c>
      <c r="D8379" s="4" t="s">
        <v>796</v>
      </c>
      <c r="E8379" s="4" t="s">
        <v>797</v>
      </c>
    </row>
    <row r="8380" spans="1:5" hidden="1" x14ac:dyDescent="0.15">
      <c r="A8380" s="1" t="s">
        <v>80</v>
      </c>
      <c r="B8380" s="2">
        <v>183521</v>
      </c>
      <c r="C8380" s="3">
        <v>0.125</v>
      </c>
      <c r="D8380" s="4" t="s">
        <v>796</v>
      </c>
      <c r="E8380" s="4" t="s">
        <v>797</v>
      </c>
    </row>
    <row r="8381" spans="1:5" ht="26" hidden="1" x14ac:dyDescent="0.15">
      <c r="A8381" s="1" t="s">
        <v>81</v>
      </c>
      <c r="B8381" s="2">
        <v>182775</v>
      </c>
      <c r="C8381" s="3">
        <v>0.125</v>
      </c>
      <c r="D8381" s="4" t="s">
        <v>796</v>
      </c>
      <c r="E8381" s="4" t="s">
        <v>797</v>
      </c>
    </row>
    <row r="8382" spans="1:5" hidden="1" x14ac:dyDescent="0.15">
      <c r="A8382" s="1" t="s">
        <v>82</v>
      </c>
      <c r="B8382" s="2">
        <v>251372</v>
      </c>
      <c r="C8382" s="3">
        <v>0.17199999999999999</v>
      </c>
      <c r="D8382" s="4" t="s">
        <v>796</v>
      </c>
      <c r="E8382" s="4" t="s">
        <v>797</v>
      </c>
    </row>
    <row r="8383" spans="1:5" hidden="1" x14ac:dyDescent="0.15">
      <c r="A8383" s="4"/>
      <c r="B8383" s="4"/>
      <c r="C8383" s="4"/>
      <c r="D8383" s="4" t="s">
        <v>796</v>
      </c>
      <c r="E8383" s="4" t="s">
        <v>797</v>
      </c>
    </row>
    <row r="8384" spans="1:5" hidden="1" x14ac:dyDescent="0.15">
      <c r="A8384" s="5"/>
      <c r="B8384" s="5"/>
      <c r="C8384" s="5"/>
      <c r="D8384" s="4" t="s">
        <v>796</v>
      </c>
      <c r="E8384" s="4" t="s">
        <v>797</v>
      </c>
    </row>
    <row r="8385" spans="1:5" ht="26" hidden="1" x14ac:dyDescent="0.15">
      <c r="A8385" s="1" t="s">
        <v>798</v>
      </c>
      <c r="B8385" s="2">
        <v>427210</v>
      </c>
      <c r="C8385" s="3">
        <v>0.29199999999999998</v>
      </c>
      <c r="D8385" s="4" t="s">
        <v>796</v>
      </c>
      <c r="E8385" s="4" t="s">
        <v>797</v>
      </c>
    </row>
    <row r="8386" spans="1:5" ht="26" hidden="1" x14ac:dyDescent="0.15">
      <c r="A8386" s="1" t="s">
        <v>799</v>
      </c>
      <c r="B8386" s="2">
        <v>285796</v>
      </c>
      <c r="C8386" s="3">
        <v>0.19500000000000001</v>
      </c>
      <c r="D8386" s="4" t="s">
        <v>796</v>
      </c>
      <c r="E8386" s="4" t="s">
        <v>797</v>
      </c>
    </row>
    <row r="8387" spans="1:5" ht="39" hidden="1" x14ac:dyDescent="0.15">
      <c r="A8387" s="1" t="s">
        <v>800</v>
      </c>
      <c r="B8387" s="2">
        <v>132373</v>
      </c>
      <c r="C8387" s="3">
        <v>0.09</v>
      </c>
      <c r="D8387" s="4" t="s">
        <v>796</v>
      </c>
      <c r="E8387" s="4" t="s">
        <v>797</v>
      </c>
    </row>
    <row r="8388" spans="1:5" ht="26" hidden="1" x14ac:dyDescent="0.15">
      <c r="A8388" s="1" t="s">
        <v>801</v>
      </c>
      <c r="B8388" s="2">
        <v>88117</v>
      </c>
      <c r="C8388" s="3">
        <v>0.06</v>
      </c>
      <c r="D8388" s="4" t="s">
        <v>796</v>
      </c>
      <c r="E8388" s="4" t="s">
        <v>797</v>
      </c>
    </row>
    <row r="8389" spans="1:5" hidden="1" x14ac:dyDescent="0.15">
      <c r="A8389" s="4"/>
      <c r="B8389" s="4"/>
      <c r="C8389" s="4"/>
      <c r="D8389" s="4" t="s">
        <v>796</v>
      </c>
      <c r="E8389" s="4" t="s">
        <v>797</v>
      </c>
    </row>
    <row r="8390" spans="1:5" hidden="1" x14ac:dyDescent="0.15">
      <c r="A8390" s="5"/>
      <c r="B8390" s="5"/>
      <c r="C8390" s="5"/>
      <c r="D8390" s="4" t="s">
        <v>796</v>
      </c>
      <c r="E8390" s="4" t="s">
        <v>797</v>
      </c>
    </row>
    <row r="8391" spans="1:5" hidden="1" x14ac:dyDescent="0.15">
      <c r="A8391" s="1" t="s">
        <v>276</v>
      </c>
      <c r="B8391" s="2">
        <v>427579</v>
      </c>
      <c r="C8391" s="3">
        <v>0.29199999999999998</v>
      </c>
      <c r="D8391" s="4" t="s">
        <v>796</v>
      </c>
      <c r="E8391" s="4" t="s">
        <v>797</v>
      </c>
    </row>
    <row r="8392" spans="1:5" hidden="1" x14ac:dyDescent="0.15">
      <c r="A8392" s="1" t="s">
        <v>648</v>
      </c>
      <c r="B8392" s="2">
        <v>480034</v>
      </c>
      <c r="C8392" s="3">
        <v>0.32799999999999996</v>
      </c>
      <c r="D8392" s="4" t="s">
        <v>796</v>
      </c>
      <c r="E8392" s="4" t="s">
        <v>797</v>
      </c>
    </row>
    <row r="8393" spans="1:5" hidden="1" x14ac:dyDescent="0.15">
      <c r="A8393" s="1" t="s">
        <v>0</v>
      </c>
      <c r="B8393" s="2">
        <v>1104480</v>
      </c>
      <c r="C8393" s="3">
        <v>1</v>
      </c>
      <c r="D8393" s="4" t="s">
        <v>802</v>
      </c>
      <c r="E8393" s="4" t="s">
        <v>191</v>
      </c>
    </row>
    <row r="8394" spans="1:5" ht="26" hidden="1" x14ac:dyDescent="0.15">
      <c r="A8394" s="1" t="s">
        <v>3</v>
      </c>
      <c r="B8394" s="2">
        <v>24631</v>
      </c>
      <c r="C8394" s="3">
        <v>2.2000000000000002E-2</v>
      </c>
      <c r="D8394" s="4" t="s">
        <v>802</v>
      </c>
      <c r="E8394" s="4" t="s">
        <v>191</v>
      </c>
    </row>
    <row r="8395" spans="1:5" hidden="1" x14ac:dyDescent="0.15">
      <c r="A8395" s="1" t="s">
        <v>4</v>
      </c>
      <c r="B8395" s="2">
        <v>17123</v>
      </c>
      <c r="C8395" s="3">
        <v>1.6E-2</v>
      </c>
      <c r="D8395" s="4" t="s">
        <v>802</v>
      </c>
      <c r="E8395" s="4" t="s">
        <v>191</v>
      </c>
    </row>
    <row r="8396" spans="1:5" ht="26" hidden="1" x14ac:dyDescent="0.15">
      <c r="A8396" s="1" t="s">
        <v>5</v>
      </c>
      <c r="B8396" s="2">
        <v>21173</v>
      </c>
      <c r="C8396" s="3">
        <v>1.9E-2</v>
      </c>
      <c r="D8396" s="4" t="s">
        <v>802</v>
      </c>
      <c r="E8396" s="4" t="s">
        <v>191</v>
      </c>
    </row>
    <row r="8397" spans="1:5" ht="26" hidden="1" x14ac:dyDescent="0.15">
      <c r="A8397" s="1" t="s">
        <v>6</v>
      </c>
      <c r="B8397" s="2">
        <v>102899</v>
      </c>
      <c r="C8397" s="3">
        <v>9.3000000000000013E-2</v>
      </c>
      <c r="D8397" s="4" t="s">
        <v>802</v>
      </c>
      <c r="E8397" s="4" t="s">
        <v>191</v>
      </c>
    </row>
    <row r="8398" spans="1:5" ht="26" hidden="1" x14ac:dyDescent="0.15">
      <c r="A8398" s="1" t="s">
        <v>7</v>
      </c>
      <c r="B8398" s="2">
        <v>98811</v>
      </c>
      <c r="C8398" s="3">
        <v>8.900000000000001E-2</v>
      </c>
      <c r="D8398" s="4" t="s">
        <v>802</v>
      </c>
      <c r="E8398" s="4" t="s">
        <v>191</v>
      </c>
    </row>
    <row r="8399" spans="1:5" ht="26" hidden="1" x14ac:dyDescent="0.15">
      <c r="A8399" s="1" t="s">
        <v>8</v>
      </c>
      <c r="B8399" s="2">
        <v>16060</v>
      </c>
      <c r="C8399" s="3">
        <v>1.4999999999999999E-2</v>
      </c>
      <c r="D8399" s="4" t="s">
        <v>802</v>
      </c>
      <c r="E8399" s="4" t="s">
        <v>191</v>
      </c>
    </row>
    <row r="8400" spans="1:5" ht="26" hidden="1" x14ac:dyDescent="0.15">
      <c r="A8400" s="1" t="s">
        <v>9</v>
      </c>
      <c r="B8400" s="2">
        <v>23342</v>
      </c>
      <c r="C8400" s="3">
        <v>2.1000000000000001E-2</v>
      </c>
      <c r="D8400" s="4" t="s">
        <v>802</v>
      </c>
      <c r="E8400" s="4" t="s">
        <v>191</v>
      </c>
    </row>
    <row r="8401" spans="1:5" ht="26" hidden="1" x14ac:dyDescent="0.15">
      <c r="A8401" s="1" t="s">
        <v>10</v>
      </c>
      <c r="B8401" s="2">
        <v>28081</v>
      </c>
      <c r="C8401" s="3">
        <v>2.5000000000000001E-2</v>
      </c>
      <c r="D8401" s="4" t="s">
        <v>802</v>
      </c>
      <c r="E8401" s="4" t="s">
        <v>191</v>
      </c>
    </row>
    <row r="8402" spans="1:5" ht="26" hidden="1" x14ac:dyDescent="0.15">
      <c r="A8402" s="1" t="s">
        <v>11</v>
      </c>
      <c r="B8402" s="2">
        <v>61326</v>
      </c>
      <c r="C8402" s="3">
        <v>5.5999999999999994E-2</v>
      </c>
      <c r="D8402" s="4" t="s">
        <v>802</v>
      </c>
      <c r="E8402" s="4" t="s">
        <v>191</v>
      </c>
    </row>
    <row r="8403" spans="1:5" ht="26" hidden="1" x14ac:dyDescent="0.15">
      <c r="A8403" s="1" t="s">
        <v>12</v>
      </c>
      <c r="B8403" s="2">
        <v>23989</v>
      </c>
      <c r="C8403" s="3">
        <v>2.2000000000000002E-2</v>
      </c>
      <c r="D8403" s="4" t="s">
        <v>802</v>
      </c>
      <c r="E8403" s="4" t="s">
        <v>191</v>
      </c>
    </row>
    <row r="8404" spans="1:5" ht="26" hidden="1" x14ac:dyDescent="0.15">
      <c r="A8404" s="1" t="s">
        <v>13</v>
      </c>
      <c r="B8404" s="2">
        <v>13136</v>
      </c>
      <c r="C8404" s="3">
        <v>1.2E-2</v>
      </c>
      <c r="D8404" s="4" t="s">
        <v>802</v>
      </c>
      <c r="E8404" s="4" t="s">
        <v>191</v>
      </c>
    </row>
    <row r="8405" spans="1:5" hidden="1" x14ac:dyDescent="0.15">
      <c r="A8405" s="1" t="s">
        <v>14</v>
      </c>
      <c r="B8405" s="2">
        <v>62537</v>
      </c>
      <c r="C8405" s="3">
        <v>5.7000000000000002E-2</v>
      </c>
      <c r="D8405" s="4" t="s">
        <v>802</v>
      </c>
      <c r="E8405" s="4" t="s">
        <v>191</v>
      </c>
    </row>
    <row r="8406" spans="1:5" ht="26" hidden="1" x14ac:dyDescent="0.15">
      <c r="A8406" s="1" t="s">
        <v>15</v>
      </c>
      <c r="B8406" s="2">
        <v>56859</v>
      </c>
      <c r="C8406" s="3">
        <v>5.0999999999999997E-2</v>
      </c>
      <c r="D8406" s="4" t="s">
        <v>802</v>
      </c>
      <c r="E8406" s="4" t="s">
        <v>191</v>
      </c>
    </row>
    <row r="8407" spans="1:5" ht="26" hidden="1" x14ac:dyDescent="0.15">
      <c r="A8407" s="1" t="s">
        <v>16</v>
      </c>
      <c r="B8407" s="2">
        <v>70255</v>
      </c>
      <c r="C8407" s="3">
        <v>6.4000000000000001E-2</v>
      </c>
      <c r="D8407" s="4" t="s">
        <v>802</v>
      </c>
      <c r="E8407" s="4" t="s">
        <v>191</v>
      </c>
    </row>
    <row r="8408" spans="1:5" ht="26" hidden="1" x14ac:dyDescent="0.15">
      <c r="A8408" s="1" t="s">
        <v>17</v>
      </c>
      <c r="B8408" s="2">
        <v>23754</v>
      </c>
      <c r="C8408" s="3">
        <v>2.2000000000000002E-2</v>
      </c>
      <c r="D8408" s="4" t="s">
        <v>802</v>
      </c>
      <c r="E8408" s="4" t="s">
        <v>191</v>
      </c>
    </row>
    <row r="8409" spans="1:5" hidden="1" x14ac:dyDescent="0.15">
      <c r="A8409" s="1" t="s">
        <v>18</v>
      </c>
      <c r="B8409" s="2">
        <v>18255</v>
      </c>
      <c r="C8409" s="3">
        <v>1.7000000000000001E-2</v>
      </c>
      <c r="D8409" s="4" t="s">
        <v>802</v>
      </c>
      <c r="E8409" s="4" t="s">
        <v>191</v>
      </c>
    </row>
    <row r="8410" spans="1:5" hidden="1" x14ac:dyDescent="0.15">
      <c r="A8410" s="1" t="s">
        <v>19</v>
      </c>
      <c r="B8410" s="2">
        <v>228542</v>
      </c>
      <c r="C8410" s="3">
        <v>0.20699999999999999</v>
      </c>
      <c r="D8410" s="4" t="s">
        <v>802</v>
      </c>
      <c r="E8410" s="4" t="s">
        <v>191</v>
      </c>
    </row>
    <row r="8411" spans="1:5" hidden="1" x14ac:dyDescent="0.15">
      <c r="A8411" s="1" t="s">
        <v>20</v>
      </c>
      <c r="B8411" s="2">
        <v>19179</v>
      </c>
      <c r="C8411" s="3">
        <v>1.7000000000000001E-2</v>
      </c>
      <c r="D8411" s="4" t="s">
        <v>802</v>
      </c>
      <c r="E8411" s="4" t="s">
        <v>191</v>
      </c>
    </row>
    <row r="8412" spans="1:5" ht="26" hidden="1" x14ac:dyDescent="0.15">
      <c r="A8412" s="1" t="s">
        <v>21</v>
      </c>
      <c r="B8412" s="2">
        <v>17715</v>
      </c>
      <c r="C8412" s="3">
        <v>1.6E-2</v>
      </c>
      <c r="D8412" s="4" t="s">
        <v>802</v>
      </c>
      <c r="E8412" s="4" t="s">
        <v>191</v>
      </c>
    </row>
    <row r="8413" spans="1:5" ht="26" hidden="1" x14ac:dyDescent="0.15">
      <c r="A8413" s="1" t="s">
        <v>22</v>
      </c>
      <c r="B8413" s="2">
        <v>5923</v>
      </c>
      <c r="C8413" s="3">
        <v>5.0000000000000001E-3</v>
      </c>
      <c r="D8413" s="4" t="s">
        <v>802</v>
      </c>
      <c r="E8413" s="4" t="s">
        <v>191</v>
      </c>
    </row>
    <row r="8414" spans="1:5" ht="26" hidden="1" x14ac:dyDescent="0.15">
      <c r="A8414" s="1" t="s">
        <v>23</v>
      </c>
      <c r="B8414" s="2">
        <v>10104</v>
      </c>
      <c r="C8414" s="3">
        <v>9.0000000000000011E-3</v>
      </c>
      <c r="D8414" s="4" t="s">
        <v>802</v>
      </c>
      <c r="E8414" s="4" t="s">
        <v>191</v>
      </c>
    </row>
    <row r="8415" spans="1:5" ht="26" hidden="1" x14ac:dyDescent="0.15">
      <c r="A8415" s="1" t="s">
        <v>24</v>
      </c>
      <c r="B8415" s="2">
        <v>4597</v>
      </c>
      <c r="C8415" s="3">
        <v>4.0000000000000001E-3</v>
      </c>
      <c r="D8415" s="4" t="s">
        <v>802</v>
      </c>
      <c r="E8415" s="4" t="s">
        <v>191</v>
      </c>
    </row>
    <row r="8416" spans="1:5" ht="26" hidden="1" x14ac:dyDescent="0.15">
      <c r="A8416" s="1" t="s">
        <v>25</v>
      </c>
      <c r="B8416" s="2">
        <v>33821</v>
      </c>
      <c r="C8416" s="3">
        <v>3.1E-2</v>
      </c>
      <c r="D8416" s="4" t="s">
        <v>802</v>
      </c>
      <c r="E8416" s="4" t="s">
        <v>191</v>
      </c>
    </row>
    <row r="8417" spans="1:5" hidden="1" x14ac:dyDescent="0.15">
      <c r="A8417" s="1" t="s">
        <v>26</v>
      </c>
      <c r="B8417" s="2">
        <v>17826</v>
      </c>
      <c r="C8417" s="3">
        <v>1.6E-2</v>
      </c>
      <c r="D8417" s="4" t="s">
        <v>802</v>
      </c>
      <c r="E8417" s="4" t="s">
        <v>191</v>
      </c>
    </row>
    <row r="8418" spans="1:5" hidden="1" x14ac:dyDescent="0.15">
      <c r="A8418" s="1" t="s">
        <v>27</v>
      </c>
      <c r="B8418" s="2">
        <v>110062</v>
      </c>
      <c r="C8418" s="3">
        <v>0.1</v>
      </c>
      <c r="D8418" s="4" t="s">
        <v>802</v>
      </c>
      <c r="E8418" s="4" t="s">
        <v>191</v>
      </c>
    </row>
    <row r="8419" spans="1:5" hidden="1" x14ac:dyDescent="0.15">
      <c r="A8419" s="1" t="s">
        <v>28</v>
      </c>
      <c r="B8419" s="2">
        <v>67801</v>
      </c>
      <c r="C8419" s="3">
        <v>6.0999999999999999E-2</v>
      </c>
      <c r="D8419" s="4" t="s">
        <v>802</v>
      </c>
      <c r="E8419" s="4" t="s">
        <v>191</v>
      </c>
    </row>
    <row r="8420" spans="1:5" hidden="1" x14ac:dyDescent="0.15">
      <c r="A8420" s="1" t="s">
        <v>29</v>
      </c>
      <c r="B8420" s="2">
        <v>324624</v>
      </c>
      <c r="C8420" s="3">
        <v>0.29399999999999998</v>
      </c>
      <c r="D8420" s="4" t="s">
        <v>802</v>
      </c>
      <c r="E8420" s="4" t="s">
        <v>191</v>
      </c>
    </row>
    <row r="8421" spans="1:5" hidden="1" x14ac:dyDescent="0.15">
      <c r="A8421" s="1" t="s">
        <v>30</v>
      </c>
      <c r="B8421" s="2">
        <v>45192</v>
      </c>
      <c r="C8421" s="3">
        <v>4.0999999999999995E-2</v>
      </c>
      <c r="D8421" s="4" t="s">
        <v>802</v>
      </c>
      <c r="E8421" s="4" t="s">
        <v>191</v>
      </c>
    </row>
    <row r="8422" spans="1:5" ht="39" hidden="1" x14ac:dyDescent="0.15">
      <c r="A8422" s="1" t="s">
        <v>31</v>
      </c>
      <c r="B8422" s="2">
        <v>5223</v>
      </c>
      <c r="C8422" s="3">
        <v>5.0000000000000001E-3</v>
      </c>
      <c r="D8422" s="4" t="s">
        <v>802</v>
      </c>
      <c r="E8422" s="4" t="s">
        <v>191</v>
      </c>
    </row>
    <row r="8423" spans="1:5" hidden="1" x14ac:dyDescent="0.15">
      <c r="A8423" s="1" t="s">
        <v>32</v>
      </c>
      <c r="B8423" s="2">
        <v>34508</v>
      </c>
      <c r="C8423" s="3">
        <v>3.1E-2</v>
      </c>
      <c r="D8423" s="4" t="s">
        <v>802</v>
      </c>
      <c r="E8423" s="4" t="s">
        <v>191</v>
      </c>
    </row>
    <row r="8424" spans="1:5" hidden="1" x14ac:dyDescent="0.15">
      <c r="A8424" s="1" t="s">
        <v>33</v>
      </c>
      <c r="B8424" s="2">
        <v>287278</v>
      </c>
      <c r="C8424" s="3">
        <v>0.26</v>
      </c>
      <c r="D8424" s="4" t="s">
        <v>802</v>
      </c>
      <c r="E8424" s="4" t="s">
        <v>191</v>
      </c>
    </row>
    <row r="8425" spans="1:5" hidden="1" x14ac:dyDescent="0.15">
      <c r="A8425" s="1" t="s">
        <v>34</v>
      </c>
      <c r="B8425" s="2">
        <v>116589</v>
      </c>
      <c r="C8425" s="3">
        <v>0.106</v>
      </c>
      <c r="D8425" s="4" t="s">
        <v>802</v>
      </c>
      <c r="E8425" s="4" t="s">
        <v>191</v>
      </c>
    </row>
    <row r="8426" spans="1:5" hidden="1" x14ac:dyDescent="0.15">
      <c r="A8426" s="1" t="s">
        <v>35</v>
      </c>
      <c r="B8426" s="2">
        <v>32110</v>
      </c>
      <c r="C8426" s="3">
        <v>2.8999999999999998E-2</v>
      </c>
      <c r="D8426" s="4" t="s">
        <v>802</v>
      </c>
      <c r="E8426" s="4" t="s">
        <v>191</v>
      </c>
    </row>
    <row r="8427" spans="1:5" ht="26" hidden="1" x14ac:dyDescent="0.15">
      <c r="A8427" s="1" t="s">
        <v>36</v>
      </c>
      <c r="B8427" s="2">
        <v>18857</v>
      </c>
      <c r="C8427" s="3">
        <v>1.7000000000000001E-2</v>
      </c>
      <c r="D8427" s="4" t="s">
        <v>802</v>
      </c>
      <c r="E8427" s="4" t="s">
        <v>191</v>
      </c>
    </row>
    <row r="8428" spans="1:5" hidden="1" x14ac:dyDescent="0.15">
      <c r="A8428" s="1" t="s">
        <v>37</v>
      </c>
      <c r="B8428" s="2">
        <v>12011</v>
      </c>
      <c r="C8428" s="3">
        <v>1.1000000000000001E-2</v>
      </c>
      <c r="D8428" s="4" t="s">
        <v>802</v>
      </c>
      <c r="E8428" s="4" t="s">
        <v>191</v>
      </c>
    </row>
    <row r="8429" spans="1:5" ht="39" hidden="1" x14ac:dyDescent="0.15">
      <c r="A8429" s="1" t="s">
        <v>38</v>
      </c>
      <c r="B8429" s="2">
        <v>41398</v>
      </c>
      <c r="C8429" s="3">
        <v>3.7000000000000005E-2</v>
      </c>
      <c r="D8429" s="4" t="s">
        <v>802</v>
      </c>
      <c r="E8429" s="4" t="s">
        <v>191</v>
      </c>
    </row>
    <row r="8430" spans="1:5" hidden="1" x14ac:dyDescent="0.15">
      <c r="A8430" s="1" t="s">
        <v>39</v>
      </c>
      <c r="B8430" s="2">
        <v>55300</v>
      </c>
      <c r="C8430" s="3">
        <v>0.05</v>
      </c>
      <c r="D8430" s="4" t="s">
        <v>802</v>
      </c>
      <c r="E8430" s="4" t="s">
        <v>191</v>
      </c>
    </row>
    <row r="8431" spans="1:5" hidden="1" x14ac:dyDescent="0.15">
      <c r="A8431" s="1" t="s">
        <v>40</v>
      </c>
      <c r="B8431" s="2">
        <v>11769</v>
      </c>
      <c r="C8431" s="3">
        <v>1.1000000000000001E-2</v>
      </c>
      <c r="D8431" s="4" t="s">
        <v>802</v>
      </c>
      <c r="E8431" s="4" t="s">
        <v>191</v>
      </c>
    </row>
    <row r="8432" spans="1:5" hidden="1" x14ac:dyDescent="0.15">
      <c r="A8432" s="1" t="s">
        <v>41</v>
      </c>
      <c r="B8432" s="2">
        <v>13660</v>
      </c>
      <c r="C8432" s="3">
        <v>1.2E-2</v>
      </c>
      <c r="D8432" s="4" t="s">
        <v>802</v>
      </c>
      <c r="E8432" s="4" t="s">
        <v>191</v>
      </c>
    </row>
    <row r="8433" spans="1:5" hidden="1" x14ac:dyDescent="0.15">
      <c r="A8433" s="1" t="s">
        <v>42</v>
      </c>
      <c r="B8433" s="2">
        <v>39439</v>
      </c>
      <c r="C8433" s="3">
        <v>3.6000000000000004E-2</v>
      </c>
      <c r="D8433" s="4" t="s">
        <v>802</v>
      </c>
      <c r="E8433" s="4" t="s">
        <v>191</v>
      </c>
    </row>
    <row r="8434" spans="1:5" hidden="1" x14ac:dyDescent="0.15">
      <c r="A8434" s="1" t="s">
        <v>43</v>
      </c>
      <c r="B8434" s="2">
        <v>102262</v>
      </c>
      <c r="C8434" s="3">
        <v>9.3000000000000013E-2</v>
      </c>
      <c r="D8434" s="4" t="s">
        <v>802</v>
      </c>
      <c r="E8434" s="4" t="s">
        <v>191</v>
      </c>
    </row>
    <row r="8435" spans="1:5" ht="26" hidden="1" x14ac:dyDescent="0.15">
      <c r="A8435" s="1" t="s">
        <v>44</v>
      </c>
      <c r="B8435" s="2">
        <v>85685</v>
      </c>
      <c r="C8435" s="3">
        <v>7.8E-2</v>
      </c>
      <c r="D8435" s="4" t="s">
        <v>802</v>
      </c>
      <c r="E8435" s="4" t="s">
        <v>191</v>
      </c>
    </row>
    <row r="8436" spans="1:5" hidden="1" x14ac:dyDescent="0.15">
      <c r="A8436" s="1" t="s">
        <v>45</v>
      </c>
      <c r="B8436" s="2">
        <v>142762</v>
      </c>
      <c r="C8436" s="3">
        <v>0.129</v>
      </c>
      <c r="D8436" s="4" t="s">
        <v>802</v>
      </c>
      <c r="E8436" s="4" t="s">
        <v>191</v>
      </c>
    </row>
    <row r="8437" spans="1:5" ht="26" hidden="1" x14ac:dyDescent="0.15">
      <c r="A8437" s="1" t="s">
        <v>46</v>
      </c>
      <c r="B8437" s="2">
        <v>273528</v>
      </c>
      <c r="C8437" s="3">
        <v>0.248</v>
      </c>
      <c r="D8437" s="4" t="s">
        <v>802</v>
      </c>
      <c r="E8437" s="4" t="s">
        <v>191</v>
      </c>
    </row>
    <row r="8438" spans="1:5" hidden="1" x14ac:dyDescent="0.15">
      <c r="A8438" s="1" t="s">
        <v>47</v>
      </c>
      <c r="B8438" s="2">
        <v>312628</v>
      </c>
      <c r="C8438" s="3">
        <v>0.28300000000000003</v>
      </c>
      <c r="D8438" s="4" t="s">
        <v>802</v>
      </c>
      <c r="E8438" s="4" t="s">
        <v>191</v>
      </c>
    </row>
    <row r="8439" spans="1:5" hidden="1" x14ac:dyDescent="0.15">
      <c r="A8439" s="1" t="s">
        <v>48</v>
      </c>
      <c r="B8439" s="2">
        <v>143065</v>
      </c>
      <c r="C8439" s="3">
        <v>0.13</v>
      </c>
      <c r="D8439" s="4" t="s">
        <v>802</v>
      </c>
      <c r="E8439" s="4" t="s">
        <v>191</v>
      </c>
    </row>
    <row r="8440" spans="1:5" hidden="1" x14ac:dyDescent="0.15">
      <c r="A8440" s="1" t="s">
        <v>49</v>
      </c>
      <c r="B8440" s="2">
        <v>139666</v>
      </c>
      <c r="C8440" s="3">
        <v>0.126</v>
      </c>
      <c r="D8440" s="4" t="s">
        <v>802</v>
      </c>
      <c r="E8440" s="4" t="s">
        <v>191</v>
      </c>
    </row>
    <row r="8441" spans="1:5" ht="26" hidden="1" x14ac:dyDescent="0.15">
      <c r="A8441" s="1" t="s">
        <v>50</v>
      </c>
      <c r="B8441" s="2">
        <v>178290</v>
      </c>
      <c r="C8441" s="3">
        <v>0.161</v>
      </c>
      <c r="D8441" s="4" t="s">
        <v>802</v>
      </c>
      <c r="E8441" s="4" t="s">
        <v>191</v>
      </c>
    </row>
    <row r="8442" spans="1:5" hidden="1" x14ac:dyDescent="0.15">
      <c r="A8442" s="1" t="s">
        <v>51</v>
      </c>
      <c r="B8442" s="2">
        <v>380768</v>
      </c>
      <c r="C8442" s="3">
        <v>0.34499999999999997</v>
      </c>
      <c r="D8442" s="4" t="s">
        <v>802</v>
      </c>
      <c r="E8442" s="4" t="s">
        <v>191</v>
      </c>
    </row>
    <row r="8443" spans="1:5" hidden="1" x14ac:dyDescent="0.15">
      <c r="A8443" s="1" t="s">
        <v>52</v>
      </c>
      <c r="B8443" s="2">
        <v>103898</v>
      </c>
      <c r="C8443" s="3">
        <v>9.4E-2</v>
      </c>
      <c r="D8443" s="4" t="s">
        <v>802</v>
      </c>
      <c r="E8443" s="4" t="s">
        <v>191</v>
      </c>
    </row>
    <row r="8444" spans="1:5" ht="26" hidden="1" x14ac:dyDescent="0.15">
      <c r="A8444" s="1" t="s">
        <v>53</v>
      </c>
      <c r="B8444" s="2">
        <v>91101</v>
      </c>
      <c r="C8444" s="3">
        <v>8.199999999999999E-2</v>
      </c>
      <c r="D8444" s="4" t="s">
        <v>802</v>
      </c>
      <c r="E8444" s="4" t="s">
        <v>191</v>
      </c>
    </row>
    <row r="8445" spans="1:5" hidden="1" x14ac:dyDescent="0.15">
      <c r="A8445" s="1" t="s">
        <v>54</v>
      </c>
      <c r="B8445" s="2">
        <v>413022</v>
      </c>
      <c r="C8445" s="3">
        <v>0.374</v>
      </c>
      <c r="D8445" s="4" t="s">
        <v>802</v>
      </c>
      <c r="E8445" s="4" t="s">
        <v>191</v>
      </c>
    </row>
    <row r="8446" spans="1:5" ht="26" hidden="1" x14ac:dyDescent="0.15">
      <c r="A8446" s="1" t="s">
        <v>55</v>
      </c>
      <c r="B8446" s="2">
        <v>302439</v>
      </c>
      <c r="C8446" s="3">
        <v>0.27399999999999997</v>
      </c>
      <c r="D8446" s="4" t="s">
        <v>802</v>
      </c>
      <c r="E8446" s="4" t="s">
        <v>191</v>
      </c>
    </row>
    <row r="8447" spans="1:5" hidden="1" x14ac:dyDescent="0.15">
      <c r="A8447" s="1" t="s">
        <v>56</v>
      </c>
      <c r="B8447" s="2">
        <v>367143</v>
      </c>
      <c r="C8447" s="3">
        <v>0.33200000000000002</v>
      </c>
      <c r="D8447" s="4" t="s">
        <v>802</v>
      </c>
      <c r="E8447" s="4" t="s">
        <v>191</v>
      </c>
    </row>
    <row r="8448" spans="1:5" hidden="1" x14ac:dyDescent="0.15">
      <c r="A8448" s="1" t="s">
        <v>57</v>
      </c>
      <c r="B8448" s="2">
        <v>160199</v>
      </c>
      <c r="C8448" s="3">
        <v>0.14499999999999999</v>
      </c>
      <c r="D8448" s="4" t="s">
        <v>802</v>
      </c>
      <c r="E8448" s="4" t="s">
        <v>191</v>
      </c>
    </row>
    <row r="8449" spans="1:5" hidden="1" x14ac:dyDescent="0.15">
      <c r="A8449" s="1" t="s">
        <v>58</v>
      </c>
      <c r="B8449" s="2">
        <v>151940</v>
      </c>
      <c r="C8449" s="3">
        <v>0.13800000000000001</v>
      </c>
      <c r="D8449" s="4" t="s">
        <v>802</v>
      </c>
      <c r="E8449" s="4" t="s">
        <v>191</v>
      </c>
    </row>
    <row r="8450" spans="1:5" hidden="1" x14ac:dyDescent="0.15">
      <c r="A8450" s="1" t="s">
        <v>59</v>
      </c>
      <c r="B8450" s="2">
        <v>593642</v>
      </c>
      <c r="C8450" s="3">
        <v>0.53700000000000003</v>
      </c>
      <c r="D8450" s="4" t="s">
        <v>802</v>
      </c>
      <c r="E8450" s="4" t="s">
        <v>191</v>
      </c>
    </row>
    <row r="8451" spans="1:5" hidden="1" x14ac:dyDescent="0.15">
      <c r="A8451" s="1" t="s">
        <v>60</v>
      </c>
      <c r="B8451" s="2">
        <v>167940</v>
      </c>
      <c r="C8451" s="3">
        <v>0.152</v>
      </c>
      <c r="D8451" s="4" t="s">
        <v>802</v>
      </c>
      <c r="E8451" s="4" t="s">
        <v>191</v>
      </c>
    </row>
    <row r="8452" spans="1:5" ht="26" hidden="1" x14ac:dyDescent="0.15">
      <c r="A8452" s="1" t="s">
        <v>61</v>
      </c>
      <c r="B8452" s="2">
        <v>177292</v>
      </c>
      <c r="C8452" s="3">
        <v>0.161</v>
      </c>
      <c r="D8452" s="4" t="s">
        <v>802</v>
      </c>
      <c r="E8452" s="4" t="s">
        <v>191</v>
      </c>
    </row>
    <row r="8453" spans="1:5" hidden="1" x14ac:dyDescent="0.15">
      <c r="A8453" s="1" t="s">
        <v>62</v>
      </c>
      <c r="B8453" s="2">
        <v>51602</v>
      </c>
      <c r="C8453" s="3">
        <v>4.7E-2</v>
      </c>
      <c r="D8453" s="4" t="s">
        <v>802</v>
      </c>
      <c r="E8453" s="4" t="s">
        <v>191</v>
      </c>
    </row>
    <row r="8454" spans="1:5" ht="26" hidden="1" x14ac:dyDescent="0.15">
      <c r="A8454" s="1" t="s">
        <v>63</v>
      </c>
      <c r="B8454" s="2">
        <v>107843</v>
      </c>
      <c r="C8454" s="3">
        <v>9.8000000000000004E-2</v>
      </c>
      <c r="D8454" s="4" t="s">
        <v>802</v>
      </c>
      <c r="E8454" s="4" t="s">
        <v>191</v>
      </c>
    </row>
    <row r="8455" spans="1:5" ht="26" hidden="1" x14ac:dyDescent="0.15">
      <c r="A8455" s="1" t="s">
        <v>64</v>
      </c>
      <c r="B8455" s="2">
        <v>79031</v>
      </c>
      <c r="C8455" s="3">
        <v>7.2000000000000008E-2</v>
      </c>
      <c r="D8455" s="4" t="s">
        <v>802</v>
      </c>
      <c r="E8455" s="4" t="s">
        <v>191</v>
      </c>
    </row>
    <row r="8456" spans="1:5" hidden="1" x14ac:dyDescent="0.15">
      <c r="A8456" s="1" t="s">
        <v>65</v>
      </c>
      <c r="B8456" s="2">
        <v>146618</v>
      </c>
      <c r="C8456" s="3">
        <v>0.13300000000000001</v>
      </c>
      <c r="D8456" s="4" t="s">
        <v>802</v>
      </c>
      <c r="E8456" s="4" t="s">
        <v>191</v>
      </c>
    </row>
    <row r="8457" spans="1:5" hidden="1" x14ac:dyDescent="0.15">
      <c r="A8457" s="1" t="s">
        <v>66</v>
      </c>
      <c r="B8457" s="2">
        <v>110919</v>
      </c>
      <c r="C8457" s="3">
        <v>0.1</v>
      </c>
      <c r="D8457" s="4" t="s">
        <v>802</v>
      </c>
      <c r="E8457" s="4" t="s">
        <v>191</v>
      </c>
    </row>
    <row r="8458" spans="1:5" hidden="1" x14ac:dyDescent="0.15">
      <c r="A8458" s="1" t="s">
        <v>67</v>
      </c>
      <c r="B8458" s="2">
        <v>356158</v>
      </c>
      <c r="C8458" s="3">
        <v>0.32200000000000001</v>
      </c>
      <c r="D8458" s="4" t="s">
        <v>802</v>
      </c>
      <c r="E8458" s="4" t="s">
        <v>191</v>
      </c>
    </row>
    <row r="8459" spans="1:5" hidden="1" x14ac:dyDescent="0.15">
      <c r="A8459" s="1" t="s">
        <v>68</v>
      </c>
      <c r="B8459" s="2">
        <v>308969</v>
      </c>
      <c r="C8459" s="3">
        <v>0.28000000000000003</v>
      </c>
      <c r="D8459" s="4" t="s">
        <v>802</v>
      </c>
      <c r="E8459" s="4" t="s">
        <v>191</v>
      </c>
    </row>
    <row r="8460" spans="1:5" hidden="1" x14ac:dyDescent="0.15">
      <c r="A8460" s="1" t="s">
        <v>69</v>
      </c>
      <c r="B8460" s="2">
        <v>650835</v>
      </c>
      <c r="C8460" s="3">
        <v>0.58899999999999997</v>
      </c>
      <c r="D8460" s="4" t="s">
        <v>802</v>
      </c>
      <c r="E8460" s="4" t="s">
        <v>191</v>
      </c>
    </row>
    <row r="8461" spans="1:5" hidden="1" x14ac:dyDescent="0.15">
      <c r="A8461" s="1" t="s">
        <v>70</v>
      </c>
      <c r="B8461" s="2">
        <v>240597</v>
      </c>
      <c r="C8461" s="3">
        <v>0.218</v>
      </c>
      <c r="D8461" s="4" t="s">
        <v>802</v>
      </c>
      <c r="E8461" s="4" t="s">
        <v>191</v>
      </c>
    </row>
    <row r="8462" spans="1:5" ht="26" hidden="1" x14ac:dyDescent="0.15">
      <c r="A8462" s="1" t="s">
        <v>71</v>
      </c>
      <c r="B8462" s="2">
        <v>34825</v>
      </c>
      <c r="C8462" s="3">
        <v>3.2000000000000001E-2</v>
      </c>
      <c r="D8462" s="4" t="s">
        <v>802</v>
      </c>
      <c r="E8462" s="4" t="s">
        <v>191</v>
      </c>
    </row>
    <row r="8463" spans="1:5" hidden="1" x14ac:dyDescent="0.15">
      <c r="A8463" s="1" t="s">
        <v>72</v>
      </c>
      <c r="B8463" s="2">
        <v>126507</v>
      </c>
      <c r="C8463" s="3">
        <v>0.115</v>
      </c>
      <c r="D8463" s="4" t="s">
        <v>802</v>
      </c>
      <c r="E8463" s="4" t="s">
        <v>191</v>
      </c>
    </row>
    <row r="8464" spans="1:5" hidden="1" x14ac:dyDescent="0.15">
      <c r="A8464" s="1" t="s">
        <v>73</v>
      </c>
      <c r="B8464" s="2">
        <v>714002</v>
      </c>
      <c r="C8464" s="3">
        <v>0.64599999999999991</v>
      </c>
      <c r="D8464" s="4" t="s">
        <v>802</v>
      </c>
      <c r="E8464" s="4" t="s">
        <v>191</v>
      </c>
    </row>
    <row r="8465" spans="1:5" hidden="1" x14ac:dyDescent="0.15">
      <c r="A8465" s="1" t="s">
        <v>74</v>
      </c>
      <c r="B8465" s="2">
        <v>338228</v>
      </c>
      <c r="C8465" s="3">
        <v>0.30599999999999999</v>
      </c>
      <c r="D8465" s="4" t="s">
        <v>802</v>
      </c>
      <c r="E8465" s="4" t="s">
        <v>191</v>
      </c>
    </row>
    <row r="8466" spans="1:5" hidden="1" x14ac:dyDescent="0.15">
      <c r="A8466" s="1" t="s">
        <v>75</v>
      </c>
      <c r="B8466" s="2">
        <v>174024</v>
      </c>
      <c r="C8466" s="3">
        <v>0.158</v>
      </c>
      <c r="D8466" s="4" t="s">
        <v>802</v>
      </c>
      <c r="E8466" s="4" t="s">
        <v>191</v>
      </c>
    </row>
    <row r="8467" spans="1:5" hidden="1" x14ac:dyDescent="0.15">
      <c r="A8467" s="1" t="s">
        <v>76</v>
      </c>
      <c r="B8467" s="2">
        <v>129603</v>
      </c>
      <c r="C8467" s="3">
        <v>0.11699999999999999</v>
      </c>
      <c r="D8467" s="4" t="s">
        <v>802</v>
      </c>
      <c r="E8467" s="4" t="s">
        <v>191</v>
      </c>
    </row>
    <row r="8468" spans="1:5" hidden="1" x14ac:dyDescent="0.15">
      <c r="A8468" s="1" t="s">
        <v>77</v>
      </c>
      <c r="B8468" s="2">
        <v>98948</v>
      </c>
      <c r="C8468" s="3">
        <v>0.09</v>
      </c>
      <c r="D8468" s="4" t="s">
        <v>802</v>
      </c>
      <c r="E8468" s="4" t="s">
        <v>191</v>
      </c>
    </row>
    <row r="8469" spans="1:5" ht="26" hidden="1" x14ac:dyDescent="0.15">
      <c r="A8469" s="1" t="s">
        <v>78</v>
      </c>
      <c r="B8469" s="2">
        <v>135396</v>
      </c>
      <c r="C8469" s="3">
        <v>0.12300000000000001</v>
      </c>
      <c r="D8469" s="4" t="s">
        <v>802</v>
      </c>
      <c r="E8469" s="4" t="s">
        <v>191</v>
      </c>
    </row>
    <row r="8470" spans="1:5" hidden="1" x14ac:dyDescent="0.15">
      <c r="A8470" s="1" t="s">
        <v>79</v>
      </c>
      <c r="B8470" s="2">
        <v>180589</v>
      </c>
      <c r="C8470" s="3">
        <v>0.16399999999999998</v>
      </c>
      <c r="D8470" s="4" t="s">
        <v>802</v>
      </c>
      <c r="E8470" s="4" t="s">
        <v>191</v>
      </c>
    </row>
    <row r="8471" spans="1:5" hidden="1" x14ac:dyDescent="0.15">
      <c r="A8471" s="1" t="s">
        <v>80</v>
      </c>
      <c r="B8471" s="2">
        <v>76371</v>
      </c>
      <c r="C8471" s="3">
        <v>6.9000000000000006E-2</v>
      </c>
      <c r="D8471" s="4" t="s">
        <v>802</v>
      </c>
      <c r="E8471" s="4" t="s">
        <v>191</v>
      </c>
    </row>
    <row r="8472" spans="1:5" ht="26" hidden="1" x14ac:dyDescent="0.15">
      <c r="A8472" s="1" t="s">
        <v>81</v>
      </c>
      <c r="B8472" s="2">
        <v>172326</v>
      </c>
      <c r="C8472" s="3">
        <v>0.156</v>
      </c>
      <c r="D8472" s="4" t="s">
        <v>802</v>
      </c>
      <c r="E8472" s="4" t="s">
        <v>191</v>
      </c>
    </row>
    <row r="8473" spans="1:5" hidden="1" x14ac:dyDescent="0.15">
      <c r="A8473" s="1" t="s">
        <v>82</v>
      </c>
      <c r="B8473" s="2">
        <v>128445</v>
      </c>
      <c r="C8473" s="3">
        <v>0.11599999999999999</v>
      </c>
      <c r="D8473" s="4" t="s">
        <v>802</v>
      </c>
      <c r="E8473" s="4" t="s">
        <v>191</v>
      </c>
    </row>
    <row r="8474" spans="1:5" hidden="1" x14ac:dyDescent="0.15">
      <c r="A8474" s="4"/>
      <c r="B8474" s="4"/>
      <c r="C8474" s="4"/>
      <c r="D8474" s="4" t="s">
        <v>802</v>
      </c>
      <c r="E8474" s="4" t="s">
        <v>191</v>
      </c>
    </row>
    <row r="8475" spans="1:5" hidden="1" x14ac:dyDescent="0.15">
      <c r="A8475" s="16"/>
      <c r="B8475" s="16"/>
      <c r="C8475" s="16"/>
      <c r="D8475" s="4" t="s">
        <v>802</v>
      </c>
      <c r="E8475" s="4" t="s">
        <v>191</v>
      </c>
    </row>
    <row r="8476" spans="1:5" hidden="1" x14ac:dyDescent="0.15">
      <c r="A8476" s="1" t="s">
        <v>193</v>
      </c>
      <c r="B8476" s="2">
        <v>173032</v>
      </c>
      <c r="C8476" s="3">
        <v>0.157</v>
      </c>
      <c r="D8476" s="4" t="s">
        <v>802</v>
      </c>
      <c r="E8476" s="4" t="s">
        <v>191</v>
      </c>
    </row>
    <row r="8477" spans="1:5" ht="26" hidden="1" x14ac:dyDescent="0.15">
      <c r="A8477" s="1" t="s">
        <v>192</v>
      </c>
      <c r="B8477" s="2">
        <v>421952</v>
      </c>
      <c r="C8477" s="3">
        <v>0.38200000000000001</v>
      </c>
      <c r="D8477" s="4" t="s">
        <v>802</v>
      </c>
      <c r="E8477" s="4" t="s">
        <v>191</v>
      </c>
    </row>
    <row r="8478" spans="1:5" hidden="1" x14ac:dyDescent="0.15">
      <c r="A8478" s="4"/>
      <c r="B8478" s="4"/>
      <c r="C8478" s="4"/>
      <c r="D8478" s="4" t="s">
        <v>802</v>
      </c>
      <c r="E8478" s="4" t="s">
        <v>191</v>
      </c>
    </row>
    <row r="8479" spans="1:5" hidden="1" x14ac:dyDescent="0.15">
      <c r="A8479" s="4"/>
      <c r="B8479" s="4"/>
      <c r="C8479" s="4"/>
      <c r="D8479" s="4" t="s">
        <v>802</v>
      </c>
      <c r="E8479" s="4" t="s">
        <v>191</v>
      </c>
    </row>
    <row r="8480" spans="1:5" hidden="1" x14ac:dyDescent="0.15">
      <c r="A8480" s="16"/>
      <c r="B8480" s="16"/>
      <c r="C8480" s="16"/>
      <c r="D8480" s="4" t="s">
        <v>802</v>
      </c>
      <c r="E8480" s="4" t="s">
        <v>191</v>
      </c>
    </row>
    <row r="8481" spans="1:5" ht="26" hidden="1" x14ac:dyDescent="0.15">
      <c r="A8481" s="1" t="s">
        <v>196</v>
      </c>
      <c r="B8481" s="2">
        <v>136874</v>
      </c>
      <c r="C8481" s="3">
        <v>0.124</v>
      </c>
      <c r="D8481" s="4" t="s">
        <v>802</v>
      </c>
      <c r="E8481" s="4" t="s">
        <v>191</v>
      </c>
    </row>
    <row r="8482" spans="1:5" hidden="1" x14ac:dyDescent="0.15">
      <c r="A8482" s="4"/>
      <c r="B8482" s="4"/>
      <c r="C8482" s="4"/>
      <c r="D8482" s="4" t="s">
        <v>802</v>
      </c>
      <c r="E8482" s="4" t="s">
        <v>191</v>
      </c>
    </row>
    <row r="8483" spans="1:5" hidden="1" x14ac:dyDescent="0.15">
      <c r="A8483" s="16"/>
      <c r="B8483" s="16"/>
      <c r="C8483" s="16"/>
      <c r="D8483" s="4" t="s">
        <v>802</v>
      </c>
      <c r="E8483" s="4" t="s">
        <v>191</v>
      </c>
    </row>
    <row r="8484" spans="1:5" ht="26" hidden="1" x14ac:dyDescent="0.15">
      <c r="A8484" s="1" t="s">
        <v>197</v>
      </c>
      <c r="B8484" s="2">
        <v>461405</v>
      </c>
      <c r="C8484" s="3">
        <v>0.41799999999999998</v>
      </c>
      <c r="D8484" s="4" t="s">
        <v>802</v>
      </c>
      <c r="E8484" s="4" t="s">
        <v>191</v>
      </c>
    </row>
    <row r="8485" spans="1:5" hidden="1" x14ac:dyDescent="0.15">
      <c r="A8485" s="1" t="s">
        <v>198</v>
      </c>
      <c r="B8485" s="2">
        <v>303706</v>
      </c>
      <c r="C8485" s="3">
        <v>0.27500000000000002</v>
      </c>
      <c r="D8485" s="4" t="s">
        <v>802</v>
      </c>
      <c r="E8485" s="4" t="s">
        <v>191</v>
      </c>
    </row>
    <row r="8486" spans="1:5" hidden="1" x14ac:dyDescent="0.15">
      <c r="A8486" s="4"/>
      <c r="B8486" s="4"/>
      <c r="C8486" s="4"/>
      <c r="D8486" s="4" t="s">
        <v>802</v>
      </c>
      <c r="E8486" s="4" t="s">
        <v>191</v>
      </c>
    </row>
    <row r="8487" spans="1:5" ht="26" hidden="1" x14ac:dyDescent="0.15">
      <c r="A8487" s="1" t="s">
        <v>803</v>
      </c>
      <c r="B8487" s="2">
        <v>89578</v>
      </c>
      <c r="C8487" s="3">
        <v>8.1000000000000003E-2</v>
      </c>
      <c r="D8487" s="4" t="s">
        <v>802</v>
      </c>
      <c r="E8487" s="4" t="s">
        <v>191</v>
      </c>
    </row>
    <row r="8488" spans="1:5" ht="26" hidden="1" x14ac:dyDescent="0.15">
      <c r="A8488" s="1" t="s">
        <v>804</v>
      </c>
      <c r="B8488" s="2">
        <v>139927</v>
      </c>
      <c r="C8488" s="3">
        <v>0.127</v>
      </c>
      <c r="D8488" s="4" t="s">
        <v>802</v>
      </c>
      <c r="E8488" s="4" t="s">
        <v>191</v>
      </c>
    </row>
    <row r="8489" spans="1:5" ht="26" hidden="1" x14ac:dyDescent="0.15">
      <c r="A8489" s="1" t="s">
        <v>805</v>
      </c>
      <c r="B8489" s="2">
        <v>48520</v>
      </c>
      <c r="C8489" s="3">
        <v>4.4000000000000004E-2</v>
      </c>
      <c r="D8489" s="4" t="s">
        <v>802</v>
      </c>
      <c r="E8489" s="4" t="s">
        <v>191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F104"/>
  <sheetViews>
    <sheetView zoomScale="85" zoomScaleNormal="85" zoomScalePageLayoutView="85" workbookViewId="0">
      <selection activeCell="A93" sqref="A93"/>
    </sheetView>
  </sheetViews>
  <sheetFormatPr baseColWidth="10" defaultColWidth="8.83203125" defaultRowHeight="13" x14ac:dyDescent="0.15"/>
  <cols>
    <col min="1" max="1" width="33.33203125" bestFit="1" customWidth="1"/>
    <col min="2" max="2" width="10.5" bestFit="1" customWidth="1"/>
  </cols>
  <sheetData>
    <row r="1" spans="1:3" x14ac:dyDescent="0.15">
      <c r="A1" t="s">
        <v>755</v>
      </c>
      <c r="B1" t="s">
        <v>807</v>
      </c>
      <c r="C1" t="s">
        <v>811</v>
      </c>
    </row>
    <row r="2" spans="1:3" x14ac:dyDescent="0.15">
      <c r="A2" t="s">
        <v>0</v>
      </c>
      <c r="B2" s="17">
        <f>IFERROR(SUMIFS('Full List'!B:B,'Full List'!A:A,AL!$A2,'Full List'!E:E,AL!$A$1),"")</f>
        <v>1449888</v>
      </c>
      <c r="C2" s="18">
        <f>IFERROR(B2/$B$2,"")</f>
        <v>1</v>
      </c>
    </row>
    <row r="3" spans="1:3" x14ac:dyDescent="0.15">
      <c r="A3" t="s">
        <v>3</v>
      </c>
      <c r="B3" s="17">
        <f>IFERROR(SUMIFS('Full List'!B:B,'Full List'!A:A,AL!$A3,'Full List'!E:E,AL!$A$1),"")</f>
        <v>26011</v>
      </c>
      <c r="C3" s="18">
        <f t="shared" ref="C3:C66" si="0">IFERROR(B3/$B$2,"")</f>
        <v>1.7940006400494382E-2</v>
      </c>
    </row>
    <row r="4" spans="1:3" x14ac:dyDescent="0.15">
      <c r="A4" t="s">
        <v>4</v>
      </c>
      <c r="B4" s="17">
        <f>IFERROR(SUMIFS('Full List'!B:B,'Full List'!A:A,AL!$A4,'Full List'!E:E,AL!$A$1),"")</f>
        <v>19175</v>
      </c>
      <c r="C4" s="18">
        <f t="shared" si="0"/>
        <v>1.3225159460592818E-2</v>
      </c>
    </row>
    <row r="5" spans="1:3" x14ac:dyDescent="0.15">
      <c r="A5" t="s">
        <v>5</v>
      </c>
      <c r="B5" s="17">
        <f>IFERROR(SUMIFS('Full List'!B:B,'Full List'!A:A,AL!$A5,'Full List'!E:E,AL!$A$1),"")</f>
        <v>81762</v>
      </c>
      <c r="C5" s="18">
        <f t="shared" si="0"/>
        <v>5.6391941998278489E-2</v>
      </c>
    </row>
    <row r="6" spans="1:3" x14ac:dyDescent="0.15">
      <c r="A6" t="s">
        <v>6</v>
      </c>
      <c r="B6" s="17">
        <f>IFERROR(SUMIFS('Full List'!B:B,'Full List'!A:A,AL!$A6,'Full List'!E:E,AL!$A$1),"")</f>
        <v>198866</v>
      </c>
      <c r="C6" s="18">
        <f t="shared" si="0"/>
        <v>0.13715955991083451</v>
      </c>
    </row>
    <row r="7" spans="1:3" x14ac:dyDescent="0.15">
      <c r="A7" t="s">
        <v>7</v>
      </c>
      <c r="B7" s="17">
        <f>IFERROR(SUMIFS('Full List'!B:B,'Full List'!A:A,AL!$A7,'Full List'!E:E,AL!$A$1),"")</f>
        <v>754028</v>
      </c>
      <c r="C7" s="18">
        <f t="shared" si="0"/>
        <v>0.52005948045642147</v>
      </c>
    </row>
    <row r="8" spans="1:3" x14ac:dyDescent="0.15">
      <c r="A8" t="s">
        <v>8</v>
      </c>
      <c r="B8" s="17">
        <f>IFERROR(SUMIFS('Full List'!B:B,'Full List'!A:A,AL!$A8,'Full List'!E:E,AL!$A$1),"")</f>
        <v>10243</v>
      </c>
      <c r="C8" s="18">
        <f t="shared" si="0"/>
        <v>7.0646836169414463E-3</v>
      </c>
    </row>
    <row r="9" spans="1:3" x14ac:dyDescent="0.15">
      <c r="A9" t="s">
        <v>9</v>
      </c>
      <c r="B9" s="17">
        <f>IFERROR(SUMIFS('Full List'!B:B,'Full List'!A:A,AL!$A9,'Full List'!E:E,AL!$A$1),"")</f>
        <v>26596</v>
      </c>
      <c r="C9" s="18">
        <f t="shared" si="0"/>
        <v>1.8343485841665012E-2</v>
      </c>
    </row>
    <row r="10" spans="1:3" x14ac:dyDescent="0.15">
      <c r="A10" t="s">
        <v>10</v>
      </c>
      <c r="B10" s="17">
        <f>IFERROR(SUMIFS('Full List'!B:B,'Full List'!A:A,AL!$A10,'Full List'!E:E,AL!$A$1),"")</f>
        <v>20968</v>
      </c>
      <c r="C10" s="18">
        <f t="shared" si="0"/>
        <v>1.4461806705069634E-2</v>
      </c>
    </row>
    <row r="11" spans="1:3" x14ac:dyDescent="0.15">
      <c r="A11" t="s">
        <v>11</v>
      </c>
      <c r="B11" s="17">
        <f>IFERROR(SUMIFS('Full List'!B:B,'Full List'!A:A,AL!$A11,'Full List'!E:E,AL!$A$1),"")</f>
        <v>71683</v>
      </c>
      <c r="C11" s="18">
        <f t="shared" si="0"/>
        <v>4.9440370566554107E-2</v>
      </c>
    </row>
    <row r="12" spans="1:3" x14ac:dyDescent="0.15">
      <c r="A12" t="s">
        <v>12</v>
      </c>
      <c r="B12" s="17">
        <f>IFERROR(SUMIFS('Full List'!B:B,'Full List'!A:A,AL!$A12,'Full List'!E:E,AL!$A$1),"")</f>
        <v>24077</v>
      </c>
      <c r="C12" s="18">
        <f t="shared" si="0"/>
        <v>1.6606110265068749E-2</v>
      </c>
    </row>
    <row r="13" spans="1:3" x14ac:dyDescent="0.15">
      <c r="A13" t="s">
        <v>13</v>
      </c>
      <c r="B13" s="17">
        <f>IFERROR(SUMIFS('Full List'!B:B,'Full List'!A:A,AL!$A13,'Full List'!E:E,AL!$A$1),"")</f>
        <v>14358</v>
      </c>
      <c r="C13" s="18">
        <f t="shared" si="0"/>
        <v>9.9028338740647561E-3</v>
      </c>
    </row>
    <row r="14" spans="1:3" x14ac:dyDescent="0.15">
      <c r="A14" t="s">
        <v>14</v>
      </c>
      <c r="B14" s="17">
        <f>IFERROR(SUMIFS('Full List'!B:B,'Full List'!A:A,AL!$A14,'Full List'!E:E,AL!$A$1),"")</f>
        <v>113840</v>
      </c>
      <c r="C14" s="18">
        <f t="shared" si="0"/>
        <v>7.8516409543357826E-2</v>
      </c>
    </row>
    <row r="15" spans="1:3" x14ac:dyDescent="0.15">
      <c r="A15" t="s">
        <v>15</v>
      </c>
      <c r="B15" s="17">
        <f>IFERROR(SUMIFS('Full List'!B:B,'Full List'!A:A,AL!$A15,'Full List'!E:E,AL!$A$1),"")</f>
        <v>170371</v>
      </c>
      <c r="C15" s="18">
        <f t="shared" si="0"/>
        <v>0.11750631772936944</v>
      </c>
    </row>
    <row r="16" spans="1:3" x14ac:dyDescent="0.15">
      <c r="A16" t="s">
        <v>16</v>
      </c>
      <c r="B16" s="17">
        <f>IFERROR(SUMIFS('Full List'!B:B,'Full List'!A:A,AL!$A16,'Full List'!E:E,AL!$A$1),"")</f>
        <v>44752</v>
      </c>
      <c r="C16" s="18">
        <f t="shared" si="0"/>
        <v>3.0865832395329845E-2</v>
      </c>
    </row>
    <row r="17" spans="1:3" x14ac:dyDescent="0.15">
      <c r="A17" t="s">
        <v>17</v>
      </c>
      <c r="B17" s="17">
        <f>IFERROR(SUMIFS('Full List'!B:B,'Full List'!A:A,AL!$A17,'Full List'!E:E,AL!$A$1),"")</f>
        <v>28815</v>
      </c>
      <c r="C17" s="18">
        <f t="shared" si="0"/>
        <v>1.9873948884327617E-2</v>
      </c>
    </row>
    <row r="18" spans="1:3" x14ac:dyDescent="0.15">
      <c r="A18" t="s">
        <v>18</v>
      </c>
      <c r="B18" s="17">
        <f>IFERROR(SUMIFS('Full List'!B:B,'Full List'!A:A,AL!$A18,'Full List'!E:E,AL!$A$1),"")</f>
        <v>27295</v>
      </c>
      <c r="C18" s="18">
        <f t="shared" si="0"/>
        <v>1.8825592045730428E-2</v>
      </c>
    </row>
    <row r="19" spans="1:3" x14ac:dyDescent="0.15">
      <c r="A19" t="s">
        <v>19</v>
      </c>
      <c r="B19" s="17">
        <f>IFERROR(SUMIFS('Full List'!B:B,'Full List'!A:A,AL!$A19,'Full List'!E:E,AL!$A$1),"")</f>
        <v>134024</v>
      </c>
      <c r="C19" s="18">
        <f t="shared" si="0"/>
        <v>9.2437484826414174E-2</v>
      </c>
    </row>
    <row r="20" spans="1:3" x14ac:dyDescent="0.15">
      <c r="A20" t="s">
        <v>20</v>
      </c>
      <c r="B20" s="17">
        <f>IFERROR(SUMIFS('Full List'!B:B,'Full List'!A:A,AL!$A20,'Full List'!E:E,AL!$A$1),"")</f>
        <v>15824</v>
      </c>
      <c r="C20" s="18">
        <f t="shared" si="0"/>
        <v>1.0913946456553886E-2</v>
      </c>
    </row>
    <row r="21" spans="1:3" x14ac:dyDescent="0.15">
      <c r="A21" t="s">
        <v>21</v>
      </c>
      <c r="B21" s="17">
        <f>IFERROR(SUMIFS('Full List'!B:B,'Full List'!A:A,AL!$A21,'Full List'!E:E,AL!$A$1),"")</f>
        <v>36864</v>
      </c>
      <c r="C21" s="18">
        <f t="shared" si="0"/>
        <v>2.5425412169767597E-2</v>
      </c>
    </row>
    <row r="22" spans="1:3" x14ac:dyDescent="0.15">
      <c r="A22" t="s">
        <v>22</v>
      </c>
      <c r="B22" s="17">
        <f>IFERROR(SUMIFS('Full List'!B:B,'Full List'!A:A,AL!$A22,'Full List'!E:E,AL!$A$1),"")</f>
        <v>3584</v>
      </c>
      <c r="C22" s="18">
        <f t="shared" si="0"/>
        <v>2.4719150720607383E-3</v>
      </c>
    </row>
    <row r="23" spans="1:3" x14ac:dyDescent="0.15">
      <c r="A23" t="s">
        <v>23</v>
      </c>
      <c r="B23" s="17">
        <f>IFERROR(SUMIFS('Full List'!B:B,'Full List'!A:A,AL!$A23,'Full List'!E:E,AL!$A$1),"")</f>
        <v>15441</v>
      </c>
      <c r="C23" s="18">
        <f t="shared" si="0"/>
        <v>1.0649788121565251E-2</v>
      </c>
    </row>
    <row r="24" spans="1:3" x14ac:dyDescent="0.15">
      <c r="A24" t="s">
        <v>24</v>
      </c>
      <c r="B24" s="17">
        <f>IFERROR(SUMIFS('Full List'!B:B,'Full List'!A:A,AL!$A24,'Full List'!E:E,AL!$A$1),"")</f>
        <v>3373</v>
      </c>
      <c r="C24" s="18">
        <f t="shared" si="0"/>
        <v>2.3263865898607342E-3</v>
      </c>
    </row>
    <row r="25" spans="1:3" x14ac:dyDescent="0.15">
      <c r="A25" t="s">
        <v>25</v>
      </c>
      <c r="B25" s="17">
        <f>IFERROR(SUMIFS('Full List'!B:B,'Full List'!A:A,AL!$A25,'Full List'!E:E,AL!$A$1),"")</f>
        <v>45906</v>
      </c>
      <c r="C25" s="18">
        <f t="shared" si="0"/>
        <v>3.1661755942527972E-2</v>
      </c>
    </row>
    <row r="26" spans="1:3" x14ac:dyDescent="0.15">
      <c r="A26" t="s">
        <v>26</v>
      </c>
      <c r="B26" s="17">
        <f>IFERROR(SUMIFS('Full List'!B:B,'Full List'!A:A,AL!$A26,'Full List'!E:E,AL!$A$1),"")</f>
        <v>10003</v>
      </c>
      <c r="C26" s="18">
        <f t="shared" si="0"/>
        <v>6.8991535897945221E-3</v>
      </c>
    </row>
    <row r="27" spans="1:3" x14ac:dyDescent="0.15">
      <c r="A27" t="s">
        <v>27</v>
      </c>
      <c r="B27" s="17">
        <f>IFERROR(SUMIFS('Full List'!B:B,'Full List'!A:A,AL!$A27,'Full List'!E:E,AL!$A$1),"")</f>
        <v>151215</v>
      </c>
      <c r="C27" s="18">
        <f t="shared" si="0"/>
        <v>0.10429426272925908</v>
      </c>
    </row>
    <row r="28" spans="1:3" x14ac:dyDescent="0.15">
      <c r="A28" t="s">
        <v>28</v>
      </c>
      <c r="B28" s="17">
        <f>IFERROR(SUMIFS('Full List'!B:B,'Full List'!A:A,AL!$A28,'Full List'!E:E,AL!$A$1),"")</f>
        <v>137666</v>
      </c>
      <c r="C28" s="18">
        <f t="shared" si="0"/>
        <v>9.494940298836875E-2</v>
      </c>
    </row>
    <row r="29" spans="1:3" x14ac:dyDescent="0.15">
      <c r="A29" t="s">
        <v>29</v>
      </c>
      <c r="B29" s="17">
        <f>IFERROR(SUMIFS('Full List'!B:B,'Full List'!A:A,AL!$A29,'Full List'!E:E,AL!$A$1),"")</f>
        <v>270250</v>
      </c>
      <c r="C29" s="18">
        <f t="shared" si="0"/>
        <v>0.18639370765190139</v>
      </c>
    </row>
    <row r="30" spans="1:3" x14ac:dyDescent="0.15">
      <c r="A30" t="s">
        <v>30</v>
      </c>
      <c r="B30" s="17">
        <f>IFERROR(SUMIFS('Full List'!B:B,'Full List'!A:A,AL!$A30,'Full List'!E:E,AL!$A$1),"")</f>
        <v>13902</v>
      </c>
      <c r="C30" s="18">
        <f t="shared" si="0"/>
        <v>9.5883268224855982E-3</v>
      </c>
    </row>
    <row r="31" spans="1:3" x14ac:dyDescent="0.15">
      <c r="A31" t="s">
        <v>31</v>
      </c>
      <c r="B31" s="17">
        <f>IFERROR(SUMIFS('Full List'!B:B,'Full List'!A:A,AL!$A31,'Full List'!E:E,AL!$A$1),"")</f>
        <v>15117</v>
      </c>
      <c r="C31" s="18">
        <f t="shared" si="0"/>
        <v>1.0426322584916903E-2</v>
      </c>
    </row>
    <row r="32" spans="1:3" x14ac:dyDescent="0.15">
      <c r="A32" t="s">
        <v>32</v>
      </c>
      <c r="B32" s="17">
        <f>IFERROR(SUMIFS('Full List'!B:B,'Full List'!A:A,AL!$A32,'Full List'!E:E,AL!$A$1),"")</f>
        <v>52347</v>
      </c>
      <c r="C32" s="18">
        <f t="shared" si="0"/>
        <v>3.610416804608356E-2</v>
      </c>
    </row>
    <row r="33" spans="1:3" x14ac:dyDescent="0.15">
      <c r="A33" t="s">
        <v>33</v>
      </c>
      <c r="B33" s="17">
        <f>IFERROR(SUMIFS('Full List'!B:B,'Full List'!A:A,AL!$A33,'Full List'!E:E,AL!$A$1),"")</f>
        <v>346099</v>
      </c>
      <c r="C33" s="18">
        <f t="shared" si="0"/>
        <v>0.23870740360634751</v>
      </c>
    </row>
    <row r="34" spans="1:3" x14ac:dyDescent="0.15">
      <c r="A34" t="s">
        <v>34</v>
      </c>
      <c r="B34" s="17">
        <f>IFERROR(SUMIFS('Full List'!B:B,'Full List'!A:A,AL!$A34,'Full List'!E:E,AL!$A$1),"")</f>
        <v>98954</v>
      </c>
      <c r="C34" s="18">
        <f t="shared" si="0"/>
        <v>6.8249409609569836E-2</v>
      </c>
    </row>
    <row r="35" spans="1:3" x14ac:dyDescent="0.15">
      <c r="A35" t="s">
        <v>35</v>
      </c>
      <c r="B35" s="17">
        <f>IFERROR(SUMIFS('Full List'!B:B,'Full List'!A:A,AL!$A35,'Full List'!E:E,AL!$A$1),"")</f>
        <v>73044</v>
      </c>
      <c r="C35" s="18">
        <f t="shared" si="0"/>
        <v>5.0379063762166457E-2</v>
      </c>
    </row>
    <row r="36" spans="1:3" x14ac:dyDescent="0.15">
      <c r="A36" t="s">
        <v>36</v>
      </c>
      <c r="B36" s="17">
        <f>IFERROR(SUMIFS('Full List'!B:B,'Full List'!A:A,AL!$A36,'Full List'!E:E,AL!$A$1),"")</f>
        <v>29445</v>
      </c>
      <c r="C36" s="18">
        <f t="shared" si="0"/>
        <v>2.0308465205588294E-2</v>
      </c>
    </row>
    <row r="37" spans="1:3" x14ac:dyDescent="0.15">
      <c r="A37" t="s">
        <v>37</v>
      </c>
      <c r="B37" s="17">
        <f>IFERROR(SUMIFS('Full List'!B:B,'Full List'!A:A,AL!$A37,'Full List'!E:E,AL!$A$1),"")</f>
        <v>19497</v>
      </c>
      <c r="C37" s="18">
        <f t="shared" si="0"/>
        <v>1.3447245580348275E-2</v>
      </c>
    </row>
    <row r="38" spans="1:3" x14ac:dyDescent="0.15">
      <c r="A38" t="s">
        <v>38</v>
      </c>
      <c r="B38" s="17">
        <f>IFERROR(SUMIFS('Full List'!B:B,'Full List'!A:A,AL!$A38,'Full List'!E:E,AL!$A$1),"")</f>
        <v>21626</v>
      </c>
      <c r="C38" s="18">
        <f t="shared" si="0"/>
        <v>1.4915634862830785E-2</v>
      </c>
    </row>
    <row r="39" spans="1:3" x14ac:dyDescent="0.15">
      <c r="A39" t="s">
        <v>39</v>
      </c>
      <c r="B39" s="17">
        <f>IFERROR(SUMIFS('Full List'!B:B,'Full List'!A:A,AL!$A39,'Full List'!E:E,AL!$A$1),"")</f>
        <v>64778</v>
      </c>
      <c r="C39" s="18">
        <f t="shared" si="0"/>
        <v>4.4677933743847799E-2</v>
      </c>
    </row>
    <row r="40" spans="1:3" x14ac:dyDescent="0.15">
      <c r="A40" t="s">
        <v>40</v>
      </c>
      <c r="B40" s="17">
        <f>IFERROR(SUMIFS('Full List'!B:B,'Full List'!A:A,AL!$A40,'Full List'!E:E,AL!$A$1),"")</f>
        <v>33579</v>
      </c>
      <c r="C40" s="18">
        <f t="shared" si="0"/>
        <v>2.3159719923194069E-2</v>
      </c>
    </row>
    <row r="41" spans="1:3" x14ac:dyDescent="0.15">
      <c r="A41" t="s">
        <v>41</v>
      </c>
      <c r="B41" s="17">
        <f>IFERROR(SUMIFS('Full List'!B:B,'Full List'!A:A,AL!$A41,'Full List'!E:E,AL!$A$1),"")</f>
        <v>43564</v>
      </c>
      <c r="C41" s="18">
        <f t="shared" si="0"/>
        <v>3.004645876095257E-2</v>
      </c>
    </row>
    <row r="42" spans="1:3" x14ac:dyDescent="0.15">
      <c r="A42" t="s">
        <v>42</v>
      </c>
      <c r="B42" s="17">
        <f>IFERROR(SUMIFS('Full List'!B:B,'Full List'!A:A,AL!$A42,'Full List'!E:E,AL!$A$1),"")</f>
        <v>69712</v>
      </c>
      <c r="C42" s="18">
        <f t="shared" si="0"/>
        <v>4.8080955218609986E-2</v>
      </c>
    </row>
    <row r="43" spans="1:3" x14ac:dyDescent="0.15">
      <c r="A43" t="s">
        <v>43</v>
      </c>
      <c r="B43" s="17">
        <f>IFERROR(SUMIFS('Full List'!B:B,'Full List'!A:A,AL!$A43,'Full List'!E:E,AL!$A$1),"")</f>
        <v>137242</v>
      </c>
      <c r="C43" s="18">
        <f t="shared" si="0"/>
        <v>9.4656966607075857E-2</v>
      </c>
    </row>
    <row r="44" spans="1:3" x14ac:dyDescent="0.15">
      <c r="A44" t="s">
        <v>44</v>
      </c>
      <c r="B44" s="17">
        <f>IFERROR(SUMIFS('Full List'!B:B,'Full List'!A:A,AL!$A44,'Full List'!E:E,AL!$A$1),"")</f>
        <v>199035</v>
      </c>
      <c r="C44" s="18">
        <f t="shared" si="0"/>
        <v>0.13727612063828379</v>
      </c>
    </row>
    <row r="45" spans="1:3" x14ac:dyDescent="0.15">
      <c r="A45" t="s">
        <v>45</v>
      </c>
      <c r="B45" s="17">
        <f>IFERROR(SUMIFS('Full List'!B:B,'Full List'!A:A,AL!$A45,'Full List'!E:E,AL!$A$1),"")</f>
        <v>456184</v>
      </c>
      <c r="C45" s="18">
        <f t="shared" si="0"/>
        <v>0.31463395793330245</v>
      </c>
    </row>
    <row r="46" spans="1:3" x14ac:dyDescent="0.15">
      <c r="A46" t="s">
        <v>46</v>
      </c>
      <c r="B46" s="17">
        <f>IFERROR(SUMIFS('Full List'!B:B,'Full List'!A:A,AL!$A46,'Full List'!E:E,AL!$A$1),"")</f>
        <v>541643</v>
      </c>
      <c r="C46" s="18">
        <f t="shared" si="0"/>
        <v>0.37357575205809002</v>
      </c>
    </row>
    <row r="47" spans="1:3" x14ac:dyDescent="0.15">
      <c r="A47" t="s">
        <v>47</v>
      </c>
      <c r="B47" s="17">
        <f>IFERROR(SUMIFS('Full List'!B:B,'Full List'!A:A,AL!$A47,'Full List'!E:E,AL!$A$1),"")</f>
        <v>1050394</v>
      </c>
      <c r="C47" s="18">
        <f t="shared" si="0"/>
        <v>0.72446561389569397</v>
      </c>
    </row>
    <row r="48" spans="1:3" x14ac:dyDescent="0.15">
      <c r="A48" t="s">
        <v>48</v>
      </c>
      <c r="B48" s="17">
        <f>IFERROR(SUMIFS('Full List'!B:B,'Full List'!A:A,AL!$A48,'Full List'!E:E,AL!$A$1),"")</f>
        <v>90619</v>
      </c>
      <c r="C48" s="18">
        <f t="shared" si="0"/>
        <v>6.2500689708446452E-2</v>
      </c>
    </row>
    <row r="49" spans="1:3" x14ac:dyDescent="0.15">
      <c r="A49" t="s">
        <v>49</v>
      </c>
      <c r="B49" s="17">
        <f>IFERROR(SUMIFS('Full List'!B:B,'Full List'!A:A,AL!$A49,'Full List'!E:E,AL!$A$1),"")</f>
        <v>112332</v>
      </c>
      <c r="C49" s="18">
        <f t="shared" si="0"/>
        <v>7.7476329206117994E-2</v>
      </c>
    </row>
    <row r="50" spans="1:3" x14ac:dyDescent="0.15">
      <c r="A50" t="s">
        <v>50</v>
      </c>
      <c r="B50" s="17">
        <f>IFERROR(SUMIFS('Full List'!B:B,'Full List'!A:A,AL!$A50,'Full List'!E:E,AL!$A$1),"")</f>
        <v>218148</v>
      </c>
      <c r="C50" s="18">
        <f t="shared" si="0"/>
        <v>0.15045851817519698</v>
      </c>
    </row>
    <row r="51" spans="1:3" x14ac:dyDescent="0.15">
      <c r="A51" t="s">
        <v>51</v>
      </c>
      <c r="B51" s="17">
        <f>IFERROR(SUMIFS('Full List'!B:B,'Full List'!A:A,AL!$A51,'Full List'!E:E,AL!$A$1),"")</f>
        <v>386263</v>
      </c>
      <c r="C51" s="18">
        <f t="shared" si="0"/>
        <v>0.26640885364938532</v>
      </c>
    </row>
    <row r="52" spans="1:3" x14ac:dyDescent="0.15">
      <c r="A52" t="s">
        <v>52</v>
      </c>
      <c r="B52" s="17">
        <f>IFERROR(SUMIFS('Full List'!B:B,'Full List'!A:A,AL!$A52,'Full List'!E:E,AL!$A$1),"")</f>
        <v>207898</v>
      </c>
      <c r="C52" s="18">
        <f t="shared" si="0"/>
        <v>0.14338900659913043</v>
      </c>
    </row>
    <row r="53" spans="1:3" x14ac:dyDescent="0.15">
      <c r="A53" t="s">
        <v>53</v>
      </c>
      <c r="B53" s="17">
        <f>IFERROR(SUMIFS('Full List'!B:B,'Full List'!A:A,AL!$A53,'Full List'!E:E,AL!$A$1),"")</f>
        <v>129694</v>
      </c>
      <c r="C53" s="18">
        <f t="shared" si="0"/>
        <v>8.9451047253305077E-2</v>
      </c>
    </row>
    <row r="54" spans="1:3" x14ac:dyDescent="0.15">
      <c r="A54" t="s">
        <v>54</v>
      </c>
      <c r="B54" s="17">
        <f>IFERROR(SUMIFS('Full List'!B:B,'Full List'!A:A,AL!$A54,'Full List'!E:E,AL!$A$1),"")</f>
        <v>529094</v>
      </c>
      <c r="C54" s="18">
        <f t="shared" si="0"/>
        <v>0.36492060076364519</v>
      </c>
    </row>
    <row r="55" spans="1:3" x14ac:dyDescent="0.15">
      <c r="A55" t="s">
        <v>55</v>
      </c>
      <c r="B55" s="17">
        <f>IFERROR(SUMIFS('Full List'!B:B,'Full List'!A:A,AL!$A55,'Full List'!E:E,AL!$A$1),"")</f>
        <v>581880</v>
      </c>
      <c r="C55" s="18">
        <f t="shared" si="0"/>
        <v>0.40132755081771831</v>
      </c>
    </row>
    <row r="56" spans="1:3" x14ac:dyDescent="0.15">
      <c r="A56" t="s">
        <v>56</v>
      </c>
      <c r="B56" s="17">
        <f>IFERROR(SUMIFS('Full List'!B:B,'Full List'!A:A,AL!$A56,'Full List'!E:E,AL!$A$1),"")</f>
        <v>290590</v>
      </c>
      <c r="C56" s="18">
        <f t="shared" si="0"/>
        <v>0.20042237745260325</v>
      </c>
    </row>
    <row r="57" spans="1:3" x14ac:dyDescent="0.15">
      <c r="A57" t="s">
        <v>57</v>
      </c>
      <c r="B57" s="17">
        <f>IFERROR(SUMIFS('Full List'!B:B,'Full List'!A:A,AL!$A57,'Full List'!E:E,AL!$A$1),"")</f>
        <v>249303</v>
      </c>
      <c r="C57" s="18">
        <f t="shared" si="0"/>
        <v>0.1719463848242071</v>
      </c>
    </row>
    <row r="58" spans="1:3" x14ac:dyDescent="0.15">
      <c r="A58" t="s">
        <v>58</v>
      </c>
      <c r="B58" s="17">
        <f>IFERROR(SUMIFS('Full List'!B:B,'Full List'!A:A,AL!$A58,'Full List'!E:E,AL!$A$1),"")</f>
        <v>196632</v>
      </c>
      <c r="C58" s="18">
        <f t="shared" si="0"/>
        <v>0.13561875124147521</v>
      </c>
    </row>
    <row r="59" spans="1:3" x14ac:dyDescent="0.15">
      <c r="A59" t="s">
        <v>59</v>
      </c>
      <c r="B59" s="17">
        <f>IFERROR(SUMIFS('Full List'!B:B,'Full List'!A:A,AL!$A59,'Full List'!E:E,AL!$A$1),"")</f>
        <v>592642</v>
      </c>
      <c r="C59" s="18">
        <f t="shared" si="0"/>
        <v>0.40875019311836502</v>
      </c>
    </row>
    <row r="60" spans="1:3" x14ac:dyDescent="0.15">
      <c r="A60" t="s">
        <v>60</v>
      </c>
      <c r="B60" s="17">
        <f>IFERROR(SUMIFS('Full List'!B:B,'Full List'!A:A,AL!$A60,'Full List'!E:E,AL!$A$1),"")</f>
        <v>144972</v>
      </c>
      <c r="C60" s="18">
        <f t="shared" si="0"/>
        <v>9.9988412898099718E-2</v>
      </c>
    </row>
    <row r="61" spans="1:3" x14ac:dyDescent="0.15">
      <c r="A61" t="s">
        <v>61</v>
      </c>
      <c r="B61" s="17">
        <f>IFERROR(SUMIFS('Full List'!B:B,'Full List'!A:A,AL!$A61,'Full List'!E:E,AL!$A$1),"")</f>
        <v>233163</v>
      </c>
      <c r="C61" s="18">
        <f t="shared" si="0"/>
        <v>0.16081449049857643</v>
      </c>
    </row>
    <row r="62" spans="1:3" x14ac:dyDescent="0.15">
      <c r="A62" t="s">
        <v>62</v>
      </c>
      <c r="B62" s="17">
        <f>IFERROR(SUMIFS('Full List'!B:B,'Full List'!A:A,AL!$A62,'Full List'!E:E,AL!$A$1),"")</f>
        <v>63417</v>
      </c>
      <c r="C62" s="18">
        <f t="shared" si="0"/>
        <v>4.3739240548235449E-2</v>
      </c>
    </row>
    <row r="63" spans="1:3" x14ac:dyDescent="0.15">
      <c r="A63" t="s">
        <v>63</v>
      </c>
      <c r="B63" s="17">
        <f>IFERROR(SUMIFS('Full List'!B:B,'Full List'!A:A,AL!$A63,'Full List'!E:E,AL!$A$1),"")</f>
        <v>257154</v>
      </c>
      <c r="C63" s="18">
        <f t="shared" si="0"/>
        <v>0.17736128583725089</v>
      </c>
    </row>
    <row r="64" spans="1:3" x14ac:dyDescent="0.15">
      <c r="A64" t="s">
        <v>64</v>
      </c>
      <c r="B64" s="17">
        <f>IFERROR(SUMIFS('Full List'!B:B,'Full List'!A:A,AL!$A64,'Full List'!E:E,AL!$A$1),"")</f>
        <v>66916</v>
      </c>
      <c r="C64" s="18">
        <f t="shared" si="0"/>
        <v>4.6152530402348318E-2</v>
      </c>
    </row>
    <row r="65" spans="1:3" x14ac:dyDescent="0.15">
      <c r="A65" t="s">
        <v>65</v>
      </c>
      <c r="B65" s="17">
        <f>IFERROR(SUMIFS('Full List'!B:B,'Full List'!A:A,AL!$A65,'Full List'!E:E,AL!$A$1),"")</f>
        <v>204347</v>
      </c>
      <c r="C65" s="18">
        <f t="shared" si="0"/>
        <v>0.14093985190580238</v>
      </c>
    </row>
    <row r="66" spans="1:3" x14ac:dyDescent="0.15">
      <c r="A66" t="s">
        <v>66</v>
      </c>
      <c r="B66" s="17">
        <f>IFERROR(SUMIFS('Full List'!B:B,'Full List'!A:A,AL!$A66,'Full List'!E:E,AL!$A$1),"")</f>
        <v>118500</v>
      </c>
      <c r="C66" s="18">
        <f t="shared" si="0"/>
        <v>8.1730450903793952E-2</v>
      </c>
    </row>
    <row r="67" spans="1:3" x14ac:dyDescent="0.15">
      <c r="A67" t="s">
        <v>67</v>
      </c>
      <c r="B67" s="17">
        <f>IFERROR(SUMIFS('Full List'!B:B,'Full List'!A:A,AL!$A67,'Full List'!E:E,AL!$A$1),"")</f>
        <v>471697</v>
      </c>
      <c r="C67" s="18">
        <f t="shared" ref="C67:C82" si="1">IFERROR(B67/$B$2,"")</f>
        <v>0.32533340506301178</v>
      </c>
    </row>
    <row r="68" spans="1:3" x14ac:dyDescent="0.15">
      <c r="A68" t="s">
        <v>68</v>
      </c>
      <c r="B68" s="17">
        <f>IFERROR(SUMIFS('Full List'!B:B,'Full List'!A:A,AL!$A68,'Full List'!E:E,AL!$A$1),"")</f>
        <v>453408</v>
      </c>
      <c r="C68" s="18">
        <f t="shared" si="1"/>
        <v>0.31271932728596968</v>
      </c>
    </row>
    <row r="69" spans="1:3" x14ac:dyDescent="0.15">
      <c r="A69" t="s">
        <v>69</v>
      </c>
      <c r="B69" s="17">
        <f>IFERROR(SUMIFS('Full List'!B:B,'Full List'!A:A,AL!$A69,'Full List'!E:E,AL!$A$1),"")</f>
        <v>824413</v>
      </c>
      <c r="C69" s="18">
        <f t="shared" si="1"/>
        <v>0.56860460945948932</v>
      </c>
    </row>
    <row r="70" spans="1:3" x14ac:dyDescent="0.15">
      <c r="A70" t="s">
        <v>70</v>
      </c>
      <c r="B70" s="17">
        <f>IFERROR(SUMIFS('Full List'!B:B,'Full List'!A:A,AL!$A70,'Full List'!E:E,AL!$A$1),"")</f>
        <v>164836</v>
      </c>
      <c r="C70" s="18">
        <f t="shared" si="1"/>
        <v>0.11368878147829349</v>
      </c>
    </row>
    <row r="71" spans="1:3" x14ac:dyDescent="0.15">
      <c r="A71" t="s">
        <v>71</v>
      </c>
      <c r="B71" s="17">
        <f>IFERROR(SUMIFS('Full List'!B:B,'Full List'!A:A,AL!$A71,'Full List'!E:E,AL!$A$1),"")</f>
        <v>89695</v>
      </c>
      <c r="C71" s="18">
        <f t="shared" si="1"/>
        <v>6.1863399103930787E-2</v>
      </c>
    </row>
    <row r="72" spans="1:3" x14ac:dyDescent="0.15">
      <c r="A72" t="s">
        <v>72</v>
      </c>
      <c r="B72" s="17">
        <f>IFERROR(SUMIFS('Full List'!B:B,'Full List'!A:A,AL!$A72,'Full List'!E:E,AL!$A$1),"")</f>
        <v>237475</v>
      </c>
      <c r="C72" s="18">
        <f t="shared" si="1"/>
        <v>0.16378851331964953</v>
      </c>
    </row>
    <row r="73" spans="1:3" x14ac:dyDescent="0.15">
      <c r="A73" t="s">
        <v>73</v>
      </c>
      <c r="B73" s="17">
        <f>IFERROR(SUMIFS('Full List'!B:B,'Full List'!A:A,AL!$A73,'Full List'!E:E,AL!$A$1),"")</f>
        <v>801928</v>
      </c>
      <c r="C73" s="18">
        <f t="shared" si="1"/>
        <v>0.55309651504116175</v>
      </c>
    </row>
    <row r="74" spans="1:3" x14ac:dyDescent="0.15">
      <c r="A74" t="s">
        <v>74</v>
      </c>
      <c r="B74" s="17">
        <f>IFERROR(SUMIFS('Full List'!B:B,'Full List'!A:A,AL!$A74,'Full List'!E:E,AL!$A$1),"")</f>
        <v>367101</v>
      </c>
      <c r="C74" s="18">
        <f t="shared" si="1"/>
        <v>0.25319266039859628</v>
      </c>
    </row>
    <row r="75" spans="1:3" x14ac:dyDescent="0.15">
      <c r="A75" t="s">
        <v>75</v>
      </c>
      <c r="B75" s="17">
        <f>IFERROR(SUMIFS('Full List'!B:B,'Full List'!A:A,AL!$A75,'Full List'!E:E,AL!$A$1),"")</f>
        <v>272721</v>
      </c>
      <c r="C75" s="18">
        <f t="shared" si="1"/>
        <v>0.18809797722306826</v>
      </c>
    </row>
    <row r="76" spans="1:3" x14ac:dyDescent="0.15">
      <c r="A76" t="s">
        <v>76</v>
      </c>
      <c r="B76" s="17">
        <f>IFERROR(SUMIFS('Full List'!B:B,'Full List'!A:A,AL!$A76,'Full List'!E:E,AL!$A$1),"")</f>
        <v>214866</v>
      </c>
      <c r="C76" s="18">
        <f t="shared" si="1"/>
        <v>0.1481948950539628</v>
      </c>
    </row>
    <row r="77" spans="1:3" x14ac:dyDescent="0.15">
      <c r="A77" t="s">
        <v>77</v>
      </c>
      <c r="B77" s="17">
        <f>IFERROR(SUMIFS('Full List'!B:B,'Full List'!A:A,AL!$A77,'Full List'!E:E,AL!$A$1),"")</f>
        <v>193774</v>
      </c>
      <c r="C77" s="18">
        <f t="shared" si="1"/>
        <v>0.13364756450153392</v>
      </c>
    </row>
    <row r="78" spans="1:3" x14ac:dyDescent="0.15">
      <c r="A78" t="s">
        <v>78</v>
      </c>
      <c r="B78" s="17">
        <f>IFERROR(SUMIFS('Full List'!B:B,'Full List'!A:A,AL!$A78,'Full List'!E:E,AL!$A$1),"")</f>
        <v>138819</v>
      </c>
      <c r="C78" s="18">
        <f t="shared" si="1"/>
        <v>9.5744636827120436E-2</v>
      </c>
    </row>
    <row r="79" spans="1:3" x14ac:dyDescent="0.15">
      <c r="A79" t="s">
        <v>79</v>
      </c>
      <c r="B79" s="17">
        <f>IFERROR(SUMIFS('Full List'!B:B,'Full List'!A:A,AL!$A79,'Full List'!E:E,AL!$A$1),"")</f>
        <v>249562</v>
      </c>
      <c r="C79" s="18">
        <f t="shared" si="1"/>
        <v>0.17212501931183649</v>
      </c>
    </row>
    <row r="80" spans="1:3" x14ac:dyDescent="0.15">
      <c r="A80" t="s">
        <v>80</v>
      </c>
      <c r="B80" s="17">
        <f>IFERROR(SUMIFS('Full List'!B:B,'Full List'!A:A,AL!$A80,'Full List'!E:E,AL!$A$1),"")</f>
        <v>187287</v>
      </c>
      <c r="C80" s="18">
        <f t="shared" si="1"/>
        <v>0.12917342580944183</v>
      </c>
    </row>
    <row r="81" spans="1:6" x14ac:dyDescent="0.15">
      <c r="A81" t="s">
        <v>81</v>
      </c>
      <c r="B81" s="17">
        <f>IFERROR(SUMIFS('Full List'!B:B,'Full List'!A:A,AL!$A81,'Full List'!E:E,AL!$A$1),"")</f>
        <v>279506</v>
      </c>
      <c r="C81" s="18">
        <f t="shared" si="1"/>
        <v>0.1927776490322011</v>
      </c>
    </row>
    <row r="82" spans="1:6" x14ac:dyDescent="0.15">
      <c r="A82" t="s">
        <v>82</v>
      </c>
      <c r="B82" s="17">
        <f>IFERROR(SUMIFS('Full List'!B:B,'Full List'!A:A,AL!$A82,'Full List'!E:E,AL!$A$1),"")</f>
        <v>247342</v>
      </c>
      <c r="C82" s="18">
        <f t="shared" si="1"/>
        <v>0.17059386656072745</v>
      </c>
    </row>
    <row r="83" spans="1:6" x14ac:dyDescent="0.15">
      <c r="B83" s="17"/>
      <c r="C83" s="18"/>
      <c r="D83" t="s">
        <v>812</v>
      </c>
      <c r="E83" t="s">
        <v>860</v>
      </c>
      <c r="F83" t="s">
        <v>1349</v>
      </c>
    </row>
    <row r="84" spans="1:6" x14ac:dyDescent="0.15">
      <c r="A84" t="s">
        <v>867</v>
      </c>
      <c r="B84" s="17">
        <v>945726</v>
      </c>
      <c r="C84" s="18">
        <f t="shared" ref="C84:C93" si="2">IFERROR(B84/$B$2,"")</f>
        <v>0.65227521022313451</v>
      </c>
      <c r="D84">
        <v>5</v>
      </c>
      <c r="E84" t="str">
        <f>VLOOKUP(D84,Validation!$A$2:$C$41,3,FALSE)</f>
        <v>CFB</v>
      </c>
      <c r="F84" t="s">
        <v>1350</v>
      </c>
    </row>
    <row r="85" spans="1:6" x14ac:dyDescent="0.15">
      <c r="A85" t="s">
        <v>864</v>
      </c>
      <c r="B85" s="17">
        <v>631784</v>
      </c>
      <c r="C85" s="18">
        <f t="shared" si="2"/>
        <v>0.43574676112913552</v>
      </c>
      <c r="D85">
        <v>5</v>
      </c>
      <c r="E85" t="str">
        <f>VLOOKUP(D85,Validation!$A$2:$C$41,3,FALSE)</f>
        <v>CFB</v>
      </c>
      <c r="F85" t="s">
        <v>1350</v>
      </c>
    </row>
    <row r="86" spans="1:6" x14ac:dyDescent="0.15">
      <c r="A86" t="s">
        <v>870</v>
      </c>
      <c r="B86" s="17">
        <v>471392</v>
      </c>
      <c r="C86" s="18">
        <f t="shared" si="2"/>
        <v>0.32512304398684588</v>
      </c>
      <c r="D86">
        <v>4</v>
      </c>
      <c r="E86" t="str">
        <f>VLOOKUP(D86,Validation!$A$2:$C$41,3,FALSE)</f>
        <v>MCB</v>
      </c>
      <c r="F86" t="s">
        <v>1350</v>
      </c>
    </row>
    <row r="87" spans="1:6" x14ac:dyDescent="0.15">
      <c r="A87" t="s">
        <v>861</v>
      </c>
      <c r="B87" s="17">
        <v>376409</v>
      </c>
      <c r="C87" s="18">
        <f t="shared" si="2"/>
        <v>0.25961246661811122</v>
      </c>
      <c r="D87">
        <v>17</v>
      </c>
      <c r="E87" t="str">
        <f>VLOOKUP(D87,Validation!$A$2:$C$41,3,FALSE)</f>
        <v>MLB</v>
      </c>
      <c r="F87" t="s">
        <v>1350</v>
      </c>
    </row>
    <row r="88" spans="1:6" x14ac:dyDescent="0.15">
      <c r="A88" t="s">
        <v>862</v>
      </c>
      <c r="B88" s="17">
        <v>363388</v>
      </c>
      <c r="C88" s="18">
        <f t="shared" si="2"/>
        <v>0.25063177293694411</v>
      </c>
      <c r="D88">
        <v>27</v>
      </c>
      <c r="E88" t="str">
        <f>VLOOKUP(D88,Validation!$A$2:$C$41,3,FALSE)</f>
        <v xml:space="preserve">NFL </v>
      </c>
      <c r="F88" t="s">
        <v>1350</v>
      </c>
    </row>
    <row r="89" spans="1:6" x14ac:dyDescent="0.15">
      <c r="A89" t="s">
        <v>868</v>
      </c>
      <c r="B89" s="17">
        <v>269037</v>
      </c>
      <c r="C89" s="18">
        <f t="shared" si="2"/>
        <v>0.18555709130636297</v>
      </c>
      <c r="D89">
        <v>4</v>
      </c>
      <c r="E89" t="str">
        <f>VLOOKUP(D89,Validation!$A$2:$C$41,3,FALSE)</f>
        <v>MCB</v>
      </c>
      <c r="F89" t="s">
        <v>1350</v>
      </c>
    </row>
    <row r="90" spans="1:6" x14ac:dyDescent="0.15">
      <c r="A90" t="s">
        <v>866</v>
      </c>
      <c r="B90" s="17">
        <v>221894</v>
      </c>
      <c r="C90" s="18">
        <f t="shared" si="2"/>
        <v>0.1530421660155819</v>
      </c>
      <c r="D90">
        <v>5</v>
      </c>
      <c r="E90" t="str">
        <f>VLOOKUP(D90,Validation!$A$2:$C$41,3,FALSE)</f>
        <v>CFB</v>
      </c>
    </row>
    <row r="91" spans="1:6" x14ac:dyDescent="0.15">
      <c r="A91" t="s">
        <v>869</v>
      </c>
      <c r="B91" s="17">
        <v>205747</v>
      </c>
      <c r="C91" s="18">
        <f t="shared" si="2"/>
        <v>0.14190544373082611</v>
      </c>
      <c r="D91">
        <v>4</v>
      </c>
      <c r="E91" t="str">
        <f>VLOOKUP(D91,Validation!$A$2:$C$41,3,FALSE)</f>
        <v>MCB</v>
      </c>
    </row>
    <row r="92" spans="1:6" x14ac:dyDescent="0.15">
      <c r="A92" t="s">
        <v>863</v>
      </c>
      <c r="B92" s="17">
        <v>147586</v>
      </c>
      <c r="C92" s="18">
        <f t="shared" si="2"/>
        <v>0.1017913107771083</v>
      </c>
      <c r="D92">
        <v>26</v>
      </c>
      <c r="E92" t="str">
        <f>VLOOKUP(D92,Validation!$A$2:$C$41,3,FALSE)</f>
        <v xml:space="preserve">NBA </v>
      </c>
      <c r="F92" t="s">
        <v>1350</v>
      </c>
    </row>
    <row r="93" spans="1:6" x14ac:dyDescent="0.15">
      <c r="A93" t="s">
        <v>865</v>
      </c>
      <c r="B93" s="17">
        <v>111162</v>
      </c>
      <c r="C93" s="18">
        <f t="shared" si="2"/>
        <v>7.6669370323776728E-2</v>
      </c>
      <c r="D93">
        <v>5</v>
      </c>
      <c r="E93" t="str">
        <f>VLOOKUP(D93,Validation!$A$2:$C$41,3,FALSE)</f>
        <v>CFB</v>
      </c>
      <c r="F93" t="s">
        <v>1350</v>
      </c>
    </row>
    <row r="94" spans="1:6" x14ac:dyDescent="0.15">
      <c r="B94" s="17"/>
      <c r="C94" s="18"/>
    </row>
    <row r="95" spans="1:6" x14ac:dyDescent="0.15">
      <c r="B95" s="17"/>
      <c r="C95" s="18"/>
    </row>
    <row r="96" spans="1:6" x14ac:dyDescent="0.15">
      <c r="B96" s="17"/>
      <c r="C96" s="18"/>
    </row>
    <row r="97" spans="2:3" x14ac:dyDescent="0.15">
      <c r="B97" s="17"/>
      <c r="C97" s="18"/>
    </row>
    <row r="98" spans="2:3" x14ac:dyDescent="0.15">
      <c r="B98" s="17"/>
      <c r="C98" s="18"/>
    </row>
    <row r="99" spans="2:3" x14ac:dyDescent="0.15">
      <c r="B99" s="17"/>
      <c r="C99" s="18"/>
    </row>
    <row r="100" spans="2:3" x14ac:dyDescent="0.15">
      <c r="B100" s="17"/>
      <c r="C100" s="18"/>
    </row>
    <row r="101" spans="2:3" x14ac:dyDescent="0.15">
      <c r="B101" s="17"/>
      <c r="C101" s="18"/>
    </row>
    <row r="102" spans="2:3" x14ac:dyDescent="0.15">
      <c r="B102" s="17"/>
      <c r="C102" s="18"/>
    </row>
    <row r="103" spans="2:3" x14ac:dyDescent="0.15">
      <c r="B103" s="17"/>
      <c r="C103" s="18"/>
    </row>
    <row r="104" spans="2:3" x14ac:dyDescent="0.15">
      <c r="B104" s="17"/>
      <c r="C104" s="18"/>
    </row>
  </sheetData>
  <pageMargins left="0.7" right="0.7" top="0.75" bottom="0.75" header="0.3" footer="0.3"/>
  <pageSetup orientation="portrait" verticalDpi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F104"/>
  <sheetViews>
    <sheetView topLeftCell="A68" zoomScale="85" zoomScaleNormal="85" zoomScalePageLayoutView="85" workbookViewId="0">
      <selection activeCell="A84" sqref="A84"/>
    </sheetView>
  </sheetViews>
  <sheetFormatPr baseColWidth="10" defaultColWidth="8.83203125" defaultRowHeight="13" x14ac:dyDescent="0.15"/>
  <cols>
    <col min="1" max="1" width="33.33203125" bestFit="1" customWidth="1"/>
    <col min="2" max="2" width="10.5" bestFit="1" customWidth="1"/>
  </cols>
  <sheetData>
    <row r="1" spans="1:3" x14ac:dyDescent="0.15">
      <c r="A1" t="s">
        <v>492</v>
      </c>
      <c r="B1" t="s">
        <v>807</v>
      </c>
      <c r="C1" t="s">
        <v>811</v>
      </c>
    </row>
    <row r="2" spans="1:3" x14ac:dyDescent="0.15">
      <c r="A2" t="s">
        <v>0</v>
      </c>
      <c r="B2" s="17">
        <f>IFERROR(SUMIFS('Full List'!B:B,'Full List'!A:A,AR!$A2,'Full List'!E:E,AR!$A$1),"")</f>
        <v>1123350</v>
      </c>
      <c r="C2" s="18">
        <f>IFERROR(B2/$B$2,"")</f>
        <v>1</v>
      </c>
    </row>
    <row r="3" spans="1:3" x14ac:dyDescent="0.15">
      <c r="A3" t="s">
        <v>3</v>
      </c>
      <c r="B3" s="17">
        <f>IFERROR(SUMIFS('Full List'!B:B,'Full List'!A:A,AR!$A3,'Full List'!E:E,AR!$A$1),"")</f>
        <v>20667</v>
      </c>
      <c r="C3" s="18">
        <f t="shared" ref="C3:C66" si="0">IFERROR(B3/$B$2,"")</f>
        <v>1.8397649886500202E-2</v>
      </c>
    </row>
    <row r="4" spans="1:3" x14ac:dyDescent="0.15">
      <c r="A4" t="s">
        <v>4</v>
      </c>
      <c r="B4" s="17">
        <f>IFERROR(SUMIFS('Full List'!B:B,'Full List'!A:A,AR!$A4,'Full List'!E:E,AR!$A$1),"")</f>
        <v>26994</v>
      </c>
      <c r="C4" s="18">
        <f t="shared" si="0"/>
        <v>2.4029910535451997E-2</v>
      </c>
    </row>
    <row r="5" spans="1:3" x14ac:dyDescent="0.15">
      <c r="A5" t="s">
        <v>5</v>
      </c>
      <c r="B5" s="17">
        <f>IFERROR(SUMIFS('Full List'!B:B,'Full List'!A:A,AR!$A5,'Full List'!E:E,AR!$A$1),"")</f>
        <v>82147</v>
      </c>
      <c r="C5" s="18">
        <f t="shared" si="0"/>
        <v>7.3126808207593361E-2</v>
      </c>
    </row>
    <row r="6" spans="1:3" x14ac:dyDescent="0.15">
      <c r="A6" t="s">
        <v>6</v>
      </c>
      <c r="B6" s="17">
        <f>IFERROR(SUMIFS('Full List'!B:B,'Full List'!A:A,AR!$A6,'Full List'!E:E,AR!$A$1),"")</f>
        <v>210918</v>
      </c>
      <c r="C6" s="18">
        <f t="shared" si="0"/>
        <v>0.18775804513286154</v>
      </c>
    </row>
    <row r="7" spans="1:3" x14ac:dyDescent="0.15">
      <c r="A7" t="s">
        <v>7</v>
      </c>
      <c r="B7" s="17">
        <f>IFERROR(SUMIFS('Full List'!B:B,'Full List'!A:A,AR!$A7,'Full List'!E:E,AR!$A$1),"")</f>
        <v>389674</v>
      </c>
      <c r="C7" s="18">
        <f t="shared" si="0"/>
        <v>0.34688565451551162</v>
      </c>
    </row>
    <row r="8" spans="1:3" x14ac:dyDescent="0.15">
      <c r="A8" t="s">
        <v>8</v>
      </c>
      <c r="B8" s="17">
        <f>IFERROR(SUMIFS('Full List'!B:B,'Full List'!A:A,AR!$A8,'Full List'!E:E,AR!$A$1),"")</f>
        <v>12145</v>
      </c>
      <c r="C8" s="18">
        <f t="shared" si="0"/>
        <v>1.0811412293586148E-2</v>
      </c>
    </row>
    <row r="9" spans="1:3" x14ac:dyDescent="0.15">
      <c r="A9" t="s">
        <v>9</v>
      </c>
      <c r="B9" s="17">
        <f>IFERROR(SUMIFS('Full List'!B:B,'Full List'!A:A,AR!$A9,'Full List'!E:E,AR!$A$1),"")</f>
        <v>22750</v>
      </c>
      <c r="C9" s="18">
        <f t="shared" si="0"/>
        <v>2.0251925045622468E-2</v>
      </c>
    </row>
    <row r="10" spans="1:3" x14ac:dyDescent="0.15">
      <c r="A10" t="s">
        <v>10</v>
      </c>
      <c r="B10" s="17">
        <f>IFERROR(SUMIFS('Full List'!B:B,'Full List'!A:A,AR!$A10,'Full List'!E:E,AR!$A$1),"")</f>
        <v>21915</v>
      </c>
      <c r="C10" s="18">
        <f t="shared" si="0"/>
        <v>1.9508612631860062E-2</v>
      </c>
    </row>
    <row r="11" spans="1:3" x14ac:dyDescent="0.15">
      <c r="A11" t="s">
        <v>11</v>
      </c>
      <c r="B11" s="17">
        <f>IFERROR(SUMIFS('Full List'!B:B,'Full List'!A:A,AR!$A11,'Full List'!E:E,AR!$A$1),"")</f>
        <v>73026</v>
      </c>
      <c r="C11" s="18">
        <f t="shared" si="0"/>
        <v>6.5007344104686879E-2</v>
      </c>
    </row>
    <row r="12" spans="1:3" x14ac:dyDescent="0.15">
      <c r="A12" t="s">
        <v>12</v>
      </c>
      <c r="B12" s="17">
        <f>IFERROR(SUMIFS('Full List'!B:B,'Full List'!A:A,AR!$A12,'Full List'!E:E,AR!$A$1),"")</f>
        <v>20138</v>
      </c>
      <c r="C12" s="18">
        <f t="shared" si="0"/>
        <v>1.792673699203276E-2</v>
      </c>
    </row>
    <row r="13" spans="1:3" x14ac:dyDescent="0.15">
      <c r="A13" t="s">
        <v>13</v>
      </c>
      <c r="B13" s="17">
        <f>IFERROR(SUMIFS('Full List'!B:B,'Full List'!A:A,AR!$A13,'Full List'!E:E,AR!$A$1),"")</f>
        <v>12900</v>
      </c>
      <c r="C13" s="18">
        <f t="shared" si="0"/>
        <v>1.1483509146748564E-2</v>
      </c>
    </row>
    <row r="14" spans="1:3" x14ac:dyDescent="0.15">
      <c r="A14" t="s">
        <v>14</v>
      </c>
      <c r="B14" s="17">
        <f>IFERROR(SUMIFS('Full List'!B:B,'Full List'!A:A,AR!$A14,'Full List'!E:E,AR!$A$1),"")</f>
        <v>79134</v>
      </c>
      <c r="C14" s="18">
        <f t="shared" si="0"/>
        <v>7.0444652156496188E-2</v>
      </c>
    </row>
    <row r="15" spans="1:3" x14ac:dyDescent="0.15">
      <c r="A15" t="s">
        <v>15</v>
      </c>
      <c r="B15" s="17">
        <f>IFERROR(SUMIFS('Full List'!B:B,'Full List'!A:A,AR!$A15,'Full List'!E:E,AR!$A$1),"")</f>
        <v>109797</v>
      </c>
      <c r="C15" s="18">
        <f t="shared" si="0"/>
        <v>9.7740686339965285E-2</v>
      </c>
    </row>
    <row r="16" spans="1:3" x14ac:dyDescent="0.15">
      <c r="A16" t="s">
        <v>16</v>
      </c>
      <c r="B16" s="17">
        <f>IFERROR(SUMIFS('Full List'!B:B,'Full List'!A:A,AR!$A16,'Full List'!E:E,AR!$A$1),"")</f>
        <v>62659</v>
      </c>
      <c r="C16" s="18">
        <f t="shared" si="0"/>
        <v>5.5778697645435527E-2</v>
      </c>
    </row>
    <row r="17" spans="1:3" x14ac:dyDescent="0.15">
      <c r="A17" t="s">
        <v>17</v>
      </c>
      <c r="B17" s="17">
        <f>IFERROR(SUMIFS('Full List'!B:B,'Full List'!A:A,AR!$A17,'Full List'!E:E,AR!$A$1),"")</f>
        <v>21699</v>
      </c>
      <c r="C17" s="18">
        <f t="shared" si="0"/>
        <v>1.9316330618240084E-2</v>
      </c>
    </row>
    <row r="18" spans="1:3" x14ac:dyDescent="0.15">
      <c r="A18" t="s">
        <v>18</v>
      </c>
      <c r="B18" s="17">
        <f>IFERROR(SUMIFS('Full List'!B:B,'Full List'!A:A,AR!$A18,'Full List'!E:E,AR!$A$1),"")</f>
        <v>14892</v>
      </c>
      <c r="C18" s="18">
        <f t="shared" si="0"/>
        <v>1.3256776605688343E-2</v>
      </c>
    </row>
    <row r="19" spans="1:3" x14ac:dyDescent="0.15">
      <c r="A19" t="s">
        <v>19</v>
      </c>
      <c r="B19" s="17">
        <f>IFERROR(SUMIFS('Full List'!B:B,'Full List'!A:A,AR!$A19,'Full List'!E:E,AR!$A$1),"")</f>
        <v>79097</v>
      </c>
      <c r="C19" s="18">
        <f t="shared" si="0"/>
        <v>7.0411714959718694E-2</v>
      </c>
    </row>
    <row r="20" spans="1:3" x14ac:dyDescent="0.15">
      <c r="A20" t="s">
        <v>20</v>
      </c>
      <c r="B20" s="17">
        <f>IFERROR(SUMIFS('Full List'!B:B,'Full List'!A:A,AR!$A20,'Full List'!E:E,AR!$A$1),"")</f>
        <v>21586</v>
      </c>
      <c r="C20" s="18">
        <f t="shared" si="0"/>
        <v>1.9215738638892598E-2</v>
      </c>
    </row>
    <row r="21" spans="1:3" x14ac:dyDescent="0.15">
      <c r="A21" t="s">
        <v>21</v>
      </c>
      <c r="B21" s="17">
        <f>IFERROR(SUMIFS('Full List'!B:B,'Full List'!A:A,AR!$A21,'Full List'!E:E,AR!$A$1),"")</f>
        <v>18458</v>
      </c>
      <c r="C21" s="18">
        <f t="shared" si="0"/>
        <v>1.6431210219432946E-2</v>
      </c>
    </row>
    <row r="22" spans="1:3" x14ac:dyDescent="0.15">
      <c r="A22" t="s">
        <v>22</v>
      </c>
      <c r="B22" s="17">
        <f>IFERROR(SUMIFS('Full List'!B:B,'Full List'!A:A,AR!$A22,'Full List'!E:E,AR!$A$1),"")</f>
        <v>18130</v>
      </c>
      <c r="C22" s="18">
        <f t="shared" si="0"/>
        <v>1.6139226420972982E-2</v>
      </c>
    </row>
    <row r="23" spans="1:3" x14ac:dyDescent="0.15">
      <c r="A23" t="s">
        <v>23</v>
      </c>
      <c r="B23" s="17">
        <f>IFERROR(SUMIFS('Full List'!B:B,'Full List'!A:A,AR!$A23,'Full List'!E:E,AR!$A$1),"")</f>
        <v>22066</v>
      </c>
      <c r="C23" s="18">
        <f t="shared" si="0"/>
        <v>1.9643032002492546E-2</v>
      </c>
    </row>
    <row r="24" spans="1:3" x14ac:dyDescent="0.15">
      <c r="A24" t="s">
        <v>24</v>
      </c>
      <c r="B24" s="17">
        <f>IFERROR(SUMIFS('Full List'!B:B,'Full List'!A:A,AR!$A24,'Full List'!E:E,AR!$A$1),"")</f>
        <v>8778</v>
      </c>
      <c r="C24" s="18">
        <f t="shared" si="0"/>
        <v>7.8141273868340237E-3</v>
      </c>
    </row>
    <row r="25" spans="1:3" x14ac:dyDescent="0.15">
      <c r="A25" t="s">
        <v>25</v>
      </c>
      <c r="B25" s="17">
        <f>IFERROR(SUMIFS('Full List'!B:B,'Full List'!A:A,AR!$A25,'Full List'!E:E,AR!$A$1),"")</f>
        <v>45618</v>
      </c>
      <c r="C25" s="18">
        <f t="shared" si="0"/>
        <v>4.0608893043129923E-2</v>
      </c>
    </row>
    <row r="26" spans="1:3" x14ac:dyDescent="0.15">
      <c r="A26" t="s">
        <v>26</v>
      </c>
      <c r="B26" s="17">
        <f>IFERROR(SUMIFS('Full List'!B:B,'Full List'!A:A,AR!$A26,'Full List'!E:E,AR!$A$1),"")</f>
        <v>23552</v>
      </c>
      <c r="C26" s="18">
        <f t="shared" si="0"/>
        <v>2.0965861040637378E-2</v>
      </c>
    </row>
    <row r="27" spans="1:3" x14ac:dyDescent="0.15">
      <c r="A27" t="s">
        <v>27</v>
      </c>
      <c r="B27" s="17">
        <f>IFERROR(SUMIFS('Full List'!B:B,'Full List'!A:A,AR!$A27,'Full List'!E:E,AR!$A$1),"")</f>
        <v>89229</v>
      </c>
      <c r="C27" s="18">
        <f t="shared" si="0"/>
        <v>7.9431165709707569E-2</v>
      </c>
    </row>
    <row r="28" spans="1:3" x14ac:dyDescent="0.15">
      <c r="A28" t="s">
        <v>28</v>
      </c>
      <c r="B28" s="17">
        <f>IFERROR(SUMIFS('Full List'!B:B,'Full List'!A:A,AR!$A28,'Full List'!E:E,AR!$A$1),"")</f>
        <v>109010</v>
      </c>
      <c r="C28" s="18">
        <f t="shared" si="0"/>
        <v>9.7040103262562877E-2</v>
      </c>
    </row>
    <row r="29" spans="1:3" x14ac:dyDescent="0.15">
      <c r="A29" t="s">
        <v>29</v>
      </c>
      <c r="B29" s="17">
        <f>IFERROR(SUMIFS('Full List'!B:B,'Full List'!A:A,AR!$A29,'Full List'!E:E,AR!$A$1),"")</f>
        <v>274943</v>
      </c>
      <c r="C29" s="18">
        <f t="shared" si="0"/>
        <v>0.2447527484755419</v>
      </c>
    </row>
    <row r="30" spans="1:3" x14ac:dyDescent="0.15">
      <c r="A30" t="s">
        <v>30</v>
      </c>
      <c r="B30" s="17">
        <f>IFERROR(SUMIFS('Full List'!B:B,'Full List'!A:A,AR!$A30,'Full List'!E:E,AR!$A$1),"")</f>
        <v>19421</v>
      </c>
      <c r="C30" s="18">
        <f t="shared" si="0"/>
        <v>1.7288467530155338E-2</v>
      </c>
    </row>
    <row r="31" spans="1:3" x14ac:dyDescent="0.15">
      <c r="A31" t="s">
        <v>31</v>
      </c>
      <c r="B31" s="17">
        <f>IFERROR(SUMIFS('Full List'!B:B,'Full List'!A:A,AR!$A31,'Full List'!E:E,AR!$A$1),"")</f>
        <v>25838</v>
      </c>
      <c r="C31" s="18">
        <f t="shared" si="0"/>
        <v>2.3000845684782126E-2</v>
      </c>
    </row>
    <row r="32" spans="1:3" x14ac:dyDescent="0.15">
      <c r="A32" t="s">
        <v>32</v>
      </c>
      <c r="B32" s="17">
        <f>IFERROR(SUMIFS('Full List'!B:B,'Full List'!A:A,AR!$A32,'Full List'!E:E,AR!$A$1),"")</f>
        <v>48263</v>
      </c>
      <c r="C32" s="18">
        <f t="shared" si="0"/>
        <v>4.2963457515467131E-2</v>
      </c>
    </row>
    <row r="33" spans="1:3" x14ac:dyDescent="0.15">
      <c r="A33" t="s">
        <v>33</v>
      </c>
      <c r="B33" s="17">
        <f>IFERROR(SUMIFS('Full List'!B:B,'Full List'!A:A,AR!$A33,'Full List'!E:E,AR!$A$1),"")</f>
        <v>215313</v>
      </c>
      <c r="C33" s="18">
        <f t="shared" si="0"/>
        <v>0.19167044999332356</v>
      </c>
    </row>
    <row r="34" spans="1:3" x14ac:dyDescent="0.15">
      <c r="A34" t="s">
        <v>34</v>
      </c>
      <c r="B34" s="17">
        <f>IFERROR(SUMIFS('Full List'!B:B,'Full List'!A:A,AR!$A34,'Full List'!E:E,AR!$A$1),"")</f>
        <v>51418</v>
      </c>
      <c r="C34" s="18">
        <f t="shared" si="0"/>
        <v>4.5772021186629278E-2</v>
      </c>
    </row>
    <row r="35" spans="1:3" x14ac:dyDescent="0.15">
      <c r="A35" t="s">
        <v>35</v>
      </c>
      <c r="B35" s="17">
        <f>IFERROR(SUMIFS('Full List'!B:B,'Full List'!A:A,AR!$A35,'Full List'!E:E,AR!$A$1),"")</f>
        <v>68065</v>
      </c>
      <c r="C35" s="18">
        <f t="shared" si="0"/>
        <v>6.0591089152979928E-2</v>
      </c>
    </row>
    <row r="36" spans="1:3" x14ac:dyDescent="0.15">
      <c r="A36" t="s">
        <v>36</v>
      </c>
      <c r="B36" s="17">
        <f>IFERROR(SUMIFS('Full List'!B:B,'Full List'!A:A,AR!$A36,'Full List'!E:E,AR!$A$1),"")</f>
        <v>45148</v>
      </c>
      <c r="C36" s="18">
        <f t="shared" si="0"/>
        <v>4.0190501624604975E-2</v>
      </c>
    </row>
    <row r="37" spans="1:3" x14ac:dyDescent="0.15">
      <c r="A37" t="s">
        <v>37</v>
      </c>
      <c r="B37" s="17">
        <f>IFERROR(SUMIFS('Full List'!B:B,'Full List'!A:A,AR!$A37,'Full List'!E:E,AR!$A$1),"")</f>
        <v>33847</v>
      </c>
      <c r="C37" s="18">
        <f t="shared" si="0"/>
        <v>3.0130413495348733E-2</v>
      </c>
    </row>
    <row r="38" spans="1:3" x14ac:dyDescent="0.15">
      <c r="A38" t="s">
        <v>38</v>
      </c>
      <c r="B38" s="17">
        <f>IFERROR(SUMIFS('Full List'!B:B,'Full List'!A:A,AR!$A38,'Full List'!E:E,AR!$A$1),"")</f>
        <v>23542</v>
      </c>
      <c r="C38" s="18">
        <f t="shared" si="0"/>
        <v>2.0956959095562382E-2</v>
      </c>
    </row>
    <row r="39" spans="1:3" x14ac:dyDescent="0.15">
      <c r="A39" t="s">
        <v>39</v>
      </c>
      <c r="B39" s="17">
        <f>IFERROR(SUMIFS('Full List'!B:B,'Full List'!A:A,AR!$A39,'Full List'!E:E,AR!$A$1),"")</f>
        <v>65244</v>
      </c>
      <c r="C39" s="18">
        <f t="shared" si="0"/>
        <v>5.8079850447322737E-2</v>
      </c>
    </row>
    <row r="40" spans="1:3" x14ac:dyDescent="0.15">
      <c r="A40" t="s">
        <v>40</v>
      </c>
      <c r="B40" s="17">
        <f>IFERROR(SUMIFS('Full List'!B:B,'Full List'!A:A,AR!$A40,'Full List'!E:E,AR!$A$1),"")</f>
        <v>32988</v>
      </c>
      <c r="C40" s="18">
        <f t="shared" si="0"/>
        <v>2.936573641340633E-2</v>
      </c>
    </row>
    <row r="41" spans="1:3" x14ac:dyDescent="0.15">
      <c r="A41" t="s">
        <v>41</v>
      </c>
      <c r="B41" s="17">
        <f>IFERROR(SUMIFS('Full List'!B:B,'Full List'!A:A,AR!$A41,'Full List'!E:E,AR!$A$1),"")</f>
        <v>20406</v>
      </c>
      <c r="C41" s="18">
        <f t="shared" si="0"/>
        <v>1.816530912004273E-2</v>
      </c>
    </row>
    <row r="42" spans="1:3" x14ac:dyDescent="0.15">
      <c r="A42" t="s">
        <v>42</v>
      </c>
      <c r="B42" s="17">
        <f>IFERROR(SUMIFS('Full List'!B:B,'Full List'!A:A,AR!$A42,'Full List'!E:E,AR!$A$1),"")</f>
        <v>106477</v>
      </c>
      <c r="C42" s="18">
        <f t="shared" si="0"/>
        <v>9.4785240575065655E-2</v>
      </c>
    </row>
    <row r="43" spans="1:3" x14ac:dyDescent="0.15">
      <c r="A43" t="s">
        <v>43</v>
      </c>
      <c r="B43" s="17">
        <f>IFERROR(SUMIFS('Full List'!B:B,'Full List'!A:A,AR!$A43,'Full List'!E:E,AR!$A$1),"")</f>
        <v>134392</v>
      </c>
      <c r="C43" s="18">
        <f t="shared" si="0"/>
        <v>0.11963502025192504</v>
      </c>
    </row>
    <row r="44" spans="1:3" x14ac:dyDescent="0.15">
      <c r="A44" t="s">
        <v>44</v>
      </c>
      <c r="B44" s="17">
        <f>IFERROR(SUMIFS('Full List'!B:B,'Full List'!A:A,AR!$A44,'Full List'!E:E,AR!$A$1),"")</f>
        <v>179421</v>
      </c>
      <c r="C44" s="18">
        <f t="shared" si="0"/>
        <v>0.15971958873013753</v>
      </c>
    </row>
    <row r="45" spans="1:3" x14ac:dyDescent="0.15">
      <c r="A45" t="s">
        <v>45</v>
      </c>
      <c r="B45" s="17">
        <f>IFERROR(SUMIFS('Full List'!B:B,'Full List'!A:A,AR!$A45,'Full List'!E:E,AR!$A$1),"")</f>
        <v>362617</v>
      </c>
      <c r="C45" s="18">
        <f t="shared" si="0"/>
        <v>0.32279966172608715</v>
      </c>
    </row>
    <row r="46" spans="1:3" x14ac:dyDescent="0.15">
      <c r="A46" t="s">
        <v>46</v>
      </c>
      <c r="B46" s="17">
        <f>IFERROR(SUMIFS('Full List'!B:B,'Full List'!A:A,AR!$A46,'Full List'!E:E,AR!$A$1),"")</f>
        <v>512908</v>
      </c>
      <c r="C46" s="18">
        <f t="shared" si="0"/>
        <v>0.45658788445275295</v>
      </c>
    </row>
    <row r="47" spans="1:3" x14ac:dyDescent="0.15">
      <c r="A47" t="s">
        <v>47</v>
      </c>
      <c r="B47" s="17">
        <f>IFERROR(SUMIFS('Full List'!B:B,'Full List'!A:A,AR!$A47,'Full List'!E:E,AR!$A$1),"")</f>
        <v>687954</v>
      </c>
      <c r="C47" s="18">
        <f t="shared" si="0"/>
        <v>0.61241287221257845</v>
      </c>
    </row>
    <row r="48" spans="1:3" x14ac:dyDescent="0.15">
      <c r="A48" t="s">
        <v>48</v>
      </c>
      <c r="B48" s="17">
        <f>IFERROR(SUMIFS('Full List'!B:B,'Full List'!A:A,AR!$A48,'Full List'!E:E,AR!$A$1),"")</f>
        <v>68639</v>
      </c>
      <c r="C48" s="18">
        <f t="shared" si="0"/>
        <v>6.1102060800284859E-2</v>
      </c>
    </row>
    <row r="49" spans="1:3" x14ac:dyDescent="0.15">
      <c r="A49" t="s">
        <v>49</v>
      </c>
      <c r="B49" s="17">
        <f>IFERROR(SUMIFS('Full List'!B:B,'Full List'!A:A,AR!$A49,'Full List'!E:E,AR!$A$1),"")</f>
        <v>65899</v>
      </c>
      <c r="C49" s="18">
        <f t="shared" si="0"/>
        <v>5.8662927849735168E-2</v>
      </c>
    </row>
    <row r="50" spans="1:3" x14ac:dyDescent="0.15">
      <c r="A50" t="s">
        <v>50</v>
      </c>
      <c r="B50" s="17">
        <f>IFERROR(SUMIFS('Full List'!B:B,'Full List'!A:A,AR!$A50,'Full List'!E:E,AR!$A$1),"")</f>
        <v>203285</v>
      </c>
      <c r="C50" s="18">
        <f t="shared" si="0"/>
        <v>0.18096319045711487</v>
      </c>
    </row>
    <row r="51" spans="1:3" x14ac:dyDescent="0.15">
      <c r="A51" t="s">
        <v>51</v>
      </c>
      <c r="B51" s="17">
        <f>IFERROR(SUMIFS('Full List'!B:B,'Full List'!A:A,AR!$A51,'Full List'!E:E,AR!$A$1),"")</f>
        <v>321571</v>
      </c>
      <c r="C51" s="18">
        <f t="shared" si="0"/>
        <v>0.28626073797124674</v>
      </c>
    </row>
    <row r="52" spans="1:3" x14ac:dyDescent="0.15">
      <c r="A52" t="s">
        <v>52</v>
      </c>
      <c r="B52" s="17">
        <f>IFERROR(SUMIFS('Full List'!B:B,'Full List'!A:A,AR!$A52,'Full List'!E:E,AR!$A$1),"")</f>
        <v>115878</v>
      </c>
      <c r="C52" s="18">
        <f t="shared" si="0"/>
        <v>0.10315395914007211</v>
      </c>
    </row>
    <row r="53" spans="1:3" x14ac:dyDescent="0.15">
      <c r="A53" t="s">
        <v>53</v>
      </c>
      <c r="B53" s="17">
        <f>IFERROR(SUMIFS('Full List'!B:B,'Full List'!A:A,AR!$A53,'Full List'!E:E,AR!$A$1),"")</f>
        <v>85305</v>
      </c>
      <c r="C53" s="18">
        <f t="shared" si="0"/>
        <v>7.5938042462278005E-2</v>
      </c>
    </row>
    <row r="54" spans="1:3" x14ac:dyDescent="0.15">
      <c r="A54" t="s">
        <v>54</v>
      </c>
      <c r="B54" s="17">
        <f>IFERROR(SUMIFS('Full List'!B:B,'Full List'!A:A,AR!$A54,'Full List'!E:E,AR!$A$1),"")</f>
        <v>397812</v>
      </c>
      <c r="C54" s="18">
        <f t="shared" si="0"/>
        <v>0.35413005741754572</v>
      </c>
    </row>
    <row r="55" spans="1:3" x14ac:dyDescent="0.15">
      <c r="A55" t="s">
        <v>55</v>
      </c>
      <c r="B55" s="17">
        <f>IFERROR(SUMIFS('Full List'!B:B,'Full List'!A:A,AR!$A55,'Full List'!E:E,AR!$A$1),"")</f>
        <v>405071</v>
      </c>
      <c r="C55" s="18">
        <f t="shared" si="0"/>
        <v>0.36059197934748743</v>
      </c>
    </row>
    <row r="56" spans="1:3" x14ac:dyDescent="0.15">
      <c r="A56" t="s">
        <v>56</v>
      </c>
      <c r="B56" s="17">
        <f>IFERROR(SUMIFS('Full List'!B:B,'Full List'!A:A,AR!$A56,'Full List'!E:E,AR!$A$1),"")</f>
        <v>301353</v>
      </c>
      <c r="C56" s="18">
        <f t="shared" si="0"/>
        <v>0.26826278541861398</v>
      </c>
    </row>
    <row r="57" spans="1:3" x14ac:dyDescent="0.15">
      <c r="A57" t="s">
        <v>57</v>
      </c>
      <c r="B57" s="17">
        <f>IFERROR(SUMIFS('Full List'!B:B,'Full List'!A:A,AR!$A57,'Full List'!E:E,AR!$A$1),"")</f>
        <v>164909</v>
      </c>
      <c r="C57" s="18">
        <f t="shared" si="0"/>
        <v>0.14680108603729916</v>
      </c>
    </row>
    <row r="58" spans="1:3" x14ac:dyDescent="0.15">
      <c r="A58" t="s">
        <v>58</v>
      </c>
      <c r="B58" s="17">
        <f>IFERROR(SUMIFS('Full List'!B:B,'Full List'!A:A,AR!$A58,'Full List'!E:E,AR!$A$1),"")</f>
        <v>115371</v>
      </c>
      <c r="C58" s="18">
        <f t="shared" si="0"/>
        <v>0.10270263052476966</v>
      </c>
    </row>
    <row r="59" spans="1:3" x14ac:dyDescent="0.15">
      <c r="A59" t="s">
        <v>59</v>
      </c>
      <c r="B59" s="17">
        <f>IFERROR(SUMIFS('Full List'!B:B,'Full List'!A:A,AR!$A59,'Full List'!E:E,AR!$A$1),"")</f>
        <v>422473</v>
      </c>
      <c r="C59" s="18">
        <f t="shared" si="0"/>
        <v>0.3760831441670005</v>
      </c>
    </row>
    <row r="60" spans="1:3" x14ac:dyDescent="0.15">
      <c r="A60" t="s">
        <v>60</v>
      </c>
      <c r="B60" s="17">
        <f>IFERROR(SUMIFS('Full List'!B:B,'Full List'!A:A,AR!$A60,'Full List'!E:E,AR!$A$1),"")</f>
        <v>115217</v>
      </c>
      <c r="C60" s="18">
        <f t="shared" si="0"/>
        <v>0.10256554057061468</v>
      </c>
    </row>
    <row r="61" spans="1:3" x14ac:dyDescent="0.15">
      <c r="A61" t="s">
        <v>61</v>
      </c>
      <c r="B61" s="17">
        <f>IFERROR(SUMIFS('Full List'!B:B,'Full List'!A:A,AR!$A61,'Full List'!E:E,AR!$A$1),"")</f>
        <v>127239</v>
      </c>
      <c r="C61" s="18">
        <f t="shared" si="0"/>
        <v>0.11326745893977834</v>
      </c>
    </row>
    <row r="62" spans="1:3" x14ac:dyDescent="0.15">
      <c r="A62" t="s">
        <v>62</v>
      </c>
      <c r="B62" s="17">
        <f>IFERROR(SUMIFS('Full List'!B:B,'Full List'!A:A,AR!$A62,'Full List'!E:E,AR!$A$1),"")</f>
        <v>50990</v>
      </c>
      <c r="C62" s="18">
        <f t="shared" si="0"/>
        <v>4.5391017937419328E-2</v>
      </c>
    </row>
    <row r="63" spans="1:3" x14ac:dyDescent="0.15">
      <c r="A63" t="s">
        <v>63</v>
      </c>
      <c r="B63" s="17">
        <f>IFERROR(SUMIFS('Full List'!B:B,'Full List'!A:A,AR!$A63,'Full List'!E:E,AR!$A$1),"")</f>
        <v>163556</v>
      </c>
      <c r="C63" s="18">
        <f t="shared" si="0"/>
        <v>0.14559665286865181</v>
      </c>
    </row>
    <row r="64" spans="1:3" x14ac:dyDescent="0.15">
      <c r="A64" t="s">
        <v>64</v>
      </c>
      <c r="B64" s="17">
        <f>IFERROR(SUMIFS('Full List'!B:B,'Full List'!A:A,AR!$A64,'Full List'!E:E,AR!$A$1),"")</f>
        <v>56823</v>
      </c>
      <c r="C64" s="18">
        <f t="shared" si="0"/>
        <v>5.0583522499666175E-2</v>
      </c>
    </row>
    <row r="65" spans="1:3" x14ac:dyDescent="0.15">
      <c r="A65" t="s">
        <v>65</v>
      </c>
      <c r="B65" s="17">
        <f>IFERROR(SUMIFS('Full List'!B:B,'Full List'!A:A,AR!$A65,'Full List'!E:E,AR!$A$1),"")</f>
        <v>213039</v>
      </c>
      <c r="C65" s="18">
        <f t="shared" si="0"/>
        <v>0.18964614768326879</v>
      </c>
    </row>
    <row r="66" spans="1:3" x14ac:dyDescent="0.15">
      <c r="A66" t="s">
        <v>66</v>
      </c>
      <c r="B66" s="17">
        <f>IFERROR(SUMIFS('Full List'!B:B,'Full List'!A:A,AR!$A66,'Full List'!E:E,AR!$A$1),"")</f>
        <v>104500</v>
      </c>
      <c r="C66" s="18">
        <f t="shared" si="0"/>
        <v>9.3025326033738379E-2</v>
      </c>
    </row>
    <row r="67" spans="1:3" x14ac:dyDescent="0.15">
      <c r="A67" t="s">
        <v>67</v>
      </c>
      <c r="B67" s="17">
        <f>IFERROR(SUMIFS('Full List'!B:B,'Full List'!A:A,AR!$A67,'Full List'!E:E,AR!$A$1),"")</f>
        <v>327762</v>
      </c>
      <c r="C67" s="18">
        <f t="shared" ref="C67:C82" si="1">IFERROR(B67/$B$2,"")</f>
        <v>0.2917719321671785</v>
      </c>
    </row>
    <row r="68" spans="1:3" x14ac:dyDescent="0.15">
      <c r="A68" t="s">
        <v>68</v>
      </c>
      <c r="B68" s="17">
        <f>IFERROR(SUMIFS('Full List'!B:B,'Full List'!A:A,AR!$A68,'Full List'!E:E,AR!$A$1),"")</f>
        <v>364948</v>
      </c>
      <c r="C68" s="18">
        <f t="shared" si="1"/>
        <v>0.32487470512306937</v>
      </c>
    </row>
    <row r="69" spans="1:3" x14ac:dyDescent="0.15">
      <c r="A69" t="s">
        <v>69</v>
      </c>
      <c r="B69" s="17">
        <f>IFERROR(SUMIFS('Full List'!B:B,'Full List'!A:A,AR!$A69,'Full List'!E:E,AR!$A$1),"")</f>
        <v>641255</v>
      </c>
      <c r="C69" s="18">
        <f t="shared" si="1"/>
        <v>0.57084167890684112</v>
      </c>
    </row>
    <row r="70" spans="1:3" x14ac:dyDescent="0.15">
      <c r="A70" t="s">
        <v>70</v>
      </c>
      <c r="B70" s="17">
        <f>IFERROR(SUMIFS('Full List'!B:B,'Full List'!A:A,AR!$A70,'Full List'!E:E,AR!$A$1),"")</f>
        <v>111483</v>
      </c>
      <c r="C70" s="18">
        <f t="shared" si="1"/>
        <v>9.9241554279610095E-2</v>
      </c>
    </row>
    <row r="71" spans="1:3" x14ac:dyDescent="0.15">
      <c r="A71" t="s">
        <v>71</v>
      </c>
      <c r="B71" s="17">
        <f>IFERROR(SUMIFS('Full List'!B:B,'Full List'!A:A,AR!$A71,'Full List'!E:E,AR!$A$1),"")</f>
        <v>103868</v>
      </c>
      <c r="C71" s="18">
        <f t="shared" si="1"/>
        <v>9.2462723104998437E-2</v>
      </c>
    </row>
    <row r="72" spans="1:3" x14ac:dyDescent="0.15">
      <c r="A72" t="s">
        <v>72</v>
      </c>
      <c r="B72" s="17">
        <f>IFERROR(SUMIFS('Full List'!B:B,'Full List'!A:A,AR!$A72,'Full List'!E:E,AR!$A$1),"")</f>
        <v>175368</v>
      </c>
      <c r="C72" s="18">
        <f t="shared" si="1"/>
        <v>0.15611163039124049</v>
      </c>
    </row>
    <row r="73" spans="1:3" x14ac:dyDescent="0.15">
      <c r="A73" t="s">
        <v>73</v>
      </c>
      <c r="B73" s="17">
        <f>IFERROR(SUMIFS('Full List'!B:B,'Full List'!A:A,AR!$A73,'Full List'!E:E,AR!$A$1),"")</f>
        <v>617036</v>
      </c>
      <c r="C73" s="18">
        <f t="shared" si="1"/>
        <v>0.54928205812970132</v>
      </c>
    </row>
    <row r="74" spans="1:3" x14ac:dyDescent="0.15">
      <c r="A74" t="s">
        <v>74</v>
      </c>
      <c r="B74" s="17">
        <f>IFERROR(SUMIFS('Full List'!B:B,'Full List'!A:A,AR!$A74,'Full List'!E:E,AR!$A$1),"")</f>
        <v>269217</v>
      </c>
      <c r="C74" s="18">
        <f t="shared" si="1"/>
        <v>0.23965549472559755</v>
      </c>
    </row>
    <row r="75" spans="1:3" x14ac:dyDescent="0.15">
      <c r="A75" t="s">
        <v>75</v>
      </c>
      <c r="B75" s="17">
        <f>IFERROR(SUMIFS('Full List'!B:B,'Full List'!A:A,AR!$A75,'Full List'!E:E,AR!$A$1),"")</f>
        <v>249916</v>
      </c>
      <c r="C75" s="18">
        <f t="shared" si="1"/>
        <v>0.22247385053634219</v>
      </c>
    </row>
    <row r="76" spans="1:3" x14ac:dyDescent="0.15">
      <c r="A76" t="s">
        <v>76</v>
      </c>
      <c r="B76" s="17">
        <f>IFERROR(SUMIFS('Full List'!B:B,'Full List'!A:A,AR!$A76,'Full List'!E:E,AR!$A$1),"")</f>
        <v>277385</v>
      </c>
      <c r="C76" s="18">
        <f t="shared" si="1"/>
        <v>0.24692660346285664</v>
      </c>
    </row>
    <row r="77" spans="1:3" x14ac:dyDescent="0.15">
      <c r="A77" t="s">
        <v>77</v>
      </c>
      <c r="B77" s="17">
        <f>IFERROR(SUMIFS('Full List'!B:B,'Full List'!A:A,AR!$A77,'Full List'!E:E,AR!$A$1),"")</f>
        <v>251711</v>
      </c>
      <c r="C77" s="18">
        <f t="shared" si="1"/>
        <v>0.2240717496773045</v>
      </c>
    </row>
    <row r="78" spans="1:3" x14ac:dyDescent="0.15">
      <c r="A78" t="s">
        <v>78</v>
      </c>
      <c r="B78" s="17">
        <f>IFERROR(SUMIFS('Full List'!B:B,'Full List'!A:A,AR!$A78,'Full List'!E:E,AR!$A$1),"")</f>
        <v>165261</v>
      </c>
      <c r="C78" s="18">
        <f t="shared" si="1"/>
        <v>0.1471144345039391</v>
      </c>
    </row>
    <row r="79" spans="1:3" x14ac:dyDescent="0.15">
      <c r="A79" t="s">
        <v>79</v>
      </c>
      <c r="B79" s="17">
        <f>IFERROR(SUMIFS('Full List'!B:B,'Full List'!A:A,AR!$A79,'Full List'!E:E,AR!$A$1),"")</f>
        <v>218296</v>
      </c>
      <c r="C79" s="18">
        <f t="shared" si="1"/>
        <v>0.19432590020919571</v>
      </c>
    </row>
    <row r="80" spans="1:3" x14ac:dyDescent="0.15">
      <c r="A80" t="s">
        <v>80</v>
      </c>
      <c r="B80" s="17">
        <f>IFERROR(SUMIFS('Full List'!B:B,'Full List'!A:A,AR!$A80,'Full List'!E:E,AR!$A$1),"")</f>
        <v>173317</v>
      </c>
      <c r="C80" s="18">
        <f t="shared" si="1"/>
        <v>0.15428584145635821</v>
      </c>
    </row>
    <row r="81" spans="1:6" x14ac:dyDescent="0.15">
      <c r="A81" t="s">
        <v>81</v>
      </c>
      <c r="B81" s="17">
        <f>IFERROR(SUMIFS('Full List'!B:B,'Full List'!A:A,AR!$A81,'Full List'!E:E,AR!$A$1),"")</f>
        <v>139411</v>
      </c>
      <c r="C81" s="18">
        <f t="shared" si="1"/>
        <v>0.12410290648506699</v>
      </c>
    </row>
    <row r="82" spans="1:6" x14ac:dyDescent="0.15">
      <c r="A82" t="s">
        <v>82</v>
      </c>
      <c r="B82" s="17">
        <f>IFERROR(SUMIFS('Full List'!B:B,'Full List'!A:A,AR!$A82,'Full List'!E:E,AR!$A$1),"")</f>
        <v>238719</v>
      </c>
      <c r="C82" s="18">
        <f t="shared" si="1"/>
        <v>0.21250634263586593</v>
      </c>
    </row>
    <row r="83" spans="1:6" x14ac:dyDescent="0.15">
      <c r="B83" s="17"/>
      <c r="C83" s="18"/>
      <c r="D83" t="s">
        <v>812</v>
      </c>
      <c r="E83" t="s">
        <v>860</v>
      </c>
      <c r="F83" t="s">
        <v>1349</v>
      </c>
    </row>
    <row r="84" spans="1:6" x14ac:dyDescent="0.15">
      <c r="A84" t="s">
        <v>873</v>
      </c>
      <c r="B84" s="17">
        <v>673605</v>
      </c>
      <c r="C84" s="18">
        <f>IFERROR(B84/$B$2,"")</f>
        <v>0.59963947122446259</v>
      </c>
      <c r="D84">
        <v>5</v>
      </c>
      <c r="E84" t="str">
        <f>VLOOKUP(D84,Validation!$A$2:$C$41,3,FALSE)</f>
        <v>CFB</v>
      </c>
      <c r="F84" t="s">
        <v>1351</v>
      </c>
    </row>
    <row r="85" spans="1:6" x14ac:dyDescent="0.15">
      <c r="A85" t="s">
        <v>875</v>
      </c>
      <c r="B85" s="17">
        <v>437329</v>
      </c>
      <c r="C85" s="18">
        <f>IFERROR(B85/$B$2,"")</f>
        <v>0.38930787377041881</v>
      </c>
      <c r="D85">
        <v>4</v>
      </c>
      <c r="E85" t="str">
        <f>VLOOKUP(D85,Validation!$A$2:$C$41,3,FALSE)</f>
        <v>MCB</v>
      </c>
      <c r="F85" t="s">
        <v>1351</v>
      </c>
    </row>
    <row r="86" spans="1:6" x14ac:dyDescent="0.15">
      <c r="A86" t="s">
        <v>874</v>
      </c>
      <c r="B86" s="17">
        <v>236156</v>
      </c>
      <c r="C86" s="18">
        <f>IFERROR(B86/$B$2,"")</f>
        <v>0.21022477411314372</v>
      </c>
      <c r="D86">
        <v>4</v>
      </c>
      <c r="E86" t="str">
        <f>VLOOKUP(D86,Validation!$A$2:$C$41,3,FALSE)</f>
        <v>MCB</v>
      </c>
      <c r="F86" t="s">
        <v>1351</v>
      </c>
    </row>
    <row r="87" spans="1:6" x14ac:dyDescent="0.15">
      <c r="A87" t="s">
        <v>871</v>
      </c>
      <c r="B87" s="17">
        <v>232671</v>
      </c>
      <c r="C87" s="18">
        <f>IFERROR(B87/$B$2,"")</f>
        <v>0.2071224462545066</v>
      </c>
      <c r="D87">
        <v>3</v>
      </c>
      <c r="E87" t="str">
        <f>VLOOKUP(D87,Validation!$A$2:$C$41,3,FALSE)</f>
        <v>CBB</v>
      </c>
      <c r="F87" t="s">
        <v>1351</v>
      </c>
    </row>
    <row r="88" spans="1:6" x14ac:dyDescent="0.15">
      <c r="A88" t="s">
        <v>872</v>
      </c>
      <c r="B88" s="17">
        <v>76305</v>
      </c>
      <c r="C88" s="18">
        <f>IFERROR(B88/$B$2,"")</f>
        <v>6.7926291894779015E-2</v>
      </c>
      <c r="D88">
        <v>3</v>
      </c>
      <c r="E88" t="str">
        <f>VLOOKUP(D88,Validation!$A$2:$C$41,3,FALSE)</f>
        <v>CBB</v>
      </c>
      <c r="F88" t="s">
        <v>1351</v>
      </c>
    </row>
    <row r="89" spans="1:6" x14ac:dyDescent="0.15">
      <c r="B89" s="17"/>
      <c r="C89" s="18"/>
    </row>
    <row r="90" spans="1:6" x14ac:dyDescent="0.15">
      <c r="B90" s="17"/>
      <c r="C90" s="18"/>
    </row>
    <row r="91" spans="1:6" x14ac:dyDescent="0.15">
      <c r="B91" s="17"/>
      <c r="C91" s="18"/>
    </row>
    <row r="92" spans="1:6" x14ac:dyDescent="0.15">
      <c r="B92" s="17"/>
      <c r="C92" s="18"/>
    </row>
    <row r="93" spans="1:6" x14ac:dyDescent="0.15">
      <c r="B93" s="17"/>
      <c r="C93" s="18"/>
    </row>
    <row r="94" spans="1:6" x14ac:dyDescent="0.15">
      <c r="B94" s="17"/>
      <c r="C94" s="18"/>
    </row>
    <row r="95" spans="1:6" x14ac:dyDescent="0.15">
      <c r="B95" s="17"/>
      <c r="C95" s="18"/>
    </row>
    <row r="96" spans="1:6" x14ac:dyDescent="0.15">
      <c r="B96" s="17"/>
      <c r="C96" s="18"/>
    </row>
    <row r="97" spans="2:3" x14ac:dyDescent="0.15">
      <c r="B97" s="17"/>
      <c r="C97" s="18"/>
    </row>
    <row r="98" spans="2:3" x14ac:dyDescent="0.15">
      <c r="B98" s="17"/>
      <c r="C98" s="18"/>
    </row>
    <row r="99" spans="2:3" x14ac:dyDescent="0.15">
      <c r="B99" s="17"/>
      <c r="C99" s="18"/>
    </row>
    <row r="100" spans="2:3" x14ac:dyDescent="0.15">
      <c r="B100" s="17"/>
      <c r="C100" s="18"/>
    </row>
    <row r="101" spans="2:3" x14ac:dyDescent="0.15">
      <c r="B101" s="17"/>
      <c r="C101" s="18"/>
    </row>
    <row r="102" spans="2:3" x14ac:dyDescent="0.15">
      <c r="B102" s="17"/>
      <c r="C102" s="18"/>
    </row>
    <row r="103" spans="2:3" x14ac:dyDescent="0.15">
      <c r="B103" s="17"/>
      <c r="C103" s="18"/>
    </row>
    <row r="104" spans="2:3" x14ac:dyDescent="0.15">
      <c r="B104" s="17"/>
      <c r="C104" s="18"/>
    </row>
  </sheetData>
  <pageMargins left="0.7" right="0.7" top="0.75" bottom="0.75" header="0.3" footer="0.3"/>
  <pageSetup orientation="portrait" verticalDpi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F97"/>
  <sheetViews>
    <sheetView topLeftCell="A62" zoomScale="85" zoomScaleNormal="85" zoomScalePageLayoutView="85" workbookViewId="0">
      <selection activeCell="A86" sqref="A86"/>
    </sheetView>
  </sheetViews>
  <sheetFormatPr baseColWidth="10" defaultColWidth="8.83203125" defaultRowHeight="13" x14ac:dyDescent="0.15"/>
  <cols>
    <col min="1" max="1" width="33.33203125" bestFit="1" customWidth="1"/>
    <col min="2" max="2" width="10.5" bestFit="1" customWidth="1"/>
  </cols>
  <sheetData>
    <row r="1" spans="1:3" x14ac:dyDescent="0.15">
      <c r="A1" t="s">
        <v>156</v>
      </c>
      <c r="B1" t="s">
        <v>807</v>
      </c>
      <c r="C1" t="s">
        <v>811</v>
      </c>
    </row>
    <row r="2" spans="1:3" x14ac:dyDescent="0.15">
      <c r="A2" t="s">
        <v>0</v>
      </c>
      <c r="B2" s="17">
        <f>IFERROR(SUMIFS('Full List'!B:B,'Full List'!A:A,AZ!$A2,'Full List'!E:E,AZ!$A$1),"")</f>
        <v>4677730</v>
      </c>
      <c r="C2" s="18">
        <f t="shared" ref="C2:C33" si="0">IFERROR(B2/$B$2,"")</f>
        <v>1</v>
      </c>
    </row>
    <row r="3" spans="1:3" x14ac:dyDescent="0.15">
      <c r="A3" t="s">
        <v>3</v>
      </c>
      <c r="B3" s="17">
        <f>IFERROR(SUMIFS('Full List'!B:B,'Full List'!A:A,AZ!$A3,'Full List'!E:E,AZ!$A$1),"")</f>
        <v>68016</v>
      </c>
      <c r="C3" s="18">
        <f t="shared" si="0"/>
        <v>1.4540386041947698E-2</v>
      </c>
    </row>
    <row r="4" spans="1:3" x14ac:dyDescent="0.15">
      <c r="A4" t="s">
        <v>4</v>
      </c>
      <c r="B4" s="17">
        <f>IFERROR(SUMIFS('Full List'!B:B,'Full List'!A:A,AZ!$A4,'Full List'!E:E,AZ!$A$1),"")</f>
        <v>47810</v>
      </c>
      <c r="C4" s="18">
        <f t="shared" si="0"/>
        <v>1.0220769475792745E-2</v>
      </c>
    </row>
    <row r="5" spans="1:3" x14ac:dyDescent="0.15">
      <c r="A5" t="s">
        <v>5</v>
      </c>
      <c r="B5" s="17">
        <f>IFERROR(SUMIFS('Full List'!B:B,'Full List'!A:A,AZ!$A5,'Full List'!E:E,AZ!$A$1),"")</f>
        <v>112523</v>
      </c>
      <c r="C5" s="18">
        <f t="shared" si="0"/>
        <v>2.4055043792608807E-2</v>
      </c>
    </row>
    <row r="6" spans="1:3" x14ac:dyDescent="0.15">
      <c r="A6" t="s">
        <v>6</v>
      </c>
      <c r="B6" s="17">
        <f>IFERROR(SUMIFS('Full List'!B:B,'Full List'!A:A,AZ!$A6,'Full List'!E:E,AZ!$A$1),"")</f>
        <v>354831</v>
      </c>
      <c r="C6" s="18">
        <f t="shared" si="0"/>
        <v>7.5855382845953057E-2</v>
      </c>
    </row>
    <row r="7" spans="1:3" x14ac:dyDescent="0.15">
      <c r="A7" t="s">
        <v>7</v>
      </c>
      <c r="B7" s="17">
        <f>IFERROR(SUMIFS('Full List'!B:B,'Full List'!A:A,AZ!$A7,'Full List'!E:E,AZ!$A$1),"")</f>
        <v>727338</v>
      </c>
      <c r="C7" s="18">
        <f t="shared" si="0"/>
        <v>0.15548952162694299</v>
      </c>
    </row>
    <row r="8" spans="1:3" x14ac:dyDescent="0.15">
      <c r="A8" t="s">
        <v>8</v>
      </c>
      <c r="B8" s="17">
        <f>IFERROR(SUMIFS('Full List'!B:B,'Full List'!A:A,AZ!$A8,'Full List'!E:E,AZ!$A$1),"")</f>
        <v>31693</v>
      </c>
      <c r="C8" s="18">
        <f t="shared" si="0"/>
        <v>6.7752948545555212E-3</v>
      </c>
    </row>
    <row r="9" spans="1:3" x14ac:dyDescent="0.15">
      <c r="A9" t="s">
        <v>9</v>
      </c>
      <c r="B9" s="17">
        <f>IFERROR(SUMIFS('Full List'!B:B,'Full List'!A:A,AZ!$A9,'Full List'!E:E,AZ!$A$1),"")</f>
        <v>155024</v>
      </c>
      <c r="C9" s="18">
        <f t="shared" si="0"/>
        <v>3.3140861058675898E-2</v>
      </c>
    </row>
    <row r="10" spans="1:3" x14ac:dyDescent="0.15">
      <c r="A10" t="s">
        <v>10</v>
      </c>
      <c r="B10" s="17">
        <f>IFERROR(SUMIFS('Full List'!B:B,'Full List'!A:A,AZ!$A10,'Full List'!E:E,AZ!$A$1),"")</f>
        <v>163349</v>
      </c>
      <c r="C10" s="18">
        <f t="shared" si="0"/>
        <v>3.4920570447631652E-2</v>
      </c>
    </row>
    <row r="11" spans="1:3" x14ac:dyDescent="0.15">
      <c r="A11" t="s">
        <v>11</v>
      </c>
      <c r="B11" s="17">
        <f>IFERROR(SUMIFS('Full List'!B:B,'Full List'!A:A,AZ!$A11,'Full List'!E:E,AZ!$A$1),"")</f>
        <v>290205</v>
      </c>
      <c r="C11" s="18">
        <f t="shared" si="0"/>
        <v>6.2039707293922476E-2</v>
      </c>
    </row>
    <row r="12" spans="1:3" x14ac:dyDescent="0.15">
      <c r="A12" t="s">
        <v>12</v>
      </c>
      <c r="B12" s="17">
        <f>IFERROR(SUMIFS('Full List'!B:B,'Full List'!A:A,AZ!$A12,'Full List'!E:E,AZ!$A$1),"")</f>
        <v>72790</v>
      </c>
      <c r="C12" s="18">
        <f t="shared" si="0"/>
        <v>1.5560966537187909E-2</v>
      </c>
    </row>
    <row r="13" spans="1:3" x14ac:dyDescent="0.15">
      <c r="A13" t="s">
        <v>13</v>
      </c>
      <c r="B13" s="17">
        <f>IFERROR(SUMIFS('Full List'!B:B,'Full List'!A:A,AZ!$A13,'Full List'!E:E,AZ!$A$1),"")</f>
        <v>34052</v>
      </c>
      <c r="C13" s="18">
        <f t="shared" si="0"/>
        <v>7.2795992928193802E-3</v>
      </c>
    </row>
    <row r="14" spans="1:3" x14ac:dyDescent="0.15">
      <c r="A14" t="s">
        <v>14</v>
      </c>
      <c r="B14" s="17">
        <f>IFERROR(SUMIFS('Full List'!B:B,'Full List'!A:A,AZ!$A14,'Full List'!E:E,AZ!$A$1),"")</f>
        <v>336525</v>
      </c>
      <c r="C14" s="18">
        <f t="shared" si="0"/>
        <v>7.1941946200400619E-2</v>
      </c>
    </row>
    <row r="15" spans="1:3" x14ac:dyDescent="0.15">
      <c r="A15" t="s">
        <v>15</v>
      </c>
      <c r="B15" s="17">
        <f>IFERROR(SUMIFS('Full List'!B:B,'Full List'!A:A,AZ!$A15,'Full List'!E:E,AZ!$A$1),"")</f>
        <v>160912</v>
      </c>
      <c r="C15" s="18">
        <f t="shared" si="0"/>
        <v>3.4399591254732534E-2</v>
      </c>
    </row>
    <row r="16" spans="1:3" x14ac:dyDescent="0.15">
      <c r="A16" t="s">
        <v>16</v>
      </c>
      <c r="B16" s="17">
        <f>IFERROR(SUMIFS('Full List'!B:B,'Full List'!A:A,AZ!$A16,'Full List'!E:E,AZ!$A$1),"")</f>
        <v>160487</v>
      </c>
      <c r="C16" s="18">
        <f t="shared" si="0"/>
        <v>3.4308735219860914E-2</v>
      </c>
    </row>
    <row r="17" spans="1:3" x14ac:dyDescent="0.15">
      <c r="A17" t="s">
        <v>17</v>
      </c>
      <c r="B17" s="17">
        <f>IFERROR(SUMIFS('Full List'!B:B,'Full List'!A:A,AZ!$A17,'Full List'!E:E,AZ!$A$1),"")</f>
        <v>137060</v>
      </c>
      <c r="C17" s="18">
        <f t="shared" si="0"/>
        <v>2.9300536798831912E-2</v>
      </c>
    </row>
    <row r="18" spans="1:3" x14ac:dyDescent="0.15">
      <c r="A18" t="s">
        <v>18</v>
      </c>
      <c r="B18" s="17">
        <f>IFERROR(SUMIFS('Full List'!B:B,'Full List'!A:A,AZ!$A18,'Full List'!E:E,AZ!$A$1),"")</f>
        <v>103622</v>
      </c>
      <c r="C18" s="18">
        <f t="shared" si="0"/>
        <v>2.2152197754038819E-2</v>
      </c>
    </row>
    <row r="19" spans="1:3" x14ac:dyDescent="0.15">
      <c r="A19" t="s">
        <v>19</v>
      </c>
      <c r="B19" s="17">
        <f>IFERROR(SUMIFS('Full List'!B:B,'Full List'!A:A,AZ!$A19,'Full List'!E:E,AZ!$A$1),"")</f>
        <v>633853</v>
      </c>
      <c r="C19" s="18">
        <f t="shared" si="0"/>
        <v>0.13550440063877137</v>
      </c>
    </row>
    <row r="20" spans="1:3" x14ac:dyDescent="0.15">
      <c r="A20" t="s">
        <v>20</v>
      </c>
      <c r="B20" s="17">
        <f>IFERROR(SUMIFS('Full List'!B:B,'Full List'!A:A,AZ!$A20,'Full List'!E:E,AZ!$A$1),"")</f>
        <v>118529</v>
      </c>
      <c r="C20" s="18">
        <f t="shared" si="0"/>
        <v>2.5338999899523915E-2</v>
      </c>
    </row>
    <row r="21" spans="1:3" x14ac:dyDescent="0.15">
      <c r="A21" t="s">
        <v>21</v>
      </c>
      <c r="B21" s="17">
        <f>IFERROR(SUMIFS('Full List'!B:B,'Full List'!A:A,AZ!$A21,'Full List'!E:E,AZ!$A$1),"")</f>
        <v>151880</v>
      </c>
      <c r="C21" s="18">
        <f t="shared" si="0"/>
        <v>3.2468740179531524E-2</v>
      </c>
    </row>
    <row r="22" spans="1:3" x14ac:dyDescent="0.15">
      <c r="A22" t="s">
        <v>22</v>
      </c>
      <c r="B22" s="17">
        <f>IFERROR(SUMIFS('Full List'!B:B,'Full List'!A:A,AZ!$A22,'Full List'!E:E,AZ!$A$1),"")</f>
        <v>109847</v>
      </c>
      <c r="C22" s="18">
        <f t="shared" si="0"/>
        <v>2.3482971441276004E-2</v>
      </c>
    </row>
    <row r="23" spans="1:3" x14ac:dyDescent="0.15">
      <c r="A23" t="s">
        <v>23</v>
      </c>
      <c r="B23" s="17">
        <f>IFERROR(SUMIFS('Full List'!B:B,'Full List'!A:A,AZ!$A23,'Full List'!E:E,AZ!$A$1),"")</f>
        <v>71662</v>
      </c>
      <c r="C23" s="18">
        <f t="shared" si="0"/>
        <v>1.5319823931693365E-2</v>
      </c>
    </row>
    <row r="24" spans="1:3" x14ac:dyDescent="0.15">
      <c r="A24" t="s">
        <v>24</v>
      </c>
      <c r="B24" s="17">
        <f>IFERROR(SUMIFS('Full List'!B:B,'Full List'!A:A,AZ!$A24,'Full List'!E:E,AZ!$A$1),"")</f>
        <v>8991</v>
      </c>
      <c r="C24" s="18">
        <f t="shared" si="0"/>
        <v>1.9220861400722146E-3</v>
      </c>
    </row>
    <row r="25" spans="1:3" x14ac:dyDescent="0.15">
      <c r="A25" t="s">
        <v>25</v>
      </c>
      <c r="B25" s="17">
        <f>IFERROR(SUMIFS('Full List'!B:B,'Full List'!A:A,AZ!$A25,'Full List'!E:E,AZ!$A$1),"")</f>
        <v>118579</v>
      </c>
      <c r="C25" s="18">
        <f t="shared" si="0"/>
        <v>2.5349688844802928E-2</v>
      </c>
    </row>
    <row r="26" spans="1:3" x14ac:dyDescent="0.15">
      <c r="A26" t="s">
        <v>26</v>
      </c>
      <c r="B26" s="17">
        <f>IFERROR(SUMIFS('Full List'!B:B,'Full List'!A:A,AZ!$A26,'Full List'!E:E,AZ!$A$1),"")</f>
        <v>66425</v>
      </c>
      <c r="C26" s="18">
        <f t="shared" si="0"/>
        <v>1.4200263803169485E-2</v>
      </c>
    </row>
    <row r="27" spans="1:3" x14ac:dyDescent="0.15">
      <c r="A27" t="s">
        <v>27</v>
      </c>
      <c r="B27" s="17">
        <f>IFERROR(SUMIFS('Full List'!B:B,'Full List'!A:A,AZ!$A27,'Full List'!E:E,AZ!$A$1),"")</f>
        <v>303727</v>
      </c>
      <c r="C27" s="18">
        <f t="shared" si="0"/>
        <v>6.4930425655178897E-2</v>
      </c>
    </row>
    <row r="28" spans="1:3" x14ac:dyDescent="0.15">
      <c r="A28" t="s">
        <v>28</v>
      </c>
      <c r="B28" s="17">
        <f>IFERROR(SUMIFS('Full List'!B:B,'Full List'!A:A,AZ!$A28,'Full List'!E:E,AZ!$A$1),"")</f>
        <v>427976</v>
      </c>
      <c r="C28" s="18">
        <f t="shared" si="0"/>
        <v>9.1492240894621962E-2</v>
      </c>
    </row>
    <row r="29" spans="1:3" x14ac:dyDescent="0.15">
      <c r="A29" t="s">
        <v>29</v>
      </c>
      <c r="B29" s="17">
        <f>IFERROR(SUMIFS('Full List'!B:B,'Full List'!A:A,AZ!$A29,'Full List'!E:E,AZ!$A$1),"")</f>
        <v>1310532</v>
      </c>
      <c r="C29" s="18">
        <f t="shared" si="0"/>
        <v>0.28016409668792341</v>
      </c>
    </row>
    <row r="30" spans="1:3" x14ac:dyDescent="0.15">
      <c r="A30" t="s">
        <v>30</v>
      </c>
      <c r="B30" s="17">
        <f>IFERROR(SUMIFS('Full List'!B:B,'Full List'!A:A,AZ!$A30,'Full List'!E:E,AZ!$A$1),"")</f>
        <v>202721</v>
      </c>
      <c r="C30" s="18">
        <f t="shared" si="0"/>
        <v>4.3337473518138069E-2</v>
      </c>
    </row>
    <row r="31" spans="1:3" x14ac:dyDescent="0.15">
      <c r="A31" t="s">
        <v>31</v>
      </c>
      <c r="B31" s="17">
        <f>IFERROR(SUMIFS('Full List'!B:B,'Full List'!A:A,AZ!$A31,'Full List'!E:E,AZ!$A$1),"")</f>
        <v>47663</v>
      </c>
      <c r="C31" s="18">
        <f t="shared" si="0"/>
        <v>1.0189343976672446E-2</v>
      </c>
    </row>
    <row r="32" spans="1:3" x14ac:dyDescent="0.15">
      <c r="A32" t="s">
        <v>32</v>
      </c>
      <c r="B32" s="17">
        <f>IFERROR(SUMIFS('Full List'!B:B,'Full List'!A:A,AZ!$A32,'Full List'!E:E,AZ!$A$1),"")</f>
        <v>121509</v>
      </c>
      <c r="C32" s="18">
        <f t="shared" si="0"/>
        <v>2.5976061038153121E-2</v>
      </c>
    </row>
    <row r="33" spans="1:3" x14ac:dyDescent="0.15">
      <c r="A33" t="s">
        <v>33</v>
      </c>
      <c r="B33" s="17">
        <f>IFERROR(SUMIFS('Full List'!B:B,'Full List'!A:A,AZ!$A33,'Full List'!E:E,AZ!$A$1),"")</f>
        <v>1258562</v>
      </c>
      <c r="C33" s="18">
        <f t="shared" si="0"/>
        <v>0.26905400696491677</v>
      </c>
    </row>
    <row r="34" spans="1:3" x14ac:dyDescent="0.15">
      <c r="A34" t="s">
        <v>34</v>
      </c>
      <c r="B34" s="17">
        <f>IFERROR(SUMIFS('Full List'!B:B,'Full List'!A:A,AZ!$A34,'Full List'!E:E,AZ!$A$1),"")</f>
        <v>347401</v>
      </c>
      <c r="C34" s="18">
        <f t="shared" ref="C34:C65" si="1">IFERROR(B34/$B$2,"")</f>
        <v>7.4267005577491649E-2</v>
      </c>
    </row>
    <row r="35" spans="1:3" x14ac:dyDescent="0.15">
      <c r="A35" t="s">
        <v>35</v>
      </c>
      <c r="B35" s="17">
        <f>IFERROR(SUMIFS('Full List'!B:B,'Full List'!A:A,AZ!$A35,'Full List'!E:E,AZ!$A$1),"")</f>
        <v>243860</v>
      </c>
      <c r="C35" s="18">
        <f t="shared" si="1"/>
        <v>5.2132123914804832E-2</v>
      </c>
    </row>
    <row r="36" spans="1:3" x14ac:dyDescent="0.15">
      <c r="A36" t="s">
        <v>36</v>
      </c>
      <c r="B36" s="17">
        <f>IFERROR(SUMIFS('Full List'!B:B,'Full List'!A:A,AZ!$A36,'Full List'!E:E,AZ!$A$1),"")</f>
        <v>112732</v>
      </c>
      <c r="C36" s="18">
        <f t="shared" si="1"/>
        <v>2.4099723583875084E-2</v>
      </c>
    </row>
    <row r="37" spans="1:3" x14ac:dyDescent="0.15">
      <c r="A37" t="s">
        <v>37</v>
      </c>
      <c r="B37" s="17">
        <f>IFERROR(SUMIFS('Full List'!B:B,'Full List'!A:A,AZ!$A37,'Full List'!E:E,AZ!$A$1),"")</f>
        <v>103767</v>
      </c>
      <c r="C37" s="18">
        <f t="shared" si="1"/>
        <v>2.2183195695347956E-2</v>
      </c>
    </row>
    <row r="38" spans="1:3" x14ac:dyDescent="0.15">
      <c r="A38" t="s">
        <v>38</v>
      </c>
      <c r="B38" s="17">
        <f>IFERROR(SUMIFS('Full List'!B:B,'Full List'!A:A,AZ!$A38,'Full List'!E:E,AZ!$A$1),"")</f>
        <v>88993</v>
      </c>
      <c r="C38" s="18">
        <f t="shared" si="1"/>
        <v>1.9024826144305038E-2</v>
      </c>
    </row>
    <row r="39" spans="1:3" x14ac:dyDescent="0.15">
      <c r="A39" t="s">
        <v>39</v>
      </c>
      <c r="B39" s="17">
        <f>IFERROR(SUMIFS('Full List'!B:B,'Full List'!A:A,AZ!$A39,'Full List'!E:E,AZ!$A$1),"")</f>
        <v>272034</v>
      </c>
      <c r="C39" s="18">
        <f t="shared" si="1"/>
        <v>5.8155130800623379E-2</v>
      </c>
    </row>
    <row r="40" spans="1:3" x14ac:dyDescent="0.15">
      <c r="A40" t="s">
        <v>40</v>
      </c>
      <c r="B40" s="17">
        <f>IFERROR(SUMIFS('Full List'!B:B,'Full List'!A:A,AZ!$A40,'Full List'!E:E,AZ!$A$1),"")</f>
        <v>66512</v>
      </c>
      <c r="C40" s="18">
        <f t="shared" si="1"/>
        <v>1.421886256795497E-2</v>
      </c>
    </row>
    <row r="41" spans="1:3" x14ac:dyDescent="0.15">
      <c r="A41" t="s">
        <v>41</v>
      </c>
      <c r="B41" s="17">
        <f>IFERROR(SUMIFS('Full List'!B:B,'Full List'!A:A,AZ!$A41,'Full List'!E:E,AZ!$A$1),"")</f>
        <v>124079</v>
      </c>
      <c r="C41" s="18">
        <f t="shared" si="1"/>
        <v>2.6525472825494417E-2</v>
      </c>
    </row>
    <row r="42" spans="1:3" x14ac:dyDescent="0.15">
      <c r="A42" t="s">
        <v>42</v>
      </c>
      <c r="B42" s="17">
        <f>IFERROR(SUMIFS('Full List'!B:B,'Full List'!A:A,AZ!$A42,'Full List'!E:E,AZ!$A$1),"")</f>
        <v>120835</v>
      </c>
      <c r="C42" s="18">
        <f t="shared" si="1"/>
        <v>2.5831974055792017E-2</v>
      </c>
    </row>
    <row r="43" spans="1:3" x14ac:dyDescent="0.15">
      <c r="A43" t="s">
        <v>43</v>
      </c>
      <c r="B43" s="17">
        <f>IFERROR(SUMIFS('Full List'!B:B,'Full List'!A:A,AZ!$A43,'Full List'!E:E,AZ!$A$1),"")</f>
        <v>372660</v>
      </c>
      <c r="C43" s="18">
        <f t="shared" si="1"/>
        <v>7.9666846953543702E-2</v>
      </c>
    </row>
    <row r="44" spans="1:3" x14ac:dyDescent="0.15">
      <c r="A44" t="s">
        <v>44</v>
      </c>
      <c r="B44" s="17">
        <f>IFERROR(SUMIFS('Full List'!B:B,'Full List'!A:A,AZ!$A44,'Full List'!E:E,AZ!$A$1),"")</f>
        <v>649733</v>
      </c>
      <c r="C44" s="18">
        <f t="shared" si="1"/>
        <v>0.13889920965938607</v>
      </c>
    </row>
    <row r="45" spans="1:3" x14ac:dyDescent="0.15">
      <c r="A45" t="s">
        <v>45</v>
      </c>
      <c r="B45" s="17">
        <f>IFERROR(SUMIFS('Full List'!B:B,'Full List'!A:A,AZ!$A45,'Full List'!E:E,AZ!$A$1),"")</f>
        <v>1004925</v>
      </c>
      <c r="C45" s="18">
        <f t="shared" si="1"/>
        <v>0.21483176669025361</v>
      </c>
    </row>
    <row r="46" spans="1:3" x14ac:dyDescent="0.15">
      <c r="A46" t="s">
        <v>46</v>
      </c>
      <c r="B46" s="17">
        <f>IFERROR(SUMIFS('Full List'!B:B,'Full List'!A:A,AZ!$A46,'Full List'!E:E,AZ!$A$1),"")</f>
        <v>1488364</v>
      </c>
      <c r="C46" s="18">
        <f t="shared" si="1"/>
        <v>0.31818082702507411</v>
      </c>
    </row>
    <row r="47" spans="1:3" x14ac:dyDescent="0.15">
      <c r="A47" t="s">
        <v>47</v>
      </c>
      <c r="B47" s="17">
        <f>IFERROR(SUMIFS('Full List'!B:B,'Full List'!A:A,AZ!$A47,'Full List'!E:E,AZ!$A$1),"")</f>
        <v>1952680</v>
      </c>
      <c r="C47" s="18">
        <f t="shared" si="1"/>
        <v>0.41744179334848314</v>
      </c>
    </row>
    <row r="48" spans="1:3" x14ac:dyDescent="0.15">
      <c r="A48" t="s">
        <v>48</v>
      </c>
      <c r="B48" s="17">
        <f>IFERROR(SUMIFS('Full List'!B:B,'Full List'!A:A,AZ!$A48,'Full List'!E:E,AZ!$A$1),"")</f>
        <v>457927</v>
      </c>
      <c r="C48" s="18">
        <f t="shared" si="1"/>
        <v>9.7895132895656656E-2</v>
      </c>
    </row>
    <row r="49" spans="1:3" x14ac:dyDescent="0.15">
      <c r="A49" t="s">
        <v>49</v>
      </c>
      <c r="B49" s="17">
        <f>IFERROR(SUMIFS('Full List'!B:B,'Full List'!A:A,AZ!$A49,'Full List'!E:E,AZ!$A$1),"")</f>
        <v>610507</v>
      </c>
      <c r="C49" s="18">
        <f t="shared" si="1"/>
        <v>0.13051351830909436</v>
      </c>
    </row>
    <row r="50" spans="1:3" x14ac:dyDescent="0.15">
      <c r="A50" t="s">
        <v>50</v>
      </c>
      <c r="B50" s="17">
        <f>IFERROR(SUMIFS('Full List'!B:B,'Full List'!A:A,AZ!$A50,'Full List'!E:E,AZ!$A$1),"")</f>
        <v>787457</v>
      </c>
      <c r="C50" s="18">
        <f t="shared" si="1"/>
        <v>0.16834169565152329</v>
      </c>
    </row>
    <row r="51" spans="1:3" x14ac:dyDescent="0.15">
      <c r="A51" t="s">
        <v>51</v>
      </c>
      <c r="B51" s="17">
        <f>IFERROR(SUMIFS('Full List'!B:B,'Full List'!A:A,AZ!$A51,'Full List'!E:E,AZ!$A$1),"")</f>
        <v>1461814</v>
      </c>
      <c r="C51" s="18">
        <f t="shared" si="1"/>
        <v>0.31250499708191792</v>
      </c>
    </row>
    <row r="52" spans="1:3" x14ac:dyDescent="0.15">
      <c r="A52" t="s">
        <v>52</v>
      </c>
      <c r="B52" s="17">
        <f>IFERROR(SUMIFS('Full List'!B:B,'Full List'!A:A,AZ!$A52,'Full List'!E:E,AZ!$A$1),"")</f>
        <v>577129</v>
      </c>
      <c r="C52" s="18">
        <f t="shared" si="1"/>
        <v>0.12337800599863609</v>
      </c>
    </row>
    <row r="53" spans="1:3" x14ac:dyDescent="0.15">
      <c r="A53" t="s">
        <v>53</v>
      </c>
      <c r="B53" s="17">
        <f>IFERROR(SUMIFS('Full List'!B:B,'Full List'!A:A,AZ!$A53,'Full List'!E:E,AZ!$A$1),"")</f>
        <v>374631</v>
      </c>
      <c r="C53" s="18">
        <f t="shared" si="1"/>
        <v>8.0088205176442426E-2</v>
      </c>
    </row>
    <row r="54" spans="1:3" x14ac:dyDescent="0.15">
      <c r="A54" t="s">
        <v>54</v>
      </c>
      <c r="B54" s="17">
        <f>IFERROR(SUMIFS('Full List'!B:B,'Full List'!A:A,AZ!$A54,'Full List'!E:E,AZ!$A$1),"")</f>
        <v>1641218</v>
      </c>
      <c r="C54" s="18">
        <f t="shared" si="1"/>
        <v>0.35085778785864086</v>
      </c>
    </row>
    <row r="55" spans="1:3" x14ac:dyDescent="0.15">
      <c r="A55" t="s">
        <v>55</v>
      </c>
      <c r="B55" s="17">
        <f>IFERROR(SUMIFS('Full List'!B:B,'Full List'!A:A,AZ!$A55,'Full List'!E:E,AZ!$A$1),"")</f>
        <v>1017650</v>
      </c>
      <c r="C55" s="18">
        <f t="shared" si="1"/>
        <v>0.21755210326376256</v>
      </c>
    </row>
    <row r="56" spans="1:3" x14ac:dyDescent="0.15">
      <c r="A56" t="s">
        <v>56</v>
      </c>
      <c r="B56" s="17">
        <f>IFERROR(SUMIFS('Full List'!B:B,'Full List'!A:A,AZ!$A56,'Full List'!E:E,AZ!$A$1),"")</f>
        <v>979543</v>
      </c>
      <c r="C56" s="18">
        <f t="shared" si="1"/>
        <v>0.20940563050881517</v>
      </c>
    </row>
    <row r="57" spans="1:3" x14ac:dyDescent="0.15">
      <c r="A57" t="s">
        <v>57</v>
      </c>
      <c r="B57" s="17">
        <f>IFERROR(SUMIFS('Full List'!B:B,'Full List'!A:A,AZ!$A57,'Full List'!E:E,AZ!$A$1),"")</f>
        <v>687670</v>
      </c>
      <c r="C57" s="18">
        <f t="shared" si="1"/>
        <v>0.14700934000038479</v>
      </c>
    </row>
    <row r="58" spans="1:3" x14ac:dyDescent="0.15">
      <c r="A58" t="s">
        <v>58</v>
      </c>
      <c r="B58" s="17">
        <f>IFERROR(SUMIFS('Full List'!B:B,'Full List'!A:A,AZ!$A58,'Full List'!E:E,AZ!$A$1),"")</f>
        <v>584382</v>
      </c>
      <c r="C58" s="18">
        <f t="shared" si="1"/>
        <v>0.12492854440080979</v>
      </c>
    </row>
    <row r="59" spans="1:3" x14ac:dyDescent="0.15">
      <c r="A59" t="s">
        <v>59</v>
      </c>
      <c r="B59" s="17">
        <f>IFERROR(SUMIFS('Full List'!B:B,'Full List'!A:A,AZ!$A59,'Full List'!E:E,AZ!$A$1),"")</f>
        <v>2227777</v>
      </c>
      <c r="C59" s="18">
        <f t="shared" si="1"/>
        <v>0.47625172893689888</v>
      </c>
    </row>
    <row r="60" spans="1:3" x14ac:dyDescent="0.15">
      <c r="A60" t="s">
        <v>60</v>
      </c>
      <c r="B60" s="17">
        <f>IFERROR(SUMIFS('Full List'!B:B,'Full List'!A:A,AZ!$A60,'Full List'!E:E,AZ!$A$1),"")</f>
        <v>723641</v>
      </c>
      <c r="C60" s="18">
        <f t="shared" si="1"/>
        <v>0.15469918101301272</v>
      </c>
    </row>
    <row r="61" spans="1:3" x14ac:dyDescent="0.15">
      <c r="A61" t="s">
        <v>61</v>
      </c>
      <c r="B61" s="17">
        <f>IFERROR(SUMIFS('Full List'!B:B,'Full List'!A:A,AZ!$A61,'Full List'!E:E,AZ!$A$1),"")</f>
        <v>737050</v>
      </c>
      <c r="C61" s="18">
        <f t="shared" si="1"/>
        <v>0.15756574235793858</v>
      </c>
    </row>
    <row r="62" spans="1:3" x14ac:dyDescent="0.15">
      <c r="A62" t="s">
        <v>62</v>
      </c>
      <c r="B62" s="17">
        <f>IFERROR(SUMIFS('Full List'!B:B,'Full List'!A:A,AZ!$A62,'Full List'!E:E,AZ!$A$1),"")</f>
        <v>543216</v>
      </c>
      <c r="C62" s="18">
        <f t="shared" si="1"/>
        <v>0.11612812197369236</v>
      </c>
    </row>
    <row r="63" spans="1:3" x14ac:dyDescent="0.15">
      <c r="A63" t="s">
        <v>63</v>
      </c>
      <c r="B63" s="17">
        <f>IFERROR(SUMIFS('Full List'!B:B,'Full List'!A:A,AZ!$A63,'Full List'!E:E,AZ!$A$1),"")</f>
        <v>613503</v>
      </c>
      <c r="C63" s="18">
        <f t="shared" si="1"/>
        <v>0.13115399991021287</v>
      </c>
    </row>
    <row r="64" spans="1:3" x14ac:dyDescent="0.15">
      <c r="A64" t="s">
        <v>64</v>
      </c>
      <c r="B64" s="17">
        <f>IFERROR(SUMIFS('Full List'!B:B,'Full List'!A:A,AZ!$A64,'Full List'!E:E,AZ!$A$1),"")</f>
        <v>306030</v>
      </c>
      <c r="C64" s="18">
        <f t="shared" si="1"/>
        <v>6.5422758474730267E-2</v>
      </c>
    </row>
    <row r="65" spans="1:3" x14ac:dyDescent="0.15">
      <c r="A65" t="s">
        <v>65</v>
      </c>
      <c r="B65" s="17">
        <f>IFERROR(SUMIFS('Full List'!B:B,'Full List'!A:A,AZ!$A65,'Full List'!E:E,AZ!$A$1),"")</f>
        <v>716617</v>
      </c>
      <c r="C65" s="18">
        <f t="shared" si="1"/>
        <v>0.1531975979802169</v>
      </c>
    </row>
    <row r="66" spans="1:3" x14ac:dyDescent="0.15">
      <c r="A66" t="s">
        <v>66</v>
      </c>
      <c r="B66" s="17">
        <f>IFERROR(SUMIFS('Full List'!B:B,'Full List'!A:A,AZ!$A66,'Full List'!E:E,AZ!$A$1),"")</f>
        <v>333378</v>
      </c>
      <c r="C66" s="18">
        <f t="shared" ref="C66:C82" si="2">IFERROR(B66/$B$2,"")</f>
        <v>7.1269183984539505E-2</v>
      </c>
    </row>
    <row r="67" spans="1:3" x14ac:dyDescent="0.15">
      <c r="A67" t="s">
        <v>67</v>
      </c>
      <c r="B67" s="17">
        <f>IFERROR(SUMIFS('Full List'!B:B,'Full List'!A:A,AZ!$A67,'Full List'!E:E,AZ!$A$1),"")</f>
        <v>1097511</v>
      </c>
      <c r="C67" s="18">
        <f t="shared" si="2"/>
        <v>0.23462470044230854</v>
      </c>
    </row>
    <row r="68" spans="1:3" x14ac:dyDescent="0.15">
      <c r="A68" t="s">
        <v>68</v>
      </c>
      <c r="B68" s="17">
        <f>IFERROR(SUMIFS('Full List'!B:B,'Full List'!A:A,AZ!$A68,'Full List'!E:E,AZ!$A$1),"")</f>
        <v>1819260</v>
      </c>
      <c r="C68" s="18">
        <f t="shared" si="2"/>
        <v>0.3889194117659634</v>
      </c>
    </row>
    <row r="69" spans="1:3" x14ac:dyDescent="0.15">
      <c r="A69" t="s">
        <v>69</v>
      </c>
      <c r="B69" s="17">
        <f>IFERROR(SUMIFS('Full List'!B:B,'Full List'!A:A,AZ!$A69,'Full List'!E:E,AZ!$A$1),"")</f>
        <v>2789636</v>
      </c>
      <c r="C69" s="18">
        <f t="shared" si="2"/>
        <v>0.59636533104732425</v>
      </c>
    </row>
    <row r="70" spans="1:3" x14ac:dyDescent="0.15">
      <c r="A70" t="s">
        <v>70</v>
      </c>
      <c r="B70" s="17">
        <f>IFERROR(SUMIFS('Full List'!B:B,'Full List'!A:A,AZ!$A70,'Full List'!E:E,AZ!$A$1),"")</f>
        <v>1236550</v>
      </c>
      <c r="C70" s="18">
        <f t="shared" si="2"/>
        <v>0.26434830569528384</v>
      </c>
    </row>
    <row r="71" spans="1:3" x14ac:dyDescent="0.15">
      <c r="A71" t="s">
        <v>71</v>
      </c>
      <c r="B71" s="17">
        <f>IFERROR(SUMIFS('Full List'!B:B,'Full List'!A:A,AZ!$A71,'Full List'!E:E,AZ!$A$1),"")</f>
        <v>332944</v>
      </c>
      <c r="C71" s="18">
        <f t="shared" si="2"/>
        <v>7.1176403939517671E-2</v>
      </c>
    </row>
    <row r="72" spans="1:3" x14ac:dyDescent="0.15">
      <c r="A72" t="s">
        <v>72</v>
      </c>
      <c r="B72" s="17">
        <f>IFERROR(SUMIFS('Full List'!B:B,'Full List'!A:A,AZ!$A72,'Full List'!E:E,AZ!$A$1),"")</f>
        <v>591310</v>
      </c>
      <c r="C72" s="18">
        <f t="shared" si="2"/>
        <v>0.12640960465866991</v>
      </c>
    </row>
    <row r="73" spans="1:3" x14ac:dyDescent="0.15">
      <c r="A73" t="s">
        <v>73</v>
      </c>
      <c r="B73" s="17">
        <f>IFERROR(SUMIFS('Full List'!B:B,'Full List'!A:A,AZ!$A73,'Full List'!E:E,AZ!$A$1),"")</f>
        <v>2758141</v>
      </c>
      <c r="C73" s="18">
        <f t="shared" si="2"/>
        <v>0.58963236441607358</v>
      </c>
    </row>
    <row r="74" spans="1:3" x14ac:dyDescent="0.15">
      <c r="A74" t="s">
        <v>74</v>
      </c>
      <c r="B74" s="17">
        <f>IFERROR(SUMIFS('Full List'!B:B,'Full List'!A:A,AZ!$A74,'Full List'!E:E,AZ!$A$1),"")</f>
        <v>1190207</v>
      </c>
      <c r="C74" s="18">
        <f t="shared" si="2"/>
        <v>0.25444114987397731</v>
      </c>
    </row>
    <row r="75" spans="1:3" x14ac:dyDescent="0.15">
      <c r="A75" t="s">
        <v>75</v>
      </c>
      <c r="B75" s="17">
        <f>IFERROR(SUMIFS('Full List'!B:B,'Full List'!A:A,AZ!$A75,'Full List'!E:E,AZ!$A$1),"")</f>
        <v>967063</v>
      </c>
      <c r="C75" s="18">
        <f t="shared" si="2"/>
        <v>0.20673766976717339</v>
      </c>
    </row>
    <row r="76" spans="1:3" x14ac:dyDescent="0.15">
      <c r="A76" t="s">
        <v>76</v>
      </c>
      <c r="B76" s="17">
        <f>IFERROR(SUMIFS('Full List'!B:B,'Full List'!A:A,AZ!$A76,'Full List'!E:E,AZ!$A$1),"")</f>
        <v>743480</v>
      </c>
      <c r="C76" s="18">
        <f t="shared" si="2"/>
        <v>0.15894034072081972</v>
      </c>
    </row>
    <row r="77" spans="1:3" x14ac:dyDescent="0.15">
      <c r="A77" t="s">
        <v>77</v>
      </c>
      <c r="B77" s="17">
        <f>IFERROR(SUMIFS('Full List'!B:B,'Full List'!A:A,AZ!$A77,'Full List'!E:E,AZ!$A$1),"")</f>
        <v>721428</v>
      </c>
      <c r="C77" s="18">
        <f t="shared" si="2"/>
        <v>0.15422608829496359</v>
      </c>
    </row>
    <row r="78" spans="1:3" x14ac:dyDescent="0.15">
      <c r="A78" t="s">
        <v>78</v>
      </c>
      <c r="B78" s="17">
        <f>IFERROR(SUMIFS('Full List'!B:B,'Full List'!A:A,AZ!$A78,'Full List'!E:E,AZ!$A$1),"")</f>
        <v>492843</v>
      </c>
      <c r="C78" s="18">
        <f t="shared" si="2"/>
        <v>0.10535943716289739</v>
      </c>
    </row>
    <row r="79" spans="1:3" x14ac:dyDescent="0.15">
      <c r="A79" t="s">
        <v>79</v>
      </c>
      <c r="B79" s="17">
        <f>IFERROR(SUMIFS('Full List'!B:B,'Full List'!A:A,AZ!$A79,'Full List'!E:E,AZ!$A$1),"")</f>
        <v>844387</v>
      </c>
      <c r="C79" s="18">
        <f t="shared" si="2"/>
        <v>0.18051212874620809</v>
      </c>
    </row>
    <row r="80" spans="1:3" x14ac:dyDescent="0.15">
      <c r="A80" t="s">
        <v>80</v>
      </c>
      <c r="B80" s="17">
        <f>IFERROR(SUMIFS('Full List'!B:B,'Full List'!A:A,AZ!$A80,'Full List'!E:E,AZ!$A$1),"")</f>
        <v>612265</v>
      </c>
      <c r="C80" s="18">
        <f t="shared" si="2"/>
        <v>0.13088934162510449</v>
      </c>
    </row>
    <row r="81" spans="1:6" x14ac:dyDescent="0.15">
      <c r="A81" t="s">
        <v>81</v>
      </c>
      <c r="B81" s="17">
        <f>IFERROR(SUMIFS('Full List'!B:B,'Full List'!A:A,AZ!$A81,'Full List'!E:E,AZ!$A$1),"")</f>
        <v>696026</v>
      </c>
      <c r="C81" s="18">
        <f t="shared" si="2"/>
        <v>0.14879567653541353</v>
      </c>
    </row>
    <row r="82" spans="1:6" x14ac:dyDescent="0.15">
      <c r="A82" t="s">
        <v>82</v>
      </c>
      <c r="B82" s="17">
        <f>IFERROR(SUMIFS('Full List'!B:B,'Full List'!A:A,AZ!$A82,'Full List'!E:E,AZ!$A$1),"")</f>
        <v>442557</v>
      </c>
      <c r="C82" s="18">
        <f t="shared" si="2"/>
        <v>9.4609351116887896E-2</v>
      </c>
    </row>
    <row r="83" spans="1:6" x14ac:dyDescent="0.15">
      <c r="B83" s="17"/>
      <c r="C83" s="18"/>
      <c r="D83" t="s">
        <v>812</v>
      </c>
      <c r="E83" t="s">
        <v>860</v>
      </c>
      <c r="F83" t="s">
        <v>1349</v>
      </c>
    </row>
    <row r="84" spans="1:6" x14ac:dyDescent="0.15">
      <c r="A84" t="s">
        <v>1333</v>
      </c>
      <c r="B84" s="17">
        <v>2114980</v>
      </c>
      <c r="C84" s="18">
        <f t="shared" ref="C84:C93" si="3">IFERROR(B84/$B$2,"")</f>
        <v>0.45213810972416107</v>
      </c>
      <c r="D84">
        <v>27</v>
      </c>
      <c r="E84" t="str">
        <f>VLOOKUP(D84,Validation!$A$2:$C$41,3,FALSE)</f>
        <v xml:space="preserve">NFL </v>
      </c>
      <c r="F84" t="s">
        <v>1350</v>
      </c>
    </row>
    <row r="85" spans="1:6" x14ac:dyDescent="0.15">
      <c r="A85" t="s">
        <v>1108</v>
      </c>
      <c r="B85" s="17">
        <v>1871351</v>
      </c>
      <c r="C85" s="18">
        <f t="shared" si="3"/>
        <v>0.40005536873654529</v>
      </c>
      <c r="D85">
        <v>17</v>
      </c>
      <c r="E85" t="str">
        <f>VLOOKUP(D85,Validation!$A$2:$C$41,3,FALSE)</f>
        <v>MLB</v>
      </c>
      <c r="F85" t="s">
        <v>1351</v>
      </c>
    </row>
    <row r="86" spans="1:6" x14ac:dyDescent="0.15">
      <c r="A86" t="s">
        <v>1109</v>
      </c>
      <c r="B86" s="17">
        <v>1512620</v>
      </c>
      <c r="C86" s="18">
        <f t="shared" si="3"/>
        <v>0.32336624815882919</v>
      </c>
      <c r="D86">
        <v>26</v>
      </c>
      <c r="E86" t="str">
        <f>VLOOKUP(D86,Validation!$A$2:$C$41,3,FALSE)</f>
        <v xml:space="preserve">NBA </v>
      </c>
      <c r="F86" t="s">
        <v>1350</v>
      </c>
    </row>
    <row r="87" spans="1:6" x14ac:dyDescent="0.15">
      <c r="A87" t="s">
        <v>1334</v>
      </c>
      <c r="B87" s="17">
        <v>1084776</v>
      </c>
      <c r="C87" s="18">
        <f t="shared" si="3"/>
        <v>0.23190222607974381</v>
      </c>
      <c r="D87">
        <v>5</v>
      </c>
      <c r="E87" t="str">
        <f>VLOOKUP(D87,Validation!$A$2:$C$41,3,FALSE)</f>
        <v>CFB</v>
      </c>
      <c r="F87" t="s">
        <v>1350</v>
      </c>
    </row>
    <row r="88" spans="1:6" x14ac:dyDescent="0.15">
      <c r="A88" t="s">
        <v>1335</v>
      </c>
      <c r="B88" s="17">
        <v>774857</v>
      </c>
      <c r="C88" s="18">
        <f t="shared" si="3"/>
        <v>0.16564808144121188</v>
      </c>
      <c r="D88">
        <v>5</v>
      </c>
      <c r="E88" t="str">
        <f>VLOOKUP(D88,Validation!$A$2:$C$41,3,FALSE)</f>
        <v>CFB</v>
      </c>
      <c r="F88" t="s">
        <v>1350</v>
      </c>
    </row>
    <row r="89" spans="1:6" x14ac:dyDescent="0.15">
      <c r="A89" t="s">
        <v>1336</v>
      </c>
      <c r="B89" s="17">
        <v>708831</v>
      </c>
      <c r="C89" s="18">
        <f t="shared" si="3"/>
        <v>0.15153311542136891</v>
      </c>
      <c r="D89">
        <v>28</v>
      </c>
      <c r="E89" t="str">
        <f>VLOOKUP(D89,Validation!$A$2:$C$41,3,FALSE)</f>
        <v xml:space="preserve">NHL </v>
      </c>
      <c r="F89" t="s">
        <v>1351</v>
      </c>
    </row>
    <row r="90" spans="1:6" x14ac:dyDescent="0.15">
      <c r="A90" t="s">
        <v>876</v>
      </c>
      <c r="B90" s="17">
        <v>650566</v>
      </c>
      <c r="C90" s="18">
        <f t="shared" si="3"/>
        <v>0.13907728748773443</v>
      </c>
      <c r="D90">
        <v>4</v>
      </c>
      <c r="E90" t="str">
        <f>VLOOKUP(D90,Validation!$A$2:$C$41,3,FALSE)</f>
        <v>MCB</v>
      </c>
      <c r="F90" t="s">
        <v>1350</v>
      </c>
    </row>
    <row r="91" spans="1:6" x14ac:dyDescent="0.15">
      <c r="A91" t="s">
        <v>1338</v>
      </c>
      <c r="B91" s="17">
        <v>583259</v>
      </c>
      <c r="C91" s="18">
        <f t="shared" si="3"/>
        <v>0.12468847068984315</v>
      </c>
      <c r="D91">
        <v>4</v>
      </c>
      <c r="E91" t="str">
        <f>VLOOKUP(D91,Validation!$A$2:$C$41,3,FALSE)</f>
        <v>MCB</v>
      </c>
      <c r="F91" t="s">
        <v>1350</v>
      </c>
    </row>
    <row r="92" spans="1:6" x14ac:dyDescent="0.15">
      <c r="A92" t="s">
        <v>1337</v>
      </c>
      <c r="B92" s="17">
        <v>272602</v>
      </c>
      <c r="C92" s="18">
        <f t="shared" si="3"/>
        <v>5.8276557218992976E-2</v>
      </c>
      <c r="D92">
        <v>3</v>
      </c>
      <c r="E92" t="str">
        <f>VLOOKUP(D92,Validation!$A$2:$C$41,3,FALSE)</f>
        <v>CBB</v>
      </c>
      <c r="F92" t="s">
        <v>1350</v>
      </c>
    </row>
    <row r="93" spans="1:6" x14ac:dyDescent="0.15">
      <c r="A93" t="s">
        <v>1352</v>
      </c>
      <c r="B93" s="17">
        <v>150017</v>
      </c>
      <c r="C93" s="18">
        <f t="shared" si="3"/>
        <v>3.2070470078435477E-2</v>
      </c>
      <c r="D93">
        <v>3</v>
      </c>
      <c r="E93" t="str">
        <f>VLOOKUP(D93,Validation!$A$2:$C$41,3,FALSE)</f>
        <v>CBB</v>
      </c>
      <c r="F93" t="s">
        <v>1350</v>
      </c>
    </row>
    <row r="94" spans="1:6" x14ac:dyDescent="0.15">
      <c r="B94" s="17"/>
      <c r="C94" s="18"/>
    </row>
    <row r="95" spans="1:6" x14ac:dyDescent="0.15">
      <c r="B95" s="17"/>
      <c r="C95" s="18"/>
    </row>
    <row r="96" spans="1:6" x14ac:dyDescent="0.15">
      <c r="B96" s="17"/>
      <c r="C96" s="18"/>
    </row>
    <row r="97" spans="2:3" x14ac:dyDescent="0.15">
      <c r="B97" s="17"/>
      <c r="C97" s="18"/>
    </row>
  </sheetData>
  <pageMargins left="0.7" right="0.7" top="0.75" bottom="0.75" header="0.3" footer="0.3"/>
  <pageSetup orientation="portrait" verticalDpi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F122"/>
  <sheetViews>
    <sheetView topLeftCell="A93" zoomScale="85" zoomScaleNormal="85" zoomScalePageLayoutView="85" workbookViewId="0">
      <selection activeCell="A112" sqref="A112"/>
    </sheetView>
  </sheetViews>
  <sheetFormatPr baseColWidth="10" defaultColWidth="8.83203125" defaultRowHeight="13" x14ac:dyDescent="0.15"/>
  <cols>
    <col min="1" max="1" width="33.33203125" bestFit="1" customWidth="1"/>
    <col min="2" max="2" width="10.5" bestFit="1" customWidth="1"/>
  </cols>
  <sheetData>
    <row r="1" spans="1:3" x14ac:dyDescent="0.15">
      <c r="A1" t="s">
        <v>241</v>
      </c>
      <c r="B1" t="s">
        <v>807</v>
      </c>
      <c r="C1" t="s">
        <v>811</v>
      </c>
    </row>
    <row r="2" spans="1:3" x14ac:dyDescent="0.15">
      <c r="A2" t="s">
        <v>0</v>
      </c>
      <c r="B2" s="17">
        <f>IFERROR(SUMIFS('Full List'!B:B,'Full List'!A:A,CA!$A2,'Full List'!E:E,CA!$A$1),"")</f>
        <v>26980503</v>
      </c>
      <c r="C2" s="18">
        <f>IFERROR(B2/$B$2,"")</f>
        <v>1</v>
      </c>
    </row>
    <row r="3" spans="1:3" x14ac:dyDescent="0.15">
      <c r="A3" t="s">
        <v>3</v>
      </c>
      <c r="B3" s="17">
        <f>IFERROR(SUMIFS('Full List'!B:B,'Full List'!A:A,CA!$A3,'Full List'!E:E,CA!$A$1),"")</f>
        <v>458359</v>
      </c>
      <c r="C3" s="18">
        <f t="shared" ref="C3:C66" si="0">IFERROR(B3/$B$2,"")</f>
        <v>1.6988526863268634E-2</v>
      </c>
    </row>
    <row r="4" spans="1:3" x14ac:dyDescent="0.15">
      <c r="A4" t="s">
        <v>4</v>
      </c>
      <c r="B4" s="17">
        <f>IFERROR(SUMIFS('Full List'!B:B,'Full List'!A:A,CA!$A4,'Full List'!E:E,CA!$A$1),"")</f>
        <v>231080</v>
      </c>
      <c r="C4" s="18">
        <f t="shared" si="0"/>
        <v>8.5647031858523907E-3</v>
      </c>
    </row>
    <row r="5" spans="1:3" x14ac:dyDescent="0.15">
      <c r="A5" t="s">
        <v>5</v>
      </c>
      <c r="B5" s="17">
        <f>IFERROR(SUMIFS('Full List'!B:B,'Full List'!A:A,CA!$A5,'Full List'!E:E,CA!$A$1),"")</f>
        <v>542705</v>
      </c>
      <c r="C5" s="18">
        <f t="shared" si="0"/>
        <v>2.0114710240946954E-2</v>
      </c>
    </row>
    <row r="6" spans="1:3" x14ac:dyDescent="0.15">
      <c r="A6" t="s">
        <v>6</v>
      </c>
      <c r="B6" s="17">
        <f>IFERROR(SUMIFS('Full List'!B:B,'Full List'!A:A,CA!$A6,'Full List'!E:E,CA!$A$1),"")</f>
        <v>1543739</v>
      </c>
      <c r="C6" s="18">
        <f t="shared" si="0"/>
        <v>5.7216835431125948E-2</v>
      </c>
    </row>
    <row r="7" spans="1:3" x14ac:dyDescent="0.15">
      <c r="A7" t="s">
        <v>7</v>
      </c>
      <c r="B7" s="17">
        <f>IFERROR(SUMIFS('Full List'!B:B,'Full List'!A:A,CA!$A7,'Full List'!E:E,CA!$A$1),"")</f>
        <v>2927140</v>
      </c>
      <c r="C7" s="18">
        <f t="shared" si="0"/>
        <v>0.10849093510228479</v>
      </c>
    </row>
    <row r="8" spans="1:3" x14ac:dyDescent="0.15">
      <c r="A8" t="s">
        <v>8</v>
      </c>
      <c r="B8" s="17">
        <f>IFERROR(SUMIFS('Full List'!B:B,'Full List'!A:A,CA!$A8,'Full List'!E:E,CA!$A$1),"")</f>
        <v>139692</v>
      </c>
      <c r="C8" s="18">
        <f t="shared" si="0"/>
        <v>5.17751651998482E-3</v>
      </c>
    </row>
    <row r="9" spans="1:3" x14ac:dyDescent="0.15">
      <c r="A9" t="s">
        <v>9</v>
      </c>
      <c r="B9" s="17">
        <f>IFERROR(SUMIFS('Full List'!B:B,'Full List'!A:A,CA!$A9,'Full List'!E:E,CA!$A$1),"")</f>
        <v>1439053</v>
      </c>
      <c r="C9" s="18">
        <f t="shared" si="0"/>
        <v>5.3336774336638575E-2</v>
      </c>
    </row>
    <row r="10" spans="1:3" x14ac:dyDescent="0.15">
      <c r="A10" t="s">
        <v>10</v>
      </c>
      <c r="B10" s="17">
        <f>IFERROR(SUMIFS('Full List'!B:B,'Full List'!A:A,CA!$A10,'Full List'!E:E,CA!$A$1),"")</f>
        <v>778947</v>
      </c>
      <c r="C10" s="18">
        <f t="shared" si="0"/>
        <v>2.8870736768695528E-2</v>
      </c>
    </row>
    <row r="11" spans="1:3" x14ac:dyDescent="0.15">
      <c r="A11" t="s">
        <v>11</v>
      </c>
      <c r="B11" s="17">
        <f>IFERROR(SUMIFS('Full List'!B:B,'Full List'!A:A,CA!$A11,'Full List'!E:E,CA!$A$1),"")</f>
        <v>1657810</v>
      </c>
      <c r="C11" s="18">
        <f t="shared" si="0"/>
        <v>6.1444740300060384E-2</v>
      </c>
    </row>
    <row r="12" spans="1:3" x14ac:dyDescent="0.15">
      <c r="A12" t="s">
        <v>12</v>
      </c>
      <c r="B12" s="17">
        <f>IFERROR(SUMIFS('Full List'!B:B,'Full List'!A:A,CA!$A12,'Full List'!E:E,CA!$A$1),"")</f>
        <v>616975</v>
      </c>
      <c r="C12" s="18">
        <f t="shared" si="0"/>
        <v>2.2867438757535396E-2</v>
      </c>
    </row>
    <row r="13" spans="1:3" x14ac:dyDescent="0.15">
      <c r="A13" t="s">
        <v>13</v>
      </c>
      <c r="B13" s="17">
        <f>IFERROR(SUMIFS('Full List'!B:B,'Full List'!A:A,CA!$A13,'Full List'!E:E,CA!$A$1),"")</f>
        <v>338949</v>
      </c>
      <c r="C13" s="18">
        <f t="shared" si="0"/>
        <v>1.2562738359622131E-2</v>
      </c>
    </row>
    <row r="14" spans="1:3" x14ac:dyDescent="0.15">
      <c r="A14" t="s">
        <v>14</v>
      </c>
      <c r="B14" s="17">
        <f>IFERROR(SUMIFS('Full List'!B:B,'Full List'!A:A,CA!$A14,'Full List'!E:E,CA!$A$1),"")</f>
        <v>2095591</v>
      </c>
      <c r="C14" s="18">
        <f t="shared" si="0"/>
        <v>7.7670568261829664E-2</v>
      </c>
    </row>
    <row r="15" spans="1:3" x14ac:dyDescent="0.15">
      <c r="A15" t="s">
        <v>15</v>
      </c>
      <c r="B15" s="17">
        <f>IFERROR(SUMIFS('Full List'!B:B,'Full List'!A:A,CA!$A15,'Full List'!E:E,CA!$A$1),"")</f>
        <v>1008327</v>
      </c>
      <c r="C15" s="18">
        <f t="shared" si="0"/>
        <v>3.7372431492474399E-2</v>
      </c>
    </row>
    <row r="16" spans="1:3" x14ac:dyDescent="0.15">
      <c r="A16" t="s">
        <v>16</v>
      </c>
      <c r="B16" s="17">
        <f>IFERROR(SUMIFS('Full List'!B:B,'Full List'!A:A,CA!$A16,'Full List'!E:E,CA!$A$1),"")</f>
        <v>946311</v>
      </c>
      <c r="C16" s="18">
        <f t="shared" si="0"/>
        <v>3.507388279603238E-2</v>
      </c>
    </row>
    <row r="17" spans="1:3" x14ac:dyDescent="0.15">
      <c r="A17" t="s">
        <v>17</v>
      </c>
      <c r="B17" s="17">
        <f>IFERROR(SUMIFS('Full List'!B:B,'Full List'!A:A,CA!$A17,'Full List'!E:E,CA!$A$1),"")</f>
        <v>582137</v>
      </c>
      <c r="C17" s="18">
        <f t="shared" si="0"/>
        <v>2.1576210050642867E-2</v>
      </c>
    </row>
    <row r="18" spans="1:3" x14ac:dyDescent="0.15">
      <c r="A18" t="s">
        <v>18</v>
      </c>
      <c r="B18" s="17">
        <f>IFERROR(SUMIFS('Full List'!B:B,'Full List'!A:A,CA!$A18,'Full List'!E:E,CA!$A$1),"")</f>
        <v>388754</v>
      </c>
      <c r="C18" s="18">
        <f t="shared" si="0"/>
        <v>1.4408700979370177E-2</v>
      </c>
    </row>
    <row r="19" spans="1:3" x14ac:dyDescent="0.15">
      <c r="A19" t="s">
        <v>19</v>
      </c>
      <c r="B19" s="17">
        <f>IFERROR(SUMIFS('Full List'!B:B,'Full List'!A:A,CA!$A19,'Full List'!E:E,CA!$A$1),"")</f>
        <v>4484261</v>
      </c>
      <c r="C19" s="18">
        <f t="shared" si="0"/>
        <v>0.16620375832133299</v>
      </c>
    </row>
    <row r="20" spans="1:3" x14ac:dyDescent="0.15">
      <c r="A20" t="s">
        <v>20</v>
      </c>
      <c r="B20" s="17">
        <f>IFERROR(SUMIFS('Full List'!B:B,'Full List'!A:A,CA!$A20,'Full List'!E:E,CA!$A$1),"")</f>
        <v>1155090</v>
      </c>
      <c r="C20" s="18">
        <f t="shared" si="0"/>
        <v>4.2812026150883843E-2</v>
      </c>
    </row>
    <row r="21" spans="1:3" x14ac:dyDescent="0.15">
      <c r="A21" t="s">
        <v>21</v>
      </c>
      <c r="B21" s="17">
        <f>IFERROR(SUMIFS('Full List'!B:B,'Full List'!A:A,CA!$A21,'Full List'!E:E,CA!$A$1),"")</f>
        <v>936537</v>
      </c>
      <c r="C21" s="18">
        <f t="shared" si="0"/>
        <v>3.471162120291086E-2</v>
      </c>
    </row>
    <row r="22" spans="1:3" x14ac:dyDescent="0.15">
      <c r="A22" t="s">
        <v>22</v>
      </c>
      <c r="B22" s="17">
        <f>IFERROR(SUMIFS('Full List'!B:B,'Full List'!A:A,CA!$A22,'Full List'!E:E,CA!$A$1),"")</f>
        <v>1864316</v>
      </c>
      <c r="C22" s="18">
        <f t="shared" si="0"/>
        <v>6.9098637634739432E-2</v>
      </c>
    </row>
    <row r="23" spans="1:3" x14ac:dyDescent="0.15">
      <c r="A23" t="s">
        <v>23</v>
      </c>
      <c r="B23" s="17">
        <f>IFERROR(SUMIFS('Full List'!B:B,'Full List'!A:A,CA!$A23,'Full List'!E:E,CA!$A$1),"")</f>
        <v>460623</v>
      </c>
      <c r="C23" s="18">
        <f t="shared" si="0"/>
        <v>1.7072439309230077E-2</v>
      </c>
    </row>
    <row r="24" spans="1:3" x14ac:dyDescent="0.15">
      <c r="A24" t="s">
        <v>24</v>
      </c>
      <c r="B24" s="17">
        <f>IFERROR(SUMIFS('Full List'!B:B,'Full List'!A:A,CA!$A24,'Full List'!E:E,CA!$A$1),"")</f>
        <v>117641</v>
      </c>
      <c r="C24" s="18">
        <f t="shared" si="0"/>
        <v>4.3602226392888228E-3</v>
      </c>
    </row>
    <row r="25" spans="1:3" x14ac:dyDescent="0.15">
      <c r="A25" t="s">
        <v>25</v>
      </c>
      <c r="B25" s="17">
        <f>IFERROR(SUMIFS('Full List'!B:B,'Full List'!A:A,CA!$A25,'Full List'!E:E,CA!$A$1),"")</f>
        <v>575176</v>
      </c>
      <c r="C25" s="18">
        <f t="shared" si="0"/>
        <v>2.1318208930352411E-2</v>
      </c>
    </row>
    <row r="26" spans="1:3" x14ac:dyDescent="0.15">
      <c r="A26" t="s">
        <v>26</v>
      </c>
      <c r="B26" s="17">
        <f>IFERROR(SUMIFS('Full List'!B:B,'Full List'!A:A,CA!$A26,'Full List'!E:E,CA!$A$1),"")</f>
        <v>362089</v>
      </c>
      <c r="C26" s="18">
        <f t="shared" si="0"/>
        <v>1.3420394719846402E-2</v>
      </c>
    </row>
    <row r="27" spans="1:3" x14ac:dyDescent="0.15">
      <c r="A27" t="s">
        <v>27</v>
      </c>
      <c r="B27" s="17">
        <f>IFERROR(SUMIFS('Full List'!B:B,'Full List'!A:A,CA!$A27,'Full List'!E:E,CA!$A$1),"")</f>
        <v>1364495</v>
      </c>
      <c r="C27" s="18">
        <f t="shared" si="0"/>
        <v>5.0573371445298852E-2</v>
      </c>
    </row>
    <row r="28" spans="1:3" x14ac:dyDescent="0.15">
      <c r="A28" t="s">
        <v>28</v>
      </c>
      <c r="B28" s="17">
        <f>IFERROR(SUMIFS('Full List'!B:B,'Full List'!A:A,CA!$A28,'Full List'!E:E,CA!$A$1),"")</f>
        <v>3392603</v>
      </c>
      <c r="C28" s="18">
        <f t="shared" si="0"/>
        <v>0.1257427632094183</v>
      </c>
    </row>
    <row r="29" spans="1:3" x14ac:dyDescent="0.15">
      <c r="A29" t="s">
        <v>29</v>
      </c>
      <c r="B29" s="17">
        <f>IFERROR(SUMIFS('Full List'!B:B,'Full List'!A:A,CA!$A29,'Full List'!E:E,CA!$A$1),"")</f>
        <v>6477447</v>
      </c>
      <c r="C29" s="18">
        <f t="shared" si="0"/>
        <v>0.24007880801925746</v>
      </c>
    </row>
    <row r="30" spans="1:3" x14ac:dyDescent="0.15">
      <c r="A30" t="s">
        <v>30</v>
      </c>
      <c r="B30" s="17">
        <f>IFERROR(SUMIFS('Full List'!B:B,'Full List'!A:A,CA!$A30,'Full List'!E:E,CA!$A$1),"")</f>
        <v>971532</v>
      </c>
      <c r="C30" s="18">
        <f t="shared" si="0"/>
        <v>3.6008668926594885E-2</v>
      </c>
    </row>
    <row r="31" spans="1:3" x14ac:dyDescent="0.15">
      <c r="A31" t="s">
        <v>31</v>
      </c>
      <c r="B31" s="17">
        <f>IFERROR(SUMIFS('Full List'!B:B,'Full List'!A:A,CA!$A31,'Full List'!E:E,CA!$A$1),"")</f>
        <v>293804</v>
      </c>
      <c r="C31" s="18">
        <f t="shared" si="0"/>
        <v>1.0889493053557971E-2</v>
      </c>
    </row>
    <row r="32" spans="1:3" x14ac:dyDescent="0.15">
      <c r="A32" t="s">
        <v>32</v>
      </c>
      <c r="B32" s="17">
        <f>IFERROR(SUMIFS('Full List'!B:B,'Full List'!A:A,CA!$A32,'Full List'!E:E,CA!$A$1),"")</f>
        <v>681974</v>
      </c>
      <c r="C32" s="18">
        <f t="shared" si="0"/>
        <v>2.5276548773015831E-2</v>
      </c>
    </row>
    <row r="33" spans="1:3" x14ac:dyDescent="0.15">
      <c r="A33" t="s">
        <v>33</v>
      </c>
      <c r="B33" s="17">
        <f>IFERROR(SUMIFS('Full List'!B:B,'Full List'!A:A,CA!$A33,'Full List'!E:E,CA!$A$1),"")</f>
        <v>7455079</v>
      </c>
      <c r="C33" s="18">
        <f t="shared" si="0"/>
        <v>0.27631356613329261</v>
      </c>
    </row>
    <row r="34" spans="1:3" x14ac:dyDescent="0.15">
      <c r="A34" t="s">
        <v>34</v>
      </c>
      <c r="B34" s="17">
        <f>IFERROR(SUMIFS('Full List'!B:B,'Full List'!A:A,CA!$A34,'Full List'!E:E,CA!$A$1),"")</f>
        <v>1750169</v>
      </c>
      <c r="C34" s="18">
        <f t="shared" si="0"/>
        <v>6.4867915916912294E-2</v>
      </c>
    </row>
    <row r="35" spans="1:3" x14ac:dyDescent="0.15">
      <c r="A35" t="s">
        <v>35</v>
      </c>
      <c r="B35" s="17">
        <f>IFERROR(SUMIFS('Full List'!B:B,'Full List'!A:A,CA!$A35,'Full List'!E:E,CA!$A$1),"")</f>
        <v>2098165</v>
      </c>
      <c r="C35" s="18">
        <f t="shared" si="0"/>
        <v>7.776597048616922E-2</v>
      </c>
    </row>
    <row r="36" spans="1:3" x14ac:dyDescent="0.15">
      <c r="A36" t="s">
        <v>36</v>
      </c>
      <c r="B36" s="17">
        <f>IFERROR(SUMIFS('Full List'!B:B,'Full List'!A:A,CA!$A36,'Full List'!E:E,CA!$A$1),"")</f>
        <v>531869</v>
      </c>
      <c r="C36" s="18">
        <f t="shared" si="0"/>
        <v>1.9713086890930091E-2</v>
      </c>
    </row>
    <row r="37" spans="1:3" x14ac:dyDescent="0.15">
      <c r="A37" t="s">
        <v>37</v>
      </c>
      <c r="B37" s="17">
        <f>IFERROR(SUMIFS('Full List'!B:B,'Full List'!A:A,CA!$A37,'Full List'!E:E,CA!$A$1),"")</f>
        <v>496635</v>
      </c>
      <c r="C37" s="18">
        <f t="shared" si="0"/>
        <v>1.8407180918754554E-2</v>
      </c>
    </row>
    <row r="38" spans="1:3" x14ac:dyDescent="0.15">
      <c r="A38" t="s">
        <v>38</v>
      </c>
      <c r="B38" s="17">
        <f>IFERROR(SUMIFS('Full List'!B:B,'Full List'!A:A,CA!$A38,'Full List'!E:E,CA!$A$1),"")</f>
        <v>643457</v>
      </c>
      <c r="C38" s="18">
        <f t="shared" si="0"/>
        <v>2.3848962341435961E-2</v>
      </c>
    </row>
    <row r="39" spans="1:3" x14ac:dyDescent="0.15">
      <c r="A39" t="s">
        <v>39</v>
      </c>
      <c r="B39" s="17">
        <f>IFERROR(SUMIFS('Full List'!B:B,'Full List'!A:A,CA!$A39,'Full List'!E:E,CA!$A$1),"")</f>
        <v>1533963</v>
      </c>
      <c r="C39" s="18">
        <f t="shared" si="0"/>
        <v>5.685449971040199E-2</v>
      </c>
    </row>
    <row r="40" spans="1:3" x14ac:dyDescent="0.15">
      <c r="A40" t="s">
        <v>40</v>
      </c>
      <c r="B40" s="17">
        <f>IFERROR(SUMIFS('Full List'!B:B,'Full List'!A:A,CA!$A40,'Full List'!E:E,CA!$A$1),"")</f>
        <v>255782</v>
      </c>
      <c r="C40" s="18">
        <f t="shared" si="0"/>
        <v>9.4802532035818607E-3</v>
      </c>
    </row>
    <row r="41" spans="1:3" x14ac:dyDescent="0.15">
      <c r="A41" t="s">
        <v>41</v>
      </c>
      <c r="B41" s="17">
        <f>IFERROR(SUMIFS('Full List'!B:B,'Full List'!A:A,CA!$A41,'Full List'!E:E,CA!$A$1),"")</f>
        <v>842080</v>
      </c>
      <c r="C41" s="18">
        <f t="shared" si="0"/>
        <v>3.1210685731099974E-2</v>
      </c>
    </row>
    <row r="42" spans="1:3" x14ac:dyDescent="0.15">
      <c r="A42" t="s">
        <v>42</v>
      </c>
      <c r="B42" s="17">
        <f>IFERROR(SUMIFS('Full List'!B:B,'Full List'!A:A,CA!$A42,'Full List'!E:E,CA!$A$1),"")</f>
        <v>701703</v>
      </c>
      <c r="C42" s="18">
        <f t="shared" si="0"/>
        <v>2.6007780507279647E-2</v>
      </c>
    </row>
    <row r="43" spans="1:3" x14ac:dyDescent="0.15">
      <c r="A43" t="s">
        <v>43</v>
      </c>
      <c r="B43" s="17">
        <f>IFERROR(SUMIFS('Full List'!B:B,'Full List'!A:A,CA!$A43,'Full List'!E:E,CA!$A$1),"")</f>
        <v>2416696</v>
      </c>
      <c r="C43" s="18">
        <f t="shared" si="0"/>
        <v>8.9571940152487151E-2</v>
      </c>
    </row>
    <row r="44" spans="1:3" x14ac:dyDescent="0.15">
      <c r="A44" t="s">
        <v>44</v>
      </c>
      <c r="B44" s="17">
        <f>IFERROR(SUMIFS('Full List'!B:B,'Full List'!A:A,CA!$A44,'Full List'!E:E,CA!$A$1),"")</f>
        <v>2288016</v>
      </c>
      <c r="C44" s="18">
        <f t="shared" si="0"/>
        <v>8.4802570211533868E-2</v>
      </c>
    </row>
    <row r="45" spans="1:3" x14ac:dyDescent="0.15">
      <c r="A45" t="s">
        <v>45</v>
      </c>
      <c r="B45" s="17">
        <f>IFERROR(SUMIFS('Full List'!B:B,'Full List'!A:A,CA!$A45,'Full List'!E:E,CA!$A$1),"")</f>
        <v>4092967</v>
      </c>
      <c r="C45" s="18">
        <f t="shared" si="0"/>
        <v>0.15170091528686475</v>
      </c>
    </row>
    <row r="46" spans="1:3" x14ac:dyDescent="0.15">
      <c r="A46" t="s">
        <v>46</v>
      </c>
      <c r="B46" s="17">
        <f>IFERROR(SUMIFS('Full List'!B:B,'Full List'!A:A,CA!$A46,'Full List'!E:E,CA!$A$1),"")</f>
        <v>6563731</v>
      </c>
      <c r="C46" s="18">
        <f t="shared" si="0"/>
        <v>0.2432768210436996</v>
      </c>
    </row>
    <row r="47" spans="1:3" x14ac:dyDescent="0.15">
      <c r="A47" t="s">
        <v>47</v>
      </c>
      <c r="B47" s="17">
        <f>IFERROR(SUMIFS('Full List'!B:B,'Full List'!A:A,CA!$A47,'Full List'!E:E,CA!$A$1),"")</f>
        <v>8734497</v>
      </c>
      <c r="C47" s="18">
        <f t="shared" si="0"/>
        <v>0.32373366056222153</v>
      </c>
    </row>
    <row r="48" spans="1:3" x14ac:dyDescent="0.15">
      <c r="A48" t="s">
        <v>48</v>
      </c>
      <c r="B48" s="17">
        <f>IFERROR(SUMIFS('Full List'!B:B,'Full List'!A:A,CA!$A48,'Full List'!E:E,CA!$A$1),"")</f>
        <v>1619738</v>
      </c>
      <c r="C48" s="18">
        <f t="shared" si="0"/>
        <v>6.0033647260023283E-2</v>
      </c>
    </row>
    <row r="49" spans="1:3" x14ac:dyDescent="0.15">
      <c r="A49" t="s">
        <v>49</v>
      </c>
      <c r="B49" s="17">
        <f>IFERROR(SUMIFS('Full List'!B:B,'Full List'!A:A,CA!$A49,'Full List'!E:E,CA!$A$1),"")</f>
        <v>4960283</v>
      </c>
      <c r="C49" s="18">
        <f t="shared" si="0"/>
        <v>0.1838469431055455</v>
      </c>
    </row>
    <row r="50" spans="1:3" x14ac:dyDescent="0.15">
      <c r="A50" t="s">
        <v>50</v>
      </c>
      <c r="B50" s="17">
        <f>IFERROR(SUMIFS('Full List'!B:B,'Full List'!A:A,CA!$A50,'Full List'!E:E,CA!$A$1),"")</f>
        <v>4694376</v>
      </c>
      <c r="C50" s="18">
        <f t="shared" si="0"/>
        <v>0.173991418914614</v>
      </c>
    </row>
    <row r="51" spans="1:3" x14ac:dyDescent="0.15">
      <c r="A51" t="s">
        <v>51</v>
      </c>
      <c r="B51" s="17">
        <f>IFERROR(SUMIFS('Full List'!B:B,'Full List'!A:A,CA!$A51,'Full List'!E:E,CA!$A$1),"")</f>
        <v>7990718</v>
      </c>
      <c r="C51" s="18">
        <f t="shared" si="0"/>
        <v>0.29616638355482106</v>
      </c>
    </row>
    <row r="52" spans="1:3" x14ac:dyDescent="0.15">
      <c r="A52" t="s">
        <v>52</v>
      </c>
      <c r="B52" s="17">
        <f>IFERROR(SUMIFS('Full List'!B:B,'Full List'!A:A,CA!$A52,'Full List'!E:E,CA!$A$1),"")</f>
        <v>3793934</v>
      </c>
      <c r="C52" s="18">
        <f t="shared" si="0"/>
        <v>0.14061761561672886</v>
      </c>
    </row>
    <row r="53" spans="1:3" x14ac:dyDescent="0.15">
      <c r="A53" t="s">
        <v>53</v>
      </c>
      <c r="B53" s="17">
        <f>IFERROR(SUMIFS('Full List'!B:B,'Full List'!A:A,CA!$A53,'Full List'!E:E,CA!$A$1),"")</f>
        <v>2258584</v>
      </c>
      <c r="C53" s="18">
        <f t="shared" si="0"/>
        <v>8.3711708414035121E-2</v>
      </c>
    </row>
    <row r="54" spans="1:3" x14ac:dyDescent="0.15">
      <c r="A54" t="s">
        <v>54</v>
      </c>
      <c r="B54" s="17">
        <f>IFERROR(SUMIFS('Full List'!B:B,'Full List'!A:A,CA!$A54,'Full List'!E:E,CA!$A$1),"")</f>
        <v>9467937</v>
      </c>
      <c r="C54" s="18">
        <f t="shared" si="0"/>
        <v>0.3509177349288114</v>
      </c>
    </row>
    <row r="55" spans="1:3" x14ac:dyDescent="0.15">
      <c r="A55" t="s">
        <v>55</v>
      </c>
      <c r="B55" s="17">
        <f>IFERROR(SUMIFS('Full List'!B:B,'Full List'!A:A,CA!$A55,'Full List'!E:E,CA!$A$1),"")</f>
        <v>5429135</v>
      </c>
      <c r="C55" s="18">
        <f t="shared" si="0"/>
        <v>0.20122438043501265</v>
      </c>
    </row>
    <row r="56" spans="1:3" x14ac:dyDescent="0.15">
      <c r="A56" t="s">
        <v>56</v>
      </c>
      <c r="B56" s="17">
        <f>IFERROR(SUMIFS('Full List'!B:B,'Full List'!A:A,CA!$A56,'Full List'!E:E,CA!$A$1),"")</f>
        <v>5420198</v>
      </c>
      <c r="C56" s="18">
        <f t="shared" si="0"/>
        <v>0.20089314124351204</v>
      </c>
    </row>
    <row r="57" spans="1:3" x14ac:dyDescent="0.15">
      <c r="A57" t="s">
        <v>57</v>
      </c>
      <c r="B57" s="17">
        <f>IFERROR(SUMIFS('Full List'!B:B,'Full List'!A:A,CA!$A57,'Full List'!E:E,CA!$A$1),"")</f>
        <v>3721690</v>
      </c>
      <c r="C57" s="18">
        <f t="shared" si="0"/>
        <v>0.13793997836141156</v>
      </c>
    </row>
    <row r="58" spans="1:3" x14ac:dyDescent="0.15">
      <c r="A58" t="s">
        <v>58</v>
      </c>
      <c r="B58" s="17">
        <f>IFERROR(SUMIFS('Full List'!B:B,'Full List'!A:A,CA!$A58,'Full List'!E:E,CA!$A$1),"")</f>
        <v>2902239</v>
      </c>
      <c r="C58" s="18">
        <f t="shared" si="0"/>
        <v>0.10756800938811259</v>
      </c>
    </row>
    <row r="59" spans="1:3" x14ac:dyDescent="0.15">
      <c r="A59" t="s">
        <v>59</v>
      </c>
      <c r="B59" s="17">
        <f>IFERROR(SUMIFS('Full List'!B:B,'Full List'!A:A,CA!$A59,'Full List'!E:E,CA!$A$1),"")</f>
        <v>13018907</v>
      </c>
      <c r="C59" s="18">
        <f t="shared" si="0"/>
        <v>0.48253018114599272</v>
      </c>
    </row>
    <row r="60" spans="1:3" x14ac:dyDescent="0.15">
      <c r="A60" t="s">
        <v>60</v>
      </c>
      <c r="B60" s="17">
        <f>IFERROR(SUMIFS('Full List'!B:B,'Full List'!A:A,CA!$A60,'Full List'!E:E,CA!$A$1),"")</f>
        <v>5909897</v>
      </c>
      <c r="C60" s="18">
        <f t="shared" si="0"/>
        <v>0.21904324763700661</v>
      </c>
    </row>
    <row r="61" spans="1:3" x14ac:dyDescent="0.15">
      <c r="A61" t="s">
        <v>61</v>
      </c>
      <c r="B61" s="17">
        <f>IFERROR(SUMIFS('Full List'!B:B,'Full List'!A:A,CA!$A61,'Full List'!E:E,CA!$A$1),"")</f>
        <v>5081256</v>
      </c>
      <c r="C61" s="18">
        <f t="shared" si="0"/>
        <v>0.18833066233049844</v>
      </c>
    </row>
    <row r="62" spans="1:3" x14ac:dyDescent="0.15">
      <c r="A62" t="s">
        <v>62</v>
      </c>
      <c r="B62" s="17">
        <f>IFERROR(SUMIFS('Full List'!B:B,'Full List'!A:A,CA!$A62,'Full List'!E:E,CA!$A$1),"")</f>
        <v>5251589</v>
      </c>
      <c r="C62" s="18">
        <f t="shared" si="0"/>
        <v>0.19464385078365662</v>
      </c>
    </row>
    <row r="63" spans="1:3" x14ac:dyDescent="0.15">
      <c r="A63" t="s">
        <v>63</v>
      </c>
      <c r="B63" s="17">
        <f>IFERROR(SUMIFS('Full List'!B:B,'Full List'!A:A,CA!$A63,'Full List'!E:E,CA!$A$1),"")</f>
        <v>3358091</v>
      </c>
      <c r="C63" s="18">
        <f t="shared" si="0"/>
        <v>0.12446361730172339</v>
      </c>
    </row>
    <row r="64" spans="1:3" x14ac:dyDescent="0.15">
      <c r="A64" t="s">
        <v>64</v>
      </c>
      <c r="B64" s="17">
        <f>IFERROR(SUMIFS('Full List'!B:B,'Full List'!A:A,CA!$A64,'Full List'!E:E,CA!$A$1),"")</f>
        <v>1203608</v>
      </c>
      <c r="C64" s="18">
        <f t="shared" si="0"/>
        <v>4.461028765846211E-2</v>
      </c>
    </row>
    <row r="65" spans="1:3" x14ac:dyDescent="0.15">
      <c r="A65" t="s">
        <v>65</v>
      </c>
      <c r="B65" s="17">
        <f>IFERROR(SUMIFS('Full List'!B:B,'Full List'!A:A,CA!$A65,'Full List'!E:E,CA!$A$1),"")</f>
        <v>3361620</v>
      </c>
      <c r="C65" s="18">
        <f t="shared" si="0"/>
        <v>0.12459441545622778</v>
      </c>
    </row>
    <row r="66" spans="1:3" x14ac:dyDescent="0.15">
      <c r="A66" t="s">
        <v>66</v>
      </c>
      <c r="B66" s="17">
        <f>IFERROR(SUMIFS('Full List'!B:B,'Full List'!A:A,CA!$A66,'Full List'!E:E,CA!$A$1),"")</f>
        <v>2340389</v>
      </c>
      <c r="C66" s="18">
        <f t="shared" si="0"/>
        <v>8.6743712672814138E-2</v>
      </c>
    </row>
    <row r="67" spans="1:3" x14ac:dyDescent="0.15">
      <c r="A67" t="s">
        <v>67</v>
      </c>
      <c r="B67" s="17">
        <f>IFERROR(SUMIFS('Full List'!B:B,'Full List'!A:A,CA!$A67,'Full List'!E:E,CA!$A$1),"")</f>
        <v>5477598</v>
      </c>
      <c r="C67" s="18">
        <f t="shared" ref="C67:C82" si="1">IFERROR(B67/$B$2,"")</f>
        <v>0.20302060343352382</v>
      </c>
    </row>
    <row r="68" spans="1:3" x14ac:dyDescent="0.15">
      <c r="A68" t="s">
        <v>68</v>
      </c>
      <c r="B68" s="17">
        <f>IFERROR(SUMIFS('Full List'!B:B,'Full List'!A:A,CA!$A68,'Full List'!E:E,CA!$A$1),"")</f>
        <v>10381406</v>
      </c>
      <c r="C68" s="18">
        <f t="shared" si="1"/>
        <v>0.3847743683651858</v>
      </c>
    </row>
    <row r="69" spans="1:3" x14ac:dyDescent="0.15">
      <c r="A69" t="s">
        <v>69</v>
      </c>
      <c r="B69" s="17">
        <f>IFERROR(SUMIFS('Full List'!B:B,'Full List'!A:A,CA!$A69,'Full List'!E:E,CA!$A$1),"")</f>
        <v>14926809</v>
      </c>
      <c r="C69" s="18">
        <f t="shared" si="1"/>
        <v>0.55324428162069472</v>
      </c>
    </row>
    <row r="70" spans="1:3" x14ac:dyDescent="0.15">
      <c r="A70" t="s">
        <v>70</v>
      </c>
      <c r="B70" s="17">
        <f>IFERROR(SUMIFS('Full List'!B:B,'Full List'!A:A,CA!$A70,'Full List'!E:E,CA!$A$1),"")</f>
        <v>5851073</v>
      </c>
      <c r="C70" s="18">
        <f t="shared" si="1"/>
        <v>0.21686300659405794</v>
      </c>
    </row>
    <row r="71" spans="1:3" x14ac:dyDescent="0.15">
      <c r="A71" t="s">
        <v>71</v>
      </c>
      <c r="B71" s="17">
        <f>IFERROR(SUMIFS('Full List'!B:B,'Full List'!A:A,CA!$A71,'Full List'!E:E,CA!$A$1),"")</f>
        <v>1729858</v>
      </c>
      <c r="C71" s="18">
        <f t="shared" si="1"/>
        <v>6.411511305033861E-2</v>
      </c>
    </row>
    <row r="72" spans="1:3" x14ac:dyDescent="0.15">
      <c r="A72" t="s">
        <v>72</v>
      </c>
      <c r="B72" s="17">
        <f>IFERROR(SUMIFS('Full List'!B:B,'Full List'!A:A,CA!$A72,'Full List'!E:E,CA!$A$1),"")</f>
        <v>3163746</v>
      </c>
      <c r="C72" s="18">
        <f t="shared" si="1"/>
        <v>0.11726045285367734</v>
      </c>
    </row>
    <row r="73" spans="1:3" x14ac:dyDescent="0.15">
      <c r="A73" t="s">
        <v>73</v>
      </c>
      <c r="B73" s="17">
        <f>IFERROR(SUMIFS('Full List'!B:B,'Full List'!A:A,CA!$A73,'Full List'!E:E,CA!$A$1),"")</f>
        <v>16154052</v>
      </c>
      <c r="C73" s="18">
        <f t="shared" si="1"/>
        <v>0.59873057222098491</v>
      </c>
    </row>
    <row r="74" spans="1:3" x14ac:dyDescent="0.15">
      <c r="A74" t="s">
        <v>74</v>
      </c>
      <c r="B74" s="17">
        <f>IFERROR(SUMIFS('Full List'!B:B,'Full List'!A:A,CA!$A74,'Full List'!E:E,CA!$A$1),"")</f>
        <v>5959030</v>
      </c>
      <c r="C74" s="18">
        <f t="shared" si="1"/>
        <v>0.22086430338233501</v>
      </c>
    </row>
    <row r="75" spans="1:3" x14ac:dyDescent="0.15">
      <c r="A75" t="s">
        <v>75</v>
      </c>
      <c r="B75" s="17">
        <f>IFERROR(SUMIFS('Full List'!B:B,'Full List'!A:A,CA!$A75,'Full List'!E:E,CA!$A$1),"")</f>
        <v>6800153</v>
      </c>
      <c r="C75" s="18">
        <f t="shared" si="1"/>
        <v>0.25203951905566774</v>
      </c>
    </row>
    <row r="76" spans="1:3" x14ac:dyDescent="0.15">
      <c r="A76" t="s">
        <v>76</v>
      </c>
      <c r="B76" s="17">
        <f>IFERROR(SUMIFS('Full List'!B:B,'Full List'!A:A,CA!$A76,'Full List'!E:E,CA!$A$1),"")</f>
        <v>3176548</v>
      </c>
      <c r="C76" s="18">
        <f t="shared" si="1"/>
        <v>0.11773494363689217</v>
      </c>
    </row>
    <row r="77" spans="1:3" x14ac:dyDescent="0.15">
      <c r="A77" t="s">
        <v>77</v>
      </c>
      <c r="B77" s="17">
        <f>IFERROR(SUMIFS('Full List'!B:B,'Full List'!A:A,CA!$A77,'Full List'!E:E,CA!$A$1),"")</f>
        <v>3018323</v>
      </c>
      <c r="C77" s="18">
        <f t="shared" si="1"/>
        <v>0.11187052368890231</v>
      </c>
    </row>
    <row r="78" spans="1:3" x14ac:dyDescent="0.15">
      <c r="A78" t="s">
        <v>78</v>
      </c>
      <c r="B78" s="17">
        <f>IFERROR(SUMIFS('Full List'!B:B,'Full List'!A:A,CA!$A78,'Full List'!E:E,CA!$A$1),"")</f>
        <v>3297712</v>
      </c>
      <c r="C78" s="18">
        <f t="shared" si="1"/>
        <v>0.12222574204787806</v>
      </c>
    </row>
    <row r="79" spans="1:3" x14ac:dyDescent="0.15">
      <c r="A79" t="s">
        <v>79</v>
      </c>
      <c r="B79" s="17">
        <f>IFERROR(SUMIFS('Full List'!B:B,'Full List'!A:A,CA!$A79,'Full List'!E:E,CA!$A$1),"")</f>
        <v>4872902</v>
      </c>
      <c r="C79" s="18">
        <f t="shared" si="1"/>
        <v>0.18060827109116534</v>
      </c>
    </row>
    <row r="80" spans="1:3" x14ac:dyDescent="0.15">
      <c r="A80" t="s">
        <v>80</v>
      </c>
      <c r="B80" s="17">
        <f>IFERROR(SUMIFS('Full List'!B:B,'Full List'!A:A,CA!$A80,'Full List'!E:E,CA!$A$1),"")</f>
        <v>2890117</v>
      </c>
      <c r="C80" s="18">
        <f t="shared" si="1"/>
        <v>0.10711872198972718</v>
      </c>
    </row>
    <row r="81" spans="1:6" x14ac:dyDescent="0.15">
      <c r="A81" t="s">
        <v>81</v>
      </c>
      <c r="B81" s="17">
        <f>IFERROR(SUMIFS('Full List'!B:B,'Full List'!A:A,CA!$A81,'Full List'!E:E,CA!$A$1),"")</f>
        <v>4967382</v>
      </c>
      <c r="C81" s="18">
        <f t="shared" si="1"/>
        <v>0.18411005903040428</v>
      </c>
    </row>
    <row r="82" spans="1:6" x14ac:dyDescent="0.15">
      <c r="A82" t="s">
        <v>82</v>
      </c>
      <c r="B82" s="17">
        <f>IFERROR(SUMIFS('Full List'!B:B,'Full List'!A:A,CA!$A82,'Full List'!E:E,CA!$A$1),"")</f>
        <v>2803058</v>
      </c>
      <c r="C82" s="18">
        <f t="shared" si="1"/>
        <v>0.10389198451933976</v>
      </c>
    </row>
    <row r="83" spans="1:6" x14ac:dyDescent="0.15">
      <c r="B83" s="17"/>
      <c r="C83" s="18"/>
      <c r="D83" t="s">
        <v>812</v>
      </c>
      <c r="E83" t="s">
        <v>860</v>
      </c>
      <c r="F83" t="s">
        <v>1349</v>
      </c>
    </row>
    <row r="84" spans="1:6" x14ac:dyDescent="0.15">
      <c r="A84" t="s">
        <v>894</v>
      </c>
      <c r="B84" s="17">
        <v>6403543</v>
      </c>
      <c r="C84" s="18">
        <f t="shared" ref="C84:C122" si="2">IFERROR(B84/$B$2,"")</f>
        <v>0.23733964485391543</v>
      </c>
      <c r="D84">
        <v>26</v>
      </c>
      <c r="E84" t="str">
        <f>VLOOKUP(D84,Validation!$A$2:$C$41,3,FALSE)</f>
        <v xml:space="preserve">NBA </v>
      </c>
      <c r="F84" t="s">
        <v>1350</v>
      </c>
    </row>
    <row r="85" spans="1:6" x14ac:dyDescent="0.15">
      <c r="A85" t="s">
        <v>896</v>
      </c>
      <c r="B85" s="17">
        <v>5087719</v>
      </c>
      <c r="C85" s="18">
        <f t="shared" si="2"/>
        <v>0.18857020567778146</v>
      </c>
      <c r="D85">
        <v>27</v>
      </c>
      <c r="E85" t="str">
        <f>VLOOKUP(D85,Validation!$A$2:$C$41,3,FALSE)</f>
        <v xml:space="preserve">NFL </v>
      </c>
      <c r="F85" t="s">
        <v>1351</v>
      </c>
    </row>
    <row r="86" spans="1:6" x14ac:dyDescent="0.15">
      <c r="A86" t="s">
        <v>892</v>
      </c>
      <c r="B86" s="17">
        <v>5035822</v>
      </c>
      <c r="C86" s="18">
        <f t="shared" si="2"/>
        <v>0.18664670558588178</v>
      </c>
      <c r="D86">
        <v>17</v>
      </c>
      <c r="E86" t="str">
        <f>VLOOKUP(D86,Validation!$A$2:$C$41,3,FALSE)</f>
        <v>MLB</v>
      </c>
      <c r="F86" t="s">
        <v>1350</v>
      </c>
    </row>
    <row r="87" spans="1:6" x14ac:dyDescent="0.15">
      <c r="A87" t="s">
        <v>902</v>
      </c>
      <c r="B87" s="17">
        <v>4813209</v>
      </c>
      <c r="C87" s="18">
        <f t="shared" si="2"/>
        <v>0.17839582160495673</v>
      </c>
      <c r="D87">
        <v>27</v>
      </c>
      <c r="E87" t="str">
        <f>VLOOKUP(D87,Validation!$A$2:$C$41,3,FALSE)</f>
        <v xml:space="preserve">NFL </v>
      </c>
      <c r="F87" s="17" t="s">
        <v>1351</v>
      </c>
    </row>
    <row r="88" spans="1:6" x14ac:dyDescent="0.15">
      <c r="A88" t="s">
        <v>903</v>
      </c>
      <c r="B88" s="17">
        <v>4793531</v>
      </c>
      <c r="C88" s="18">
        <f t="shared" si="2"/>
        <v>0.17766648012455513</v>
      </c>
      <c r="D88">
        <v>17</v>
      </c>
      <c r="E88" t="str">
        <f>VLOOKUP(D88,Validation!$A$2:$C$41,3,FALSE)</f>
        <v>MLB</v>
      </c>
      <c r="F88" t="s">
        <v>1350</v>
      </c>
    </row>
    <row r="89" spans="1:6" x14ac:dyDescent="0.15">
      <c r="A89" t="s">
        <v>890</v>
      </c>
      <c r="B89" s="17">
        <v>4043490</v>
      </c>
      <c r="C89" s="18">
        <f t="shared" si="2"/>
        <v>0.14986710959391678</v>
      </c>
      <c r="D89">
        <v>17</v>
      </c>
      <c r="E89" t="str">
        <f>VLOOKUP(D89,Validation!$A$2:$C$41,3,FALSE)</f>
        <v>MLB</v>
      </c>
      <c r="F89" t="s">
        <v>1351</v>
      </c>
    </row>
    <row r="90" spans="1:6" x14ac:dyDescent="0.15">
      <c r="A90" t="s">
        <v>898</v>
      </c>
      <c r="B90" s="17">
        <v>3640447</v>
      </c>
      <c r="C90" s="18">
        <f t="shared" si="2"/>
        <v>0.13492880395891804</v>
      </c>
      <c r="D90">
        <v>27</v>
      </c>
      <c r="E90" t="str">
        <f>VLOOKUP(D90,Validation!$A$2:$C$41,3,FALSE)</f>
        <v xml:space="preserve">NFL </v>
      </c>
      <c r="F90" t="s">
        <v>1351</v>
      </c>
    </row>
    <row r="91" spans="1:6" x14ac:dyDescent="0.15">
      <c r="A91" t="s">
        <v>891</v>
      </c>
      <c r="B91" s="17">
        <v>3367981</v>
      </c>
      <c r="C91" s="18">
        <f t="shared" si="2"/>
        <v>0.12483017829578641</v>
      </c>
      <c r="D91">
        <v>26</v>
      </c>
      <c r="E91" t="str">
        <f>VLOOKUP(D91,Validation!$A$2:$C$41,3,FALSE)</f>
        <v xml:space="preserve">NBA </v>
      </c>
    </row>
    <row r="92" spans="1:6" x14ac:dyDescent="0.15">
      <c r="A92" t="s">
        <v>895</v>
      </c>
      <c r="B92" s="17">
        <v>2854798</v>
      </c>
      <c r="C92" s="18">
        <f t="shared" si="2"/>
        <v>0.10580966559444796</v>
      </c>
      <c r="D92">
        <v>17</v>
      </c>
      <c r="E92" t="str">
        <f>VLOOKUP(D92,Validation!$A$2:$C$41,3,FALSE)</f>
        <v>MLB</v>
      </c>
      <c r="F92" t="s">
        <v>1351</v>
      </c>
    </row>
    <row r="93" spans="1:6" x14ac:dyDescent="0.15">
      <c r="A93" t="s">
        <v>913</v>
      </c>
      <c r="B93" s="17">
        <v>2626233</v>
      </c>
      <c r="C93" s="18">
        <f t="shared" si="2"/>
        <v>9.7338177868663167E-2</v>
      </c>
      <c r="D93">
        <v>5</v>
      </c>
      <c r="E93" t="str">
        <f>VLOOKUP(D93,Validation!$A$2:$C$41,3,FALSE)</f>
        <v>CFB</v>
      </c>
      <c r="F93" t="s">
        <v>1350</v>
      </c>
    </row>
    <row r="94" spans="1:6" x14ac:dyDescent="0.15">
      <c r="A94" t="s">
        <v>911</v>
      </c>
      <c r="B94" s="17">
        <v>2139699</v>
      </c>
      <c r="C94" s="18">
        <f t="shared" si="2"/>
        <v>7.930537840602897E-2</v>
      </c>
      <c r="D94">
        <v>5</v>
      </c>
      <c r="E94" t="str">
        <f>VLOOKUP(D94,Validation!$A$2:$C$41,3,FALSE)</f>
        <v>CFB</v>
      </c>
      <c r="F94" t="s">
        <v>1350</v>
      </c>
    </row>
    <row r="95" spans="1:6" x14ac:dyDescent="0.15">
      <c r="A95" t="s">
        <v>893</v>
      </c>
      <c r="B95" s="17">
        <v>2065769</v>
      </c>
      <c r="C95" s="18">
        <f t="shared" si="2"/>
        <v>7.6565251581855231E-2</v>
      </c>
      <c r="D95">
        <v>28</v>
      </c>
      <c r="E95" t="str">
        <f>VLOOKUP(D95,Validation!$A$2:$C$41,3,FALSE)</f>
        <v xml:space="preserve">NHL </v>
      </c>
      <c r="F95" t="s">
        <v>1350</v>
      </c>
    </row>
    <row r="96" spans="1:6" x14ac:dyDescent="0.15">
      <c r="A96" t="s">
        <v>899</v>
      </c>
      <c r="B96" s="17">
        <v>1903566</v>
      </c>
      <c r="C96" s="18">
        <f t="shared" si="2"/>
        <v>7.0553391832613346E-2</v>
      </c>
      <c r="D96">
        <v>17</v>
      </c>
      <c r="E96" t="str">
        <f>VLOOKUP(D96,Validation!$A$2:$C$41,3,FALSE)</f>
        <v>MLB</v>
      </c>
      <c r="F96" t="s">
        <v>1350</v>
      </c>
    </row>
    <row r="97" spans="1:6" x14ac:dyDescent="0.15">
      <c r="A97" t="s">
        <v>889</v>
      </c>
      <c r="B97" s="17">
        <v>1661102</v>
      </c>
      <c r="C97" s="18">
        <f t="shared" si="2"/>
        <v>6.1566754333675693E-2</v>
      </c>
      <c r="D97">
        <v>18</v>
      </c>
      <c r="E97" t="str">
        <f>VLOOKUP(D97,Validation!$A$2:$C$41,3,FALSE)</f>
        <v>MLS</v>
      </c>
    </row>
    <row r="98" spans="1:6" x14ac:dyDescent="0.15">
      <c r="A98" t="s">
        <v>910</v>
      </c>
      <c r="B98" s="17">
        <v>1472686</v>
      </c>
      <c r="C98" s="18">
        <f t="shared" si="2"/>
        <v>5.4583341163061343E-2</v>
      </c>
      <c r="D98">
        <v>4</v>
      </c>
      <c r="E98" t="str">
        <f>VLOOKUP(D98,Validation!$A$2:$C$41,3,FALSE)</f>
        <v>MCB</v>
      </c>
      <c r="F98" t="s">
        <v>1350</v>
      </c>
    </row>
    <row r="99" spans="1:6" x14ac:dyDescent="0.15">
      <c r="A99" t="s">
        <v>245</v>
      </c>
      <c r="B99" s="17">
        <v>1367406</v>
      </c>
      <c r="C99" s="18">
        <f t="shared" si="2"/>
        <v>5.068126417064945E-2</v>
      </c>
      <c r="D99">
        <v>26</v>
      </c>
      <c r="E99" t="str">
        <f>VLOOKUP(D99,Validation!$A$2:$C$41,3,FALSE)</f>
        <v xml:space="preserve">NBA </v>
      </c>
      <c r="F99" t="s">
        <v>1351</v>
      </c>
    </row>
    <row r="100" spans="1:6" x14ac:dyDescent="0.15">
      <c r="A100" t="s">
        <v>905</v>
      </c>
      <c r="B100" s="17">
        <v>1323323</v>
      </c>
      <c r="C100" s="18">
        <f t="shared" si="2"/>
        <v>4.9047380621480632E-2</v>
      </c>
      <c r="D100">
        <v>28</v>
      </c>
      <c r="E100" t="str">
        <f>VLOOKUP(D100,Validation!$A$2:$C$41,3,FALSE)</f>
        <v xml:space="preserve">NHL </v>
      </c>
      <c r="F100" t="s">
        <v>1351</v>
      </c>
    </row>
    <row r="101" spans="1:6" x14ac:dyDescent="0.15">
      <c r="A101" t="s">
        <v>885</v>
      </c>
      <c r="B101" s="17">
        <v>1248722</v>
      </c>
      <c r="C101" s="18">
        <f t="shared" si="2"/>
        <v>4.6282383986688463E-2</v>
      </c>
      <c r="D101">
        <v>28</v>
      </c>
      <c r="E101" t="str">
        <f>VLOOKUP(D101,Validation!$A$2:$C$41,3,FALSE)</f>
        <v xml:space="preserve">NHL </v>
      </c>
      <c r="F101" t="s">
        <v>1351</v>
      </c>
    </row>
    <row r="102" spans="1:6" x14ac:dyDescent="0.15">
      <c r="A102" t="s">
        <v>912</v>
      </c>
      <c r="B102" s="17">
        <v>1149170</v>
      </c>
      <c r="C102" s="18">
        <f t="shared" si="2"/>
        <v>4.2592608447663112E-2</v>
      </c>
      <c r="D102">
        <v>4</v>
      </c>
      <c r="E102" t="str">
        <f>VLOOKUP(D102,Validation!$A$2:$C$41,3,FALSE)</f>
        <v>MCB</v>
      </c>
      <c r="F102" t="s">
        <v>1350</v>
      </c>
    </row>
    <row r="103" spans="1:6" x14ac:dyDescent="0.15">
      <c r="A103" t="s">
        <v>886</v>
      </c>
      <c r="B103" s="17">
        <v>1079942</v>
      </c>
      <c r="C103" s="18">
        <f t="shared" si="2"/>
        <v>4.0026755616824491E-2</v>
      </c>
      <c r="D103">
        <v>18</v>
      </c>
      <c r="E103" t="str">
        <f>VLOOKUP(D103,Validation!$A$2:$C$41,3,FALSE)</f>
        <v>MLS</v>
      </c>
    </row>
    <row r="104" spans="1:6" x14ac:dyDescent="0.15">
      <c r="A104" t="s">
        <v>907</v>
      </c>
      <c r="B104" s="17">
        <v>856910</v>
      </c>
      <c r="C104" s="18">
        <f t="shared" si="2"/>
        <v>3.176034190318839E-2</v>
      </c>
      <c r="D104">
        <v>5</v>
      </c>
      <c r="E104" t="str">
        <f>VLOOKUP(D104,Validation!$A$2:$C$41,3,FALSE)</f>
        <v>CFB</v>
      </c>
      <c r="F104" t="s">
        <v>1351</v>
      </c>
    </row>
    <row r="105" spans="1:6" x14ac:dyDescent="0.15">
      <c r="A105" t="s">
        <v>909</v>
      </c>
      <c r="B105" s="17">
        <v>757712</v>
      </c>
      <c r="C105" s="18">
        <f t="shared" si="2"/>
        <v>2.8083686949794819E-2</v>
      </c>
      <c r="D105">
        <v>5</v>
      </c>
      <c r="E105" t="str">
        <f>VLOOKUP(D105,Validation!$A$2:$C$41,3,FALSE)</f>
        <v>CFB</v>
      </c>
      <c r="F105" t="s">
        <v>1351</v>
      </c>
    </row>
    <row r="106" spans="1:6" x14ac:dyDescent="0.15">
      <c r="A106" t="s">
        <v>897</v>
      </c>
      <c r="B106" s="17">
        <v>739168</v>
      </c>
      <c r="C106" s="18">
        <f t="shared" si="2"/>
        <v>2.7396375819976372E-2</v>
      </c>
      <c r="D106">
        <v>26</v>
      </c>
      <c r="E106" t="str">
        <f>VLOOKUP(D106,Validation!$A$2:$C$41,3,FALSE)</f>
        <v xml:space="preserve">NBA </v>
      </c>
      <c r="F106" t="s">
        <v>1351</v>
      </c>
    </row>
    <row r="107" spans="1:6" x14ac:dyDescent="0.15">
      <c r="A107" t="s">
        <v>908</v>
      </c>
      <c r="B107" s="17">
        <v>436531</v>
      </c>
      <c r="C107" s="18">
        <f t="shared" si="2"/>
        <v>1.6179498210244635E-2</v>
      </c>
      <c r="D107">
        <v>4</v>
      </c>
      <c r="E107" t="str">
        <f>VLOOKUP(D107,Validation!$A$2:$C$41,3,FALSE)</f>
        <v>MCB</v>
      </c>
      <c r="F107" t="s">
        <v>1351</v>
      </c>
    </row>
    <row r="108" spans="1:6" x14ac:dyDescent="0.15">
      <c r="A108" t="s">
        <v>906</v>
      </c>
      <c r="B108" s="17">
        <v>429350</v>
      </c>
      <c r="C108" s="18">
        <f t="shared" si="2"/>
        <v>1.591334305368584E-2</v>
      </c>
      <c r="D108">
        <v>4</v>
      </c>
      <c r="E108" t="str">
        <f>VLOOKUP(D108,Validation!$A$2:$C$41,3,FALSE)</f>
        <v>MCB</v>
      </c>
      <c r="F108" t="s">
        <v>1351</v>
      </c>
    </row>
    <row r="109" spans="1:6" x14ac:dyDescent="0.15">
      <c r="A109" t="s">
        <v>888</v>
      </c>
      <c r="B109" s="17">
        <v>398991</v>
      </c>
      <c r="C109" s="18">
        <f t="shared" si="2"/>
        <v>1.4788123112456428E-2</v>
      </c>
      <c r="D109">
        <v>5</v>
      </c>
      <c r="E109" t="str">
        <f>VLOOKUP(D109,Validation!$A$2:$C$41,3,FALSE)</f>
        <v>CFB</v>
      </c>
    </row>
    <row r="110" spans="1:6" x14ac:dyDescent="0.15">
      <c r="A110" t="s">
        <v>901</v>
      </c>
      <c r="B110" s="17">
        <v>386831</v>
      </c>
      <c r="C110" s="18">
        <f t="shared" si="2"/>
        <v>1.4337427289624659E-2</v>
      </c>
      <c r="D110">
        <v>5</v>
      </c>
      <c r="E110" t="str">
        <f>VLOOKUP(D110,Validation!$A$2:$C$41,3,FALSE)</f>
        <v>CFB</v>
      </c>
      <c r="F110" t="s">
        <v>1351</v>
      </c>
    </row>
    <row r="111" spans="1:6" x14ac:dyDescent="0.15">
      <c r="A111" t="s">
        <v>904</v>
      </c>
      <c r="B111" s="17">
        <v>378319</v>
      </c>
      <c r="C111" s="18">
        <f t="shared" si="2"/>
        <v>1.4021940213642422E-2</v>
      </c>
      <c r="D111">
        <v>18</v>
      </c>
      <c r="E111" t="str">
        <f>VLOOKUP(D111,Validation!$A$2:$C$41,3,FALSE)</f>
        <v>MLS</v>
      </c>
    </row>
    <row r="112" spans="1:6" x14ac:dyDescent="0.15">
      <c r="A112" t="s">
        <v>900</v>
      </c>
      <c r="B112" s="17">
        <v>346741</v>
      </c>
      <c r="C112" s="18">
        <f t="shared" si="2"/>
        <v>1.2851539498726174E-2</v>
      </c>
      <c r="D112">
        <v>4</v>
      </c>
      <c r="E112" t="str">
        <f>VLOOKUP(D112,Validation!$A$2:$C$41,3,FALSE)</f>
        <v>MCB</v>
      </c>
      <c r="F112" t="s">
        <v>1351</v>
      </c>
    </row>
    <row r="113" spans="1:6" x14ac:dyDescent="0.15">
      <c r="A113" t="s">
        <v>887</v>
      </c>
      <c r="B113" s="17">
        <v>264112</v>
      </c>
      <c r="C113" s="18">
        <f t="shared" si="2"/>
        <v>9.7889946677421104E-3</v>
      </c>
      <c r="D113">
        <v>4</v>
      </c>
      <c r="E113" t="str">
        <f>VLOOKUP(D113,Validation!$A$2:$C$41,3,FALSE)</f>
        <v>MCB</v>
      </c>
    </row>
    <row r="114" spans="1:6" x14ac:dyDescent="0.15">
      <c r="A114" t="s">
        <v>1353</v>
      </c>
      <c r="B114" s="17">
        <v>228087</v>
      </c>
      <c r="C114" s="18">
        <f t="shared" si="2"/>
        <v>8.4537712288017767E-3</v>
      </c>
      <c r="D114">
        <v>3</v>
      </c>
      <c r="E114" t="str">
        <f>VLOOKUP(D114,Validation!$A$2:$C$41,3,FALSE)</f>
        <v>CBB</v>
      </c>
    </row>
    <row r="115" spans="1:6" x14ac:dyDescent="0.15">
      <c r="A115" t="s">
        <v>880</v>
      </c>
      <c r="B115" s="17">
        <v>197991</v>
      </c>
      <c r="C115" s="18">
        <f t="shared" si="2"/>
        <v>7.3382990672931489E-3</v>
      </c>
      <c r="D115">
        <v>5</v>
      </c>
      <c r="E115" t="str">
        <f>VLOOKUP(D115,Validation!$A$2:$C$41,3,FALSE)</f>
        <v>CFB</v>
      </c>
      <c r="F115" t="s">
        <v>1350</v>
      </c>
    </row>
    <row r="116" spans="1:6" x14ac:dyDescent="0.15">
      <c r="A116" t="s">
        <v>882</v>
      </c>
      <c r="B116" s="17">
        <v>152182</v>
      </c>
      <c r="C116" s="18">
        <f t="shared" si="2"/>
        <v>5.6404433972190955E-3</v>
      </c>
      <c r="D116">
        <v>4</v>
      </c>
      <c r="E116" t="str">
        <f>VLOOKUP(D116,Validation!$A$2:$C$41,3,FALSE)</f>
        <v>MCB</v>
      </c>
    </row>
    <row r="117" spans="1:6" x14ac:dyDescent="0.15">
      <c r="A117" t="s">
        <v>884</v>
      </c>
      <c r="B117" s="17">
        <v>142991</v>
      </c>
      <c r="C117" s="18">
        <f t="shared" si="2"/>
        <v>5.2997900002086694E-3</v>
      </c>
      <c r="D117">
        <v>4</v>
      </c>
      <c r="E117" t="str">
        <f>VLOOKUP(D117,Validation!$A$2:$C$41,3,FALSE)</f>
        <v>MCB</v>
      </c>
      <c r="F117" s="17" t="s">
        <v>1350</v>
      </c>
    </row>
    <row r="118" spans="1:6" x14ac:dyDescent="0.15">
      <c r="A118" t="s">
        <v>879</v>
      </c>
      <c r="B118" s="17">
        <v>107106</v>
      </c>
      <c r="C118" s="18">
        <f t="shared" si="2"/>
        <v>3.9697554934390953E-3</v>
      </c>
      <c r="D118">
        <v>4</v>
      </c>
      <c r="E118" t="str">
        <f>VLOOKUP(D118,Validation!$A$2:$C$41,3,FALSE)</f>
        <v>MCB</v>
      </c>
      <c r="F118" t="s">
        <v>1350</v>
      </c>
    </row>
    <row r="119" spans="1:6" x14ac:dyDescent="0.15">
      <c r="A119" t="s">
        <v>881</v>
      </c>
      <c r="B119" s="17">
        <v>99989</v>
      </c>
      <c r="C119" s="18">
        <f t="shared" si="2"/>
        <v>3.7059724201583639E-3</v>
      </c>
      <c r="D119">
        <v>4</v>
      </c>
      <c r="E119" t="str">
        <f>VLOOKUP(D119,Validation!$A$2:$C$41,3,FALSE)</f>
        <v>MCB</v>
      </c>
      <c r="F119" t="s">
        <v>1350</v>
      </c>
    </row>
    <row r="120" spans="1:6" x14ac:dyDescent="0.15">
      <c r="A120" t="s">
        <v>878</v>
      </c>
      <c r="B120" s="17">
        <v>87401</v>
      </c>
      <c r="C120" s="18">
        <f t="shared" si="2"/>
        <v>3.2394132904045563E-3</v>
      </c>
      <c r="D120">
        <v>5</v>
      </c>
      <c r="E120" t="str">
        <f>VLOOKUP(D120,Validation!$A$2:$C$41,3,FALSE)</f>
        <v>CFB</v>
      </c>
    </row>
    <row r="121" spans="1:6" x14ac:dyDescent="0.15">
      <c r="A121" t="s">
        <v>883</v>
      </c>
      <c r="B121" s="17">
        <v>63473</v>
      </c>
      <c r="C121" s="18">
        <f t="shared" si="2"/>
        <v>2.3525506548191487E-3</v>
      </c>
      <c r="D121">
        <v>4</v>
      </c>
      <c r="E121" t="str">
        <f>VLOOKUP(D121,Validation!$A$2:$C$41,3,FALSE)</f>
        <v>MCB</v>
      </c>
      <c r="F121" t="s">
        <v>1350</v>
      </c>
    </row>
    <row r="122" spans="1:6" x14ac:dyDescent="0.15">
      <c r="A122" t="s">
        <v>877</v>
      </c>
      <c r="B122" s="17">
        <v>12223</v>
      </c>
      <c r="C122" s="18">
        <f t="shared" si="2"/>
        <v>4.5303084230861076E-4</v>
      </c>
      <c r="D122">
        <v>4</v>
      </c>
      <c r="E122" t="str">
        <f>VLOOKUP(D122,Validation!$A$2:$C$41,3,FALSE)</f>
        <v>MCB</v>
      </c>
    </row>
  </sheetData>
  <pageMargins left="0.7" right="0.7" top="0.75" bottom="0.75" header="0.3" footer="0.3"/>
  <pageSetup orientation="portrait" verticalDpi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/>
  <dimension ref="A1:F106"/>
  <sheetViews>
    <sheetView topLeftCell="A37" zoomScale="85" zoomScaleNormal="85" zoomScalePageLayoutView="85" workbookViewId="0">
      <selection activeCell="E84" sqref="E84"/>
    </sheetView>
  </sheetViews>
  <sheetFormatPr baseColWidth="10" defaultColWidth="8.83203125" defaultRowHeight="13" x14ac:dyDescent="0.15"/>
  <cols>
    <col min="1" max="1" width="33.33203125" bestFit="1" customWidth="1"/>
    <col min="2" max="2" width="10.5" bestFit="1" customWidth="1"/>
  </cols>
  <sheetData>
    <row r="1" spans="1:3" x14ac:dyDescent="0.15">
      <c r="A1" t="s">
        <v>644</v>
      </c>
      <c r="B1" t="s">
        <v>807</v>
      </c>
      <c r="C1" t="s">
        <v>811</v>
      </c>
    </row>
    <row r="2" spans="1:3" x14ac:dyDescent="0.15">
      <c r="A2" t="s">
        <v>0</v>
      </c>
      <c r="B2" s="17">
        <f>IFERROR(SUMIFS('Full List'!B:B,'Full List'!A:A,CO!$A2,'Full List'!E:E,CO!$A$1),"")</f>
        <v>3850914</v>
      </c>
      <c r="C2" s="18">
        <f>IFERROR(B2/$B$2,"")</f>
        <v>1</v>
      </c>
    </row>
    <row r="3" spans="1:3" x14ac:dyDescent="0.15">
      <c r="A3" t="s">
        <v>3</v>
      </c>
      <c r="B3" s="17">
        <f>IFERROR(SUMIFS('Full List'!B:B,'Full List'!A:A,CO!$A3,'Full List'!E:E,CO!$A$1),"")</f>
        <v>65388</v>
      </c>
      <c r="C3" s="18">
        <f t="shared" ref="C3:C66" si="0">IFERROR(B3/$B$2,"")</f>
        <v>1.6979865039832103E-2</v>
      </c>
    </row>
    <row r="4" spans="1:3" x14ac:dyDescent="0.15">
      <c r="A4" t="s">
        <v>4</v>
      </c>
      <c r="B4" s="17">
        <f>IFERROR(SUMIFS('Full List'!B:B,'Full List'!A:A,CO!$A4,'Full List'!E:E,CO!$A$1),"")</f>
        <v>35164</v>
      </c>
      <c r="C4" s="18">
        <f t="shared" si="0"/>
        <v>9.1313386899837291E-3</v>
      </c>
    </row>
    <row r="5" spans="1:3" x14ac:dyDescent="0.15">
      <c r="A5" t="s">
        <v>5</v>
      </c>
      <c r="B5" s="17">
        <f>IFERROR(SUMIFS('Full List'!B:B,'Full List'!A:A,CO!$A5,'Full List'!E:E,CO!$A$1),"")</f>
        <v>45064</v>
      </c>
      <c r="C5" s="18">
        <f t="shared" si="0"/>
        <v>1.1702156942481707E-2</v>
      </c>
    </row>
    <row r="6" spans="1:3" x14ac:dyDescent="0.15">
      <c r="A6" t="s">
        <v>6</v>
      </c>
      <c r="B6" s="17">
        <f>IFERROR(SUMIFS('Full List'!B:B,'Full List'!A:A,CO!$A6,'Full List'!E:E,CO!$A$1),"")</f>
        <v>243392</v>
      </c>
      <c r="C6" s="18">
        <f t="shared" si="0"/>
        <v>6.3203696576968477E-2</v>
      </c>
    </row>
    <row r="7" spans="1:3" x14ac:dyDescent="0.15">
      <c r="A7" t="s">
        <v>7</v>
      </c>
      <c r="B7" s="17">
        <f>IFERROR(SUMIFS('Full List'!B:B,'Full List'!A:A,CO!$A7,'Full List'!E:E,CO!$A$1),"")</f>
        <v>585242</v>
      </c>
      <c r="C7" s="18">
        <f t="shared" si="0"/>
        <v>0.15197482987155778</v>
      </c>
    </row>
    <row r="8" spans="1:3" x14ac:dyDescent="0.15">
      <c r="A8" t="s">
        <v>8</v>
      </c>
      <c r="B8" s="17">
        <f>IFERROR(SUMIFS('Full List'!B:B,'Full List'!A:A,CO!$A8,'Full List'!E:E,CO!$A$1),"")</f>
        <v>94013</v>
      </c>
      <c r="C8" s="18">
        <f t="shared" si="0"/>
        <v>2.4413165290110349E-2</v>
      </c>
    </row>
    <row r="9" spans="1:3" x14ac:dyDescent="0.15">
      <c r="A9" t="s">
        <v>9</v>
      </c>
      <c r="B9" s="17">
        <f>IFERROR(SUMIFS('Full List'!B:B,'Full List'!A:A,CO!$A9,'Full List'!E:E,CO!$A$1),"")</f>
        <v>130286</v>
      </c>
      <c r="C9" s="18">
        <f t="shared" si="0"/>
        <v>3.3832487560096124E-2</v>
      </c>
    </row>
    <row r="10" spans="1:3" x14ac:dyDescent="0.15">
      <c r="A10" t="s">
        <v>10</v>
      </c>
      <c r="B10" s="17">
        <f>IFERROR(SUMIFS('Full List'!B:B,'Full List'!A:A,CO!$A10,'Full List'!E:E,CO!$A$1),"")</f>
        <v>139480</v>
      </c>
      <c r="C10" s="18">
        <f t="shared" si="0"/>
        <v>3.6219972712971518E-2</v>
      </c>
    </row>
    <row r="11" spans="1:3" x14ac:dyDescent="0.15">
      <c r="A11" t="s">
        <v>11</v>
      </c>
      <c r="B11" s="17">
        <f>IFERROR(SUMIFS('Full List'!B:B,'Full List'!A:A,CO!$A11,'Full List'!E:E,CO!$A$1),"")</f>
        <v>224766</v>
      </c>
      <c r="C11" s="18">
        <f t="shared" si="0"/>
        <v>5.8366922761713194E-2</v>
      </c>
    </row>
    <row r="12" spans="1:3" x14ac:dyDescent="0.15">
      <c r="A12" t="s">
        <v>12</v>
      </c>
      <c r="B12" s="17">
        <f>IFERROR(SUMIFS('Full List'!B:B,'Full List'!A:A,CO!$A12,'Full List'!E:E,CO!$A$1),"")</f>
        <v>64910</v>
      </c>
      <c r="C12" s="18">
        <f t="shared" si="0"/>
        <v>1.6855738663600382E-2</v>
      </c>
    </row>
    <row r="13" spans="1:3" x14ac:dyDescent="0.15">
      <c r="A13" t="s">
        <v>13</v>
      </c>
      <c r="B13" s="17">
        <f>IFERROR(SUMIFS('Full List'!B:B,'Full List'!A:A,CO!$A13,'Full List'!E:E,CO!$A$1),"")</f>
        <v>37098</v>
      </c>
      <c r="C13" s="18">
        <f t="shared" si="0"/>
        <v>9.6335571243606061E-3</v>
      </c>
    </row>
    <row r="14" spans="1:3" x14ac:dyDescent="0.15">
      <c r="A14" t="s">
        <v>14</v>
      </c>
      <c r="B14" s="17">
        <f>IFERROR(SUMIFS('Full List'!B:B,'Full List'!A:A,CO!$A14,'Full List'!E:E,CO!$A$1),"")</f>
        <v>250396</v>
      </c>
      <c r="C14" s="18">
        <f t="shared" si="0"/>
        <v>6.5022485570957966E-2</v>
      </c>
    </row>
    <row r="15" spans="1:3" x14ac:dyDescent="0.15">
      <c r="A15" t="s">
        <v>15</v>
      </c>
      <c r="B15" s="17">
        <f>IFERROR(SUMIFS('Full List'!B:B,'Full List'!A:A,CO!$A15,'Full List'!E:E,CO!$A$1),"")</f>
        <v>204380</v>
      </c>
      <c r="C15" s="18">
        <f t="shared" si="0"/>
        <v>5.3073114590458263E-2</v>
      </c>
    </row>
    <row r="16" spans="1:3" x14ac:dyDescent="0.15">
      <c r="A16" t="s">
        <v>16</v>
      </c>
      <c r="B16" s="17">
        <f>IFERROR(SUMIFS('Full List'!B:B,'Full List'!A:A,CO!$A16,'Full List'!E:E,CO!$A$1),"")</f>
        <v>90809</v>
      </c>
      <c r="C16" s="18">
        <f t="shared" si="0"/>
        <v>2.358115501930191E-2</v>
      </c>
    </row>
    <row r="17" spans="1:3" x14ac:dyDescent="0.15">
      <c r="A17" t="s">
        <v>17</v>
      </c>
      <c r="B17" s="17">
        <f>IFERROR(SUMIFS('Full List'!B:B,'Full List'!A:A,CO!$A17,'Full List'!E:E,CO!$A$1),"")</f>
        <v>56822</v>
      </c>
      <c r="C17" s="18">
        <f t="shared" si="0"/>
        <v>1.4755458054892942E-2</v>
      </c>
    </row>
    <row r="18" spans="1:3" x14ac:dyDescent="0.15">
      <c r="A18" t="s">
        <v>18</v>
      </c>
      <c r="B18" s="17">
        <f>IFERROR(SUMIFS('Full List'!B:B,'Full List'!A:A,CO!$A18,'Full List'!E:E,CO!$A$1),"")</f>
        <v>56102</v>
      </c>
      <c r="C18" s="18">
        <f t="shared" si="0"/>
        <v>1.4568489454711271E-2</v>
      </c>
    </row>
    <row r="19" spans="1:3" x14ac:dyDescent="0.15">
      <c r="A19" t="s">
        <v>19</v>
      </c>
      <c r="B19" s="17">
        <f>IFERROR(SUMIFS('Full List'!B:B,'Full List'!A:A,CO!$A19,'Full List'!E:E,CO!$A$1),"")</f>
        <v>424952</v>
      </c>
      <c r="C19" s="18">
        <f t="shared" si="0"/>
        <v>0.11035094525611322</v>
      </c>
    </row>
    <row r="20" spans="1:3" x14ac:dyDescent="0.15">
      <c r="A20" t="s">
        <v>20</v>
      </c>
      <c r="B20" s="17">
        <f>IFERROR(SUMIFS('Full List'!B:B,'Full List'!A:A,CO!$A20,'Full List'!E:E,CO!$A$1),"")</f>
        <v>101179</v>
      </c>
      <c r="C20" s="18">
        <f t="shared" si="0"/>
        <v>2.6274022219140703E-2</v>
      </c>
    </row>
    <row r="21" spans="1:3" x14ac:dyDescent="0.15">
      <c r="A21" t="s">
        <v>21</v>
      </c>
      <c r="B21" s="17">
        <f>IFERROR(SUMIFS('Full List'!B:B,'Full List'!A:A,CO!$A21,'Full List'!E:E,CO!$A$1),"")</f>
        <v>90918</v>
      </c>
      <c r="C21" s="18">
        <f t="shared" si="0"/>
        <v>2.3609459987940524E-2</v>
      </c>
    </row>
    <row r="22" spans="1:3" x14ac:dyDescent="0.15">
      <c r="A22" t="s">
        <v>22</v>
      </c>
      <c r="B22" s="17">
        <f>IFERROR(SUMIFS('Full List'!B:B,'Full List'!A:A,CO!$A22,'Full List'!E:E,CO!$A$1),"")</f>
        <v>84060</v>
      </c>
      <c r="C22" s="18">
        <f t="shared" si="0"/>
        <v>2.1828584071210109E-2</v>
      </c>
    </row>
    <row r="23" spans="1:3" x14ac:dyDescent="0.15">
      <c r="A23" t="s">
        <v>23</v>
      </c>
      <c r="B23" s="17">
        <f>IFERROR(SUMIFS('Full List'!B:B,'Full List'!A:A,CO!$A23,'Full List'!E:E,CO!$A$1),"")</f>
        <v>31804</v>
      </c>
      <c r="C23" s="18">
        <f t="shared" si="0"/>
        <v>8.258818555802596E-3</v>
      </c>
    </row>
    <row r="24" spans="1:3" x14ac:dyDescent="0.15">
      <c r="A24" t="s">
        <v>24</v>
      </c>
      <c r="B24" s="17">
        <f>IFERROR(SUMIFS('Full List'!B:B,'Full List'!A:A,CO!$A24,'Full List'!E:E,CO!$A$1),"")</f>
        <v>34768</v>
      </c>
      <c r="C24" s="18">
        <f t="shared" si="0"/>
        <v>9.0285059598838088E-3</v>
      </c>
    </row>
    <row r="25" spans="1:3" x14ac:dyDescent="0.15">
      <c r="A25" t="s">
        <v>25</v>
      </c>
      <c r="B25" s="17">
        <f>IFERROR(SUMIFS('Full List'!B:B,'Full List'!A:A,CO!$A25,'Full List'!E:E,CO!$A$1),"")</f>
        <v>93545</v>
      </c>
      <c r="C25" s="18">
        <f t="shared" si="0"/>
        <v>2.4291635699992261E-2</v>
      </c>
    </row>
    <row r="26" spans="1:3" x14ac:dyDescent="0.15">
      <c r="A26" t="s">
        <v>26</v>
      </c>
      <c r="B26" s="17">
        <f>IFERROR(SUMIFS('Full List'!B:B,'Full List'!A:A,CO!$A26,'Full List'!E:E,CO!$A$1),"")</f>
        <v>47896</v>
      </c>
      <c r="C26" s="18">
        <f t="shared" si="0"/>
        <v>1.2437566769862947E-2</v>
      </c>
    </row>
    <row r="27" spans="1:3" x14ac:dyDescent="0.15">
      <c r="A27" t="s">
        <v>27</v>
      </c>
      <c r="B27" s="17">
        <f>IFERROR(SUMIFS('Full List'!B:B,'Full List'!A:A,CO!$A27,'Full List'!E:E,CO!$A$1),"")</f>
        <v>207706</v>
      </c>
      <c r="C27" s="18">
        <f t="shared" si="0"/>
        <v>5.3936805651853041E-2</v>
      </c>
    </row>
    <row r="28" spans="1:3" x14ac:dyDescent="0.15">
      <c r="A28" t="s">
        <v>28</v>
      </c>
      <c r="B28" s="17">
        <f>IFERROR(SUMIFS('Full List'!B:B,'Full List'!A:A,CO!$A28,'Full List'!E:E,CO!$A$1),"")</f>
        <v>338616</v>
      </c>
      <c r="C28" s="18">
        <f t="shared" si="0"/>
        <v>8.793133266543994E-2</v>
      </c>
    </row>
    <row r="29" spans="1:3" x14ac:dyDescent="0.15">
      <c r="A29" t="s">
        <v>29</v>
      </c>
      <c r="B29" s="17">
        <f>IFERROR(SUMIFS('Full List'!B:B,'Full List'!A:A,CO!$A29,'Full List'!E:E,CO!$A$1),"")</f>
        <v>1327147</v>
      </c>
      <c r="C29" s="18">
        <f t="shared" si="0"/>
        <v>0.34463169003514488</v>
      </c>
    </row>
    <row r="30" spans="1:3" x14ac:dyDescent="0.15">
      <c r="A30" t="s">
        <v>30</v>
      </c>
      <c r="B30" s="17">
        <f>IFERROR(SUMIFS('Full List'!B:B,'Full List'!A:A,CO!$A30,'Full List'!E:E,CO!$A$1),"")</f>
        <v>230981</v>
      </c>
      <c r="C30" s="18">
        <f t="shared" si="0"/>
        <v>5.9980825331336925E-2</v>
      </c>
    </row>
    <row r="31" spans="1:3" x14ac:dyDescent="0.15">
      <c r="A31" t="s">
        <v>31</v>
      </c>
      <c r="B31" s="17">
        <f>IFERROR(SUMIFS('Full List'!B:B,'Full List'!A:A,CO!$A31,'Full List'!E:E,CO!$A$1),"")</f>
        <v>11893</v>
      </c>
      <c r="C31" s="18">
        <f t="shared" si="0"/>
        <v>3.0883577249452986E-3</v>
      </c>
    </row>
    <row r="32" spans="1:3" x14ac:dyDescent="0.15">
      <c r="A32" t="s">
        <v>32</v>
      </c>
      <c r="B32" s="17">
        <f>IFERROR(SUMIFS('Full List'!B:B,'Full List'!A:A,CO!$A32,'Full List'!E:E,CO!$A$1),"")</f>
        <v>85632</v>
      </c>
      <c r="C32" s="18">
        <f t="shared" si="0"/>
        <v>2.2236798848273422E-2</v>
      </c>
    </row>
    <row r="33" spans="1:3" x14ac:dyDescent="0.15">
      <c r="A33" t="s">
        <v>33</v>
      </c>
      <c r="B33" s="17">
        <f>IFERROR(SUMIFS('Full List'!B:B,'Full List'!A:A,CO!$A33,'Full List'!E:E,CO!$A$1),"")</f>
        <v>1117086</v>
      </c>
      <c r="C33" s="18">
        <f t="shared" si="0"/>
        <v>0.29008334125353097</v>
      </c>
    </row>
    <row r="34" spans="1:3" x14ac:dyDescent="0.15">
      <c r="A34" t="s">
        <v>34</v>
      </c>
      <c r="B34" s="17">
        <f>IFERROR(SUMIFS('Full List'!B:B,'Full List'!A:A,CO!$A34,'Full List'!E:E,CO!$A$1),"")</f>
        <v>213117</v>
      </c>
      <c r="C34" s="18">
        <f t="shared" si="0"/>
        <v>5.5341926617940573E-2</v>
      </c>
    </row>
    <row r="35" spans="1:3" x14ac:dyDescent="0.15">
      <c r="A35" t="s">
        <v>35</v>
      </c>
      <c r="B35" s="17">
        <f>IFERROR(SUMIFS('Full List'!B:B,'Full List'!A:A,CO!$A35,'Full List'!E:E,CO!$A$1),"")</f>
        <v>169346</v>
      </c>
      <c r="C35" s="18">
        <f t="shared" si="0"/>
        <v>4.3975534119951781E-2</v>
      </c>
    </row>
    <row r="36" spans="1:3" x14ac:dyDescent="0.15">
      <c r="A36" t="s">
        <v>36</v>
      </c>
      <c r="B36" s="17">
        <f>IFERROR(SUMIFS('Full List'!B:B,'Full List'!A:A,CO!$A36,'Full List'!E:E,CO!$A$1),"")</f>
        <v>143326</v>
      </c>
      <c r="C36" s="18">
        <f t="shared" si="0"/>
        <v>3.7218696652275278E-2</v>
      </c>
    </row>
    <row r="37" spans="1:3" x14ac:dyDescent="0.15">
      <c r="A37" t="s">
        <v>37</v>
      </c>
      <c r="B37" s="17">
        <f>IFERROR(SUMIFS('Full List'!B:B,'Full List'!A:A,CO!$A37,'Full List'!E:E,CO!$A$1),"")</f>
        <v>139004</v>
      </c>
      <c r="C37" s="18">
        <f t="shared" si="0"/>
        <v>3.6096365693962525E-2</v>
      </c>
    </row>
    <row r="38" spans="1:3" x14ac:dyDescent="0.15">
      <c r="A38" t="s">
        <v>38</v>
      </c>
      <c r="B38" s="17">
        <f>IFERROR(SUMIFS('Full List'!B:B,'Full List'!A:A,CO!$A38,'Full List'!E:E,CO!$A$1),"")</f>
        <v>72807</v>
      </c>
      <c r="C38" s="18">
        <f t="shared" si="0"/>
        <v>1.8906420657537407E-2</v>
      </c>
    </row>
    <row r="39" spans="1:3" x14ac:dyDescent="0.15">
      <c r="A39" t="s">
        <v>39</v>
      </c>
      <c r="B39" s="17">
        <f>IFERROR(SUMIFS('Full List'!B:B,'Full List'!A:A,CO!$A39,'Full List'!E:E,CO!$A$1),"")</f>
        <v>186697</v>
      </c>
      <c r="C39" s="18">
        <f t="shared" si="0"/>
        <v>4.8481217705718692E-2</v>
      </c>
    </row>
    <row r="40" spans="1:3" x14ac:dyDescent="0.15">
      <c r="A40" t="s">
        <v>40</v>
      </c>
      <c r="B40" s="17">
        <f>IFERROR(SUMIFS('Full List'!B:B,'Full List'!A:A,CO!$A40,'Full List'!E:E,CO!$A$1),"")</f>
        <v>40800</v>
      </c>
      <c r="C40" s="18">
        <f t="shared" si="0"/>
        <v>1.0594887343628033E-2</v>
      </c>
    </row>
    <row r="41" spans="1:3" x14ac:dyDescent="0.15">
      <c r="A41" t="s">
        <v>41</v>
      </c>
      <c r="B41" s="17">
        <f>IFERROR(SUMIFS('Full List'!B:B,'Full List'!A:A,CO!$A41,'Full List'!E:E,CO!$A$1),"")</f>
        <v>95362</v>
      </c>
      <c r="C41" s="18">
        <f t="shared" si="0"/>
        <v>2.4763471736839619E-2</v>
      </c>
    </row>
    <row r="42" spans="1:3" x14ac:dyDescent="0.15">
      <c r="A42" t="s">
        <v>42</v>
      </c>
      <c r="B42" s="17">
        <f>IFERROR(SUMIFS('Full List'!B:B,'Full List'!A:A,CO!$A42,'Full List'!E:E,CO!$A$1),"")</f>
        <v>114508</v>
      </c>
      <c r="C42" s="18">
        <f t="shared" si="0"/>
        <v>2.9735278430003891E-2</v>
      </c>
    </row>
    <row r="43" spans="1:3" x14ac:dyDescent="0.15">
      <c r="A43" t="s">
        <v>43</v>
      </c>
      <c r="B43" s="17">
        <f>IFERROR(SUMIFS('Full List'!B:B,'Full List'!A:A,CO!$A43,'Full List'!E:E,CO!$A$1),"")</f>
        <v>308404</v>
      </c>
      <c r="C43" s="18">
        <f t="shared" si="0"/>
        <v>8.0085922458927927E-2</v>
      </c>
    </row>
    <row r="44" spans="1:3" x14ac:dyDescent="0.15">
      <c r="A44" t="s">
        <v>44</v>
      </c>
      <c r="B44" s="17">
        <f>IFERROR(SUMIFS('Full List'!B:B,'Full List'!A:A,CO!$A44,'Full List'!E:E,CO!$A$1),"")</f>
        <v>355851</v>
      </c>
      <c r="C44" s="18">
        <f t="shared" si="0"/>
        <v>9.2406893532288703E-2</v>
      </c>
    </row>
    <row r="45" spans="1:3" x14ac:dyDescent="0.15">
      <c r="A45" t="s">
        <v>45</v>
      </c>
      <c r="B45" s="17">
        <f>IFERROR(SUMIFS('Full List'!B:B,'Full List'!A:A,CO!$A45,'Full List'!E:E,CO!$A$1),"")</f>
        <v>513303</v>
      </c>
      <c r="C45" s="18">
        <f t="shared" si="0"/>
        <v>0.13329381024868381</v>
      </c>
    </row>
    <row r="46" spans="1:3" x14ac:dyDescent="0.15">
      <c r="A46" t="s">
        <v>46</v>
      </c>
      <c r="B46" s="17">
        <f>IFERROR(SUMIFS('Full List'!B:B,'Full List'!A:A,CO!$A46,'Full List'!E:E,CO!$A$1),"")</f>
        <v>1052500</v>
      </c>
      <c r="C46" s="18">
        <f t="shared" si="0"/>
        <v>0.27331173846001233</v>
      </c>
    </row>
    <row r="47" spans="1:3" x14ac:dyDescent="0.15">
      <c r="A47" t="s">
        <v>47</v>
      </c>
      <c r="B47" s="17">
        <f>IFERROR(SUMIFS('Full List'!B:B,'Full List'!A:A,CO!$A47,'Full List'!E:E,CO!$A$1),"")</f>
        <v>1755604</v>
      </c>
      <c r="C47" s="18">
        <f t="shared" si="0"/>
        <v>0.45589280882408695</v>
      </c>
    </row>
    <row r="48" spans="1:3" x14ac:dyDescent="0.15">
      <c r="A48" t="s">
        <v>48</v>
      </c>
      <c r="B48" s="17">
        <f>IFERROR(SUMIFS('Full List'!B:B,'Full List'!A:A,CO!$A48,'Full List'!E:E,CO!$A$1),"")</f>
        <v>580019</v>
      </c>
      <c r="C48" s="18">
        <f t="shared" si="0"/>
        <v>0.15061852848440657</v>
      </c>
    </row>
    <row r="49" spans="1:3" x14ac:dyDescent="0.15">
      <c r="A49" t="s">
        <v>49</v>
      </c>
      <c r="B49" s="17">
        <f>IFERROR(SUMIFS('Full List'!B:B,'Full List'!A:A,CO!$A49,'Full List'!E:E,CO!$A$1),"")</f>
        <v>528347</v>
      </c>
      <c r="C49" s="18">
        <f t="shared" si="0"/>
        <v>0.13720041527803528</v>
      </c>
    </row>
    <row r="50" spans="1:3" x14ac:dyDescent="0.15">
      <c r="A50" t="s">
        <v>50</v>
      </c>
      <c r="B50" s="17">
        <f>IFERROR(SUMIFS('Full List'!B:B,'Full List'!A:A,CO!$A50,'Full List'!E:E,CO!$A$1),"")</f>
        <v>725354</v>
      </c>
      <c r="C50" s="18">
        <f t="shared" si="0"/>
        <v>0.18835891946691097</v>
      </c>
    </row>
    <row r="51" spans="1:3" x14ac:dyDescent="0.15">
      <c r="A51" t="s">
        <v>51</v>
      </c>
      <c r="B51" s="17">
        <f>IFERROR(SUMIFS('Full List'!B:B,'Full List'!A:A,CO!$A51,'Full List'!E:E,CO!$A$1),"")</f>
        <v>1219628</v>
      </c>
      <c r="C51" s="18">
        <f t="shared" si="0"/>
        <v>0.31671130541996007</v>
      </c>
    </row>
    <row r="52" spans="1:3" x14ac:dyDescent="0.15">
      <c r="A52" t="s">
        <v>52</v>
      </c>
      <c r="B52" s="17">
        <f>IFERROR(SUMIFS('Full List'!B:B,'Full List'!A:A,CO!$A52,'Full List'!E:E,CO!$A$1),"")</f>
        <v>451622</v>
      </c>
      <c r="C52" s="18">
        <f t="shared" si="0"/>
        <v>0.11727657382117596</v>
      </c>
    </row>
    <row r="53" spans="1:3" x14ac:dyDescent="0.15">
      <c r="A53" t="s">
        <v>53</v>
      </c>
      <c r="B53" s="17">
        <f>IFERROR(SUMIFS('Full List'!B:B,'Full List'!A:A,CO!$A53,'Full List'!E:E,CO!$A$1),"")</f>
        <v>294003</v>
      </c>
      <c r="C53" s="18">
        <f t="shared" si="0"/>
        <v>7.6346290776683146E-2</v>
      </c>
    </row>
    <row r="54" spans="1:3" x14ac:dyDescent="0.15">
      <c r="A54" t="s">
        <v>54</v>
      </c>
      <c r="B54" s="17">
        <f>IFERROR(SUMIFS('Full List'!B:B,'Full List'!A:A,CO!$A54,'Full List'!E:E,CO!$A$1),"")</f>
        <v>1359087</v>
      </c>
      <c r="C54" s="18">
        <f t="shared" si="0"/>
        <v>0.35292582488209295</v>
      </c>
    </row>
    <row r="55" spans="1:3" x14ac:dyDescent="0.15">
      <c r="A55" t="s">
        <v>55</v>
      </c>
      <c r="B55" s="17">
        <f>IFERROR(SUMIFS('Full List'!B:B,'Full List'!A:A,CO!$A55,'Full List'!E:E,CO!$A$1),"")</f>
        <v>1024013</v>
      </c>
      <c r="C55" s="18">
        <f t="shared" si="0"/>
        <v>0.26591427385810223</v>
      </c>
    </row>
    <row r="56" spans="1:3" x14ac:dyDescent="0.15">
      <c r="A56" t="s">
        <v>56</v>
      </c>
      <c r="B56" s="17">
        <f>IFERROR(SUMIFS('Full List'!B:B,'Full List'!A:A,CO!$A56,'Full List'!E:E,CO!$A$1),"")</f>
        <v>807088</v>
      </c>
      <c r="C56" s="18">
        <f t="shared" si="0"/>
        <v>0.20958349108808974</v>
      </c>
    </row>
    <row r="57" spans="1:3" x14ac:dyDescent="0.15">
      <c r="A57" t="s">
        <v>57</v>
      </c>
      <c r="B57" s="17">
        <f>IFERROR(SUMIFS('Full List'!B:B,'Full List'!A:A,CO!$A57,'Full List'!E:E,CO!$A$1),"")</f>
        <v>498983</v>
      </c>
      <c r="C57" s="18">
        <f t="shared" si="0"/>
        <v>0.12957521253395948</v>
      </c>
    </row>
    <row r="58" spans="1:3" x14ac:dyDescent="0.15">
      <c r="A58" t="s">
        <v>58</v>
      </c>
      <c r="B58" s="17">
        <f>IFERROR(SUMIFS('Full List'!B:B,'Full List'!A:A,CO!$A58,'Full List'!E:E,CO!$A$1),"")</f>
        <v>433086</v>
      </c>
      <c r="C58" s="18">
        <f t="shared" si="0"/>
        <v>0.11246317108094338</v>
      </c>
    </row>
    <row r="59" spans="1:3" x14ac:dyDescent="0.15">
      <c r="A59" t="s">
        <v>59</v>
      </c>
      <c r="B59" s="17">
        <f>IFERROR(SUMIFS('Full List'!B:B,'Full List'!A:A,CO!$A59,'Full List'!E:E,CO!$A$1),"")</f>
        <v>1931644</v>
      </c>
      <c r="C59" s="18">
        <f t="shared" si="0"/>
        <v>0.5016066315685056</v>
      </c>
    </row>
    <row r="60" spans="1:3" x14ac:dyDescent="0.15">
      <c r="A60" t="s">
        <v>60</v>
      </c>
      <c r="B60" s="17">
        <f>IFERROR(SUMIFS('Full List'!B:B,'Full List'!A:A,CO!$A60,'Full List'!E:E,CO!$A$1),"")</f>
        <v>683376</v>
      </c>
      <c r="C60" s="18">
        <f t="shared" si="0"/>
        <v>0.17745813071909683</v>
      </c>
    </row>
    <row r="61" spans="1:3" x14ac:dyDescent="0.15">
      <c r="A61" t="s">
        <v>61</v>
      </c>
      <c r="B61" s="17">
        <f>IFERROR(SUMIFS('Full List'!B:B,'Full List'!A:A,CO!$A61,'Full List'!E:E,CO!$A$1),"")</f>
        <v>657513</v>
      </c>
      <c r="C61" s="18">
        <f t="shared" si="0"/>
        <v>0.17074206279340437</v>
      </c>
    </row>
    <row r="62" spans="1:3" x14ac:dyDescent="0.15">
      <c r="A62" t="s">
        <v>62</v>
      </c>
      <c r="B62" s="17">
        <f>IFERROR(SUMIFS('Full List'!B:B,'Full List'!A:A,CO!$A62,'Full List'!E:E,CO!$A$1),"")</f>
        <v>366188</v>
      </c>
      <c r="C62" s="18">
        <f t="shared" si="0"/>
        <v>9.5091191337952491E-2</v>
      </c>
    </row>
    <row r="63" spans="1:3" x14ac:dyDescent="0.15">
      <c r="A63" t="s">
        <v>63</v>
      </c>
      <c r="B63" s="17">
        <f>IFERROR(SUMIFS('Full List'!B:B,'Full List'!A:A,CO!$A63,'Full List'!E:E,CO!$A$1),"")</f>
        <v>433267</v>
      </c>
      <c r="C63" s="18">
        <f t="shared" si="0"/>
        <v>0.11251017290960016</v>
      </c>
    </row>
    <row r="64" spans="1:3" x14ac:dyDescent="0.15">
      <c r="A64" t="s">
        <v>64</v>
      </c>
      <c r="B64" s="17">
        <f>IFERROR(SUMIFS('Full List'!B:B,'Full List'!A:A,CO!$A64,'Full List'!E:E,CO!$A$1),"")</f>
        <v>272230</v>
      </c>
      <c r="C64" s="18">
        <f t="shared" si="0"/>
        <v>7.0692308371467144E-2</v>
      </c>
    </row>
    <row r="65" spans="1:3" x14ac:dyDescent="0.15">
      <c r="A65" t="s">
        <v>65</v>
      </c>
      <c r="B65" s="17">
        <f>IFERROR(SUMIFS('Full List'!B:B,'Full List'!A:A,CO!$A65,'Full List'!E:E,CO!$A$1),"")</f>
        <v>511687</v>
      </c>
      <c r="C65" s="18">
        <f t="shared" si="0"/>
        <v>0.1328741696127205</v>
      </c>
    </row>
    <row r="66" spans="1:3" x14ac:dyDescent="0.15">
      <c r="A66" t="s">
        <v>66</v>
      </c>
      <c r="B66" s="17">
        <f>IFERROR(SUMIFS('Full List'!B:B,'Full List'!A:A,CO!$A66,'Full List'!E:E,CO!$A$1),"")</f>
        <v>313109</v>
      </c>
      <c r="C66" s="18">
        <f t="shared" si="0"/>
        <v>8.1307710325392885E-2</v>
      </c>
    </row>
    <row r="67" spans="1:3" x14ac:dyDescent="0.15">
      <c r="A67" t="s">
        <v>67</v>
      </c>
      <c r="B67" s="17">
        <f>IFERROR(SUMIFS('Full List'!B:B,'Full List'!A:A,CO!$A67,'Full List'!E:E,CO!$A$1),"")</f>
        <v>847429</v>
      </c>
      <c r="C67" s="18">
        <f t="shared" ref="C67:C82" si="1">IFERROR(B67/$B$2,"")</f>
        <v>0.22005918594910195</v>
      </c>
    </row>
    <row r="68" spans="1:3" x14ac:dyDescent="0.15">
      <c r="A68" t="s">
        <v>68</v>
      </c>
      <c r="B68" s="17">
        <f>IFERROR(SUMIFS('Full List'!B:B,'Full List'!A:A,CO!$A68,'Full List'!E:E,CO!$A$1),"")</f>
        <v>1453706</v>
      </c>
      <c r="C68" s="18">
        <f t="shared" si="1"/>
        <v>0.37749635541068949</v>
      </c>
    </row>
    <row r="69" spans="1:3" x14ac:dyDescent="0.15">
      <c r="A69" t="s">
        <v>69</v>
      </c>
      <c r="B69" s="17">
        <f>IFERROR(SUMIFS('Full List'!B:B,'Full List'!A:A,CO!$A69,'Full List'!E:E,CO!$A$1),"")</f>
        <v>2751240</v>
      </c>
      <c r="C69" s="18">
        <f t="shared" si="1"/>
        <v>0.71443818272752913</v>
      </c>
    </row>
    <row r="70" spans="1:3" x14ac:dyDescent="0.15">
      <c r="A70" t="s">
        <v>70</v>
      </c>
      <c r="B70" s="17">
        <f>IFERROR(SUMIFS('Full List'!B:B,'Full List'!A:A,CO!$A70,'Full List'!E:E,CO!$A$1),"")</f>
        <v>1295154</v>
      </c>
      <c r="C70" s="18">
        <f t="shared" si="1"/>
        <v>0.33632379222179459</v>
      </c>
    </row>
    <row r="71" spans="1:3" x14ac:dyDescent="0.15">
      <c r="A71" t="s">
        <v>71</v>
      </c>
      <c r="B71" s="17">
        <f>IFERROR(SUMIFS('Full List'!B:B,'Full List'!A:A,CO!$A71,'Full List'!E:E,CO!$A$1),"")</f>
        <v>162305</v>
      </c>
      <c r="C71" s="18">
        <f t="shared" si="1"/>
        <v>4.2147137017341858E-2</v>
      </c>
    </row>
    <row r="72" spans="1:3" x14ac:dyDescent="0.15">
      <c r="A72" t="s">
        <v>72</v>
      </c>
      <c r="B72" s="17">
        <f>IFERROR(SUMIFS('Full List'!B:B,'Full List'!A:A,CO!$A72,'Full List'!E:E,CO!$A$1),"")</f>
        <v>490590</v>
      </c>
      <c r="C72" s="18">
        <f t="shared" si="1"/>
        <v>0.12739572994878617</v>
      </c>
    </row>
    <row r="73" spans="1:3" x14ac:dyDescent="0.15">
      <c r="A73" t="s">
        <v>73</v>
      </c>
      <c r="B73" s="17">
        <f>IFERROR(SUMIFS('Full List'!B:B,'Full List'!A:A,CO!$A73,'Full List'!E:E,CO!$A$1),"")</f>
        <v>2519571</v>
      </c>
      <c r="C73" s="18">
        <f t="shared" si="1"/>
        <v>0.65427869851157416</v>
      </c>
    </row>
    <row r="74" spans="1:3" x14ac:dyDescent="0.15">
      <c r="A74" t="s">
        <v>74</v>
      </c>
      <c r="B74" s="17">
        <f>IFERROR(SUMIFS('Full List'!B:B,'Full List'!A:A,CO!$A74,'Full List'!E:E,CO!$A$1),"")</f>
        <v>1002002</v>
      </c>
      <c r="C74" s="18">
        <f t="shared" si="1"/>
        <v>0.26019848794338174</v>
      </c>
    </row>
    <row r="75" spans="1:3" x14ac:dyDescent="0.15">
      <c r="A75" t="s">
        <v>75</v>
      </c>
      <c r="B75" s="17">
        <f>IFERROR(SUMIFS('Full List'!B:B,'Full List'!A:A,CO!$A75,'Full List'!E:E,CO!$A$1),"")</f>
        <v>733207</v>
      </c>
      <c r="C75" s="18">
        <f t="shared" si="1"/>
        <v>0.19039817560194799</v>
      </c>
    </row>
    <row r="76" spans="1:3" x14ac:dyDescent="0.15">
      <c r="A76" t="s">
        <v>76</v>
      </c>
      <c r="B76" s="17">
        <f>IFERROR(SUMIFS('Full List'!B:B,'Full List'!A:A,CO!$A76,'Full List'!E:E,CO!$A$1),"")</f>
        <v>675489</v>
      </c>
      <c r="C76" s="18">
        <f t="shared" si="1"/>
        <v>0.17541004551127343</v>
      </c>
    </row>
    <row r="77" spans="1:3" x14ac:dyDescent="0.15">
      <c r="A77" t="s">
        <v>77</v>
      </c>
      <c r="B77" s="17">
        <f>IFERROR(SUMIFS('Full List'!B:B,'Full List'!A:A,CO!$A77,'Full List'!E:E,CO!$A$1),"")</f>
        <v>664965</v>
      </c>
      <c r="C77" s="18">
        <f t="shared" si="1"/>
        <v>0.17267718780528465</v>
      </c>
    </row>
    <row r="78" spans="1:3" x14ac:dyDescent="0.15">
      <c r="A78" t="s">
        <v>78</v>
      </c>
      <c r="B78" s="17">
        <f>IFERROR(SUMIFS('Full List'!B:B,'Full List'!A:A,CO!$A78,'Full List'!E:E,CO!$A$1),"")</f>
        <v>442737</v>
      </c>
      <c r="C78" s="18">
        <f t="shared" si="1"/>
        <v>0.11496932935921186</v>
      </c>
    </row>
    <row r="79" spans="1:3" x14ac:dyDescent="0.15">
      <c r="A79" t="s">
        <v>79</v>
      </c>
      <c r="B79" s="17">
        <f>IFERROR(SUMIFS('Full List'!B:B,'Full List'!A:A,CO!$A79,'Full List'!E:E,CO!$A$1),"")</f>
        <v>663797</v>
      </c>
      <c r="C79" s="18">
        <f t="shared" si="1"/>
        <v>0.17237388318721217</v>
      </c>
    </row>
    <row r="80" spans="1:3" x14ac:dyDescent="0.15">
      <c r="A80" t="s">
        <v>80</v>
      </c>
      <c r="B80" s="17">
        <f>IFERROR(SUMIFS('Full List'!B:B,'Full List'!A:A,CO!$A80,'Full List'!E:E,CO!$A$1),"")</f>
        <v>463904</v>
      </c>
      <c r="C80" s="18">
        <f t="shared" si="1"/>
        <v>0.12046594652594163</v>
      </c>
    </row>
    <row r="81" spans="1:6" x14ac:dyDescent="0.15">
      <c r="A81" t="s">
        <v>81</v>
      </c>
      <c r="B81" s="17">
        <f>IFERROR(SUMIFS('Full List'!B:B,'Full List'!A:A,CO!$A81,'Full List'!E:E,CO!$A$1),"")</f>
        <v>631743</v>
      </c>
      <c r="C81" s="18">
        <f t="shared" si="1"/>
        <v>0.16405014497856873</v>
      </c>
    </row>
    <row r="82" spans="1:6" x14ac:dyDescent="0.15">
      <c r="A82" t="s">
        <v>82</v>
      </c>
      <c r="B82" s="17">
        <f>IFERROR(SUMIFS('Full List'!B:B,'Full List'!A:A,CO!$A82,'Full List'!E:E,CO!$A$1),"")</f>
        <v>294132</v>
      </c>
      <c r="C82" s="18">
        <f t="shared" si="1"/>
        <v>7.6379789317549032E-2</v>
      </c>
    </row>
    <row r="83" spans="1:6" x14ac:dyDescent="0.15">
      <c r="B83" s="17"/>
      <c r="C83" s="18"/>
      <c r="D83" t="s">
        <v>812</v>
      </c>
      <c r="E83" t="s">
        <v>860</v>
      </c>
      <c r="F83" t="s">
        <v>1349</v>
      </c>
    </row>
    <row r="84" spans="1:6" x14ac:dyDescent="0.15">
      <c r="A84" t="s">
        <v>917</v>
      </c>
      <c r="B84" s="17">
        <v>2534106</v>
      </c>
      <c r="C84" s="18">
        <f t="shared" ref="C84:C94" si="2">IFERROR(B84/$B$2,"")</f>
        <v>0.65805312712774167</v>
      </c>
      <c r="D84">
        <v>27</v>
      </c>
      <c r="E84" t="str">
        <f>VLOOKUP(D84,Validation!$A$2:$C$41,3,FALSE)</f>
        <v xml:space="preserve">NFL </v>
      </c>
      <c r="F84" t="s">
        <v>1350</v>
      </c>
    </row>
    <row r="85" spans="1:6" x14ac:dyDescent="0.15">
      <c r="A85" t="s">
        <v>914</v>
      </c>
      <c r="B85" s="17">
        <v>1798452</v>
      </c>
      <c r="C85" s="18">
        <f t="shared" si="2"/>
        <v>0.46701951796378732</v>
      </c>
      <c r="D85">
        <v>17</v>
      </c>
      <c r="E85" t="str">
        <f>VLOOKUP(D85,Validation!$A$2:$C$41,3,FALSE)</f>
        <v>MLB</v>
      </c>
      <c r="F85" t="s">
        <v>1350</v>
      </c>
    </row>
    <row r="86" spans="1:6" x14ac:dyDescent="0.15">
      <c r="A86" t="s">
        <v>916</v>
      </c>
      <c r="B86" s="17">
        <v>1059397</v>
      </c>
      <c r="C86" s="18">
        <f t="shared" si="2"/>
        <v>0.27510274184258593</v>
      </c>
      <c r="D86">
        <v>26</v>
      </c>
      <c r="E86" t="str">
        <f>VLOOKUP(D86,Validation!$A$2:$C$41,3,FALSE)</f>
        <v xml:space="preserve">NBA </v>
      </c>
      <c r="F86" t="s">
        <v>1351</v>
      </c>
    </row>
    <row r="87" spans="1:6" x14ac:dyDescent="0.15">
      <c r="A87" t="s">
        <v>918</v>
      </c>
      <c r="B87" s="17">
        <v>730288</v>
      </c>
      <c r="C87" s="18">
        <f t="shared" si="2"/>
        <v>0.18964017373537814</v>
      </c>
      <c r="D87">
        <v>28</v>
      </c>
      <c r="E87" t="str">
        <f>VLOOKUP(D87,Validation!$A$2:$C$41,3,FALSE)</f>
        <v xml:space="preserve">NHL </v>
      </c>
      <c r="F87" t="s">
        <v>1351</v>
      </c>
    </row>
    <row r="88" spans="1:6" x14ac:dyDescent="0.15">
      <c r="A88" t="s">
        <v>1354</v>
      </c>
      <c r="B88" s="17">
        <v>610999</v>
      </c>
      <c r="C88" s="18">
        <f t="shared" si="2"/>
        <v>0.15866337186444568</v>
      </c>
      <c r="D88">
        <v>5</v>
      </c>
      <c r="E88" t="str">
        <f>VLOOKUP(D88,Validation!$A$2:$C$41,3,FALSE)</f>
        <v>CFB</v>
      </c>
      <c r="F88" t="s">
        <v>1351</v>
      </c>
    </row>
    <row r="89" spans="1:6" x14ac:dyDescent="0.15">
      <c r="A89" t="s">
        <v>1355</v>
      </c>
      <c r="B89" s="17">
        <v>393396</v>
      </c>
      <c r="C89" s="18">
        <f t="shared" si="2"/>
        <v>0.10215652699592875</v>
      </c>
      <c r="D89">
        <v>5</v>
      </c>
      <c r="E89" t="str">
        <f>VLOOKUP(D89,Validation!$A$2:$C$41,3,FALSE)</f>
        <v>CFB</v>
      </c>
      <c r="F89" t="s">
        <v>1350</v>
      </c>
    </row>
    <row r="90" spans="1:6" x14ac:dyDescent="0.15">
      <c r="A90" t="s">
        <v>1356</v>
      </c>
      <c r="B90" s="17">
        <v>306257</v>
      </c>
      <c r="C90" s="18">
        <f t="shared" si="2"/>
        <v>7.952839248033064E-2</v>
      </c>
      <c r="D90">
        <v>4</v>
      </c>
      <c r="E90" t="str">
        <f>VLOOKUP(D90,Validation!$A$2:$C$41,3,FALSE)</f>
        <v>MCB</v>
      </c>
      <c r="F90" t="s">
        <v>1351</v>
      </c>
    </row>
    <row r="91" spans="1:6" x14ac:dyDescent="0.15">
      <c r="A91" t="s">
        <v>915</v>
      </c>
      <c r="B91" s="17">
        <v>200822</v>
      </c>
      <c r="C91" s="18">
        <f t="shared" si="2"/>
        <v>5.2149178091227176E-2</v>
      </c>
      <c r="D91">
        <v>18</v>
      </c>
      <c r="E91" t="str">
        <f>VLOOKUP(D91,Validation!$A$2:$C$41,3,FALSE)</f>
        <v>MLS</v>
      </c>
    </row>
    <row r="92" spans="1:6" x14ac:dyDescent="0.15">
      <c r="A92" t="s">
        <v>921</v>
      </c>
      <c r="B92" s="17">
        <v>122734</v>
      </c>
      <c r="C92" s="18">
        <f t="shared" si="2"/>
        <v>3.1871394687079481E-2</v>
      </c>
      <c r="D92">
        <v>5</v>
      </c>
      <c r="E92" t="str">
        <f>VLOOKUP(D92,Validation!$A$2:$C$41,3,FALSE)</f>
        <v>CFB</v>
      </c>
      <c r="F92" t="s">
        <v>1351</v>
      </c>
    </row>
    <row r="93" spans="1:6" x14ac:dyDescent="0.15">
      <c r="A93" t="s">
        <v>919</v>
      </c>
      <c r="B93" s="17">
        <v>113364</v>
      </c>
      <c r="C93" s="18">
        <f t="shared" si="2"/>
        <v>2.9438206098604123E-2</v>
      </c>
      <c r="D93">
        <v>4</v>
      </c>
      <c r="E93" t="str">
        <f>VLOOKUP(D93,Validation!$A$2:$C$41,3,FALSE)</f>
        <v>MCB</v>
      </c>
      <c r="F93" t="s">
        <v>1350</v>
      </c>
    </row>
    <row r="94" spans="1:6" x14ac:dyDescent="0.15">
      <c r="A94" t="s">
        <v>920</v>
      </c>
      <c r="B94" s="17">
        <v>83334</v>
      </c>
      <c r="C94" s="18">
        <f t="shared" si="2"/>
        <v>2.1640057399360257E-2</v>
      </c>
      <c r="D94">
        <v>4</v>
      </c>
      <c r="E94" t="str">
        <f>VLOOKUP(D94,Validation!$A$2:$C$41,3,FALSE)</f>
        <v>MCB</v>
      </c>
      <c r="F94" t="s">
        <v>1351</v>
      </c>
    </row>
    <row r="95" spans="1:6" x14ac:dyDescent="0.15">
      <c r="B95" s="17"/>
      <c r="C95" s="18"/>
    </row>
    <row r="96" spans="1:6" x14ac:dyDescent="0.15">
      <c r="B96" s="17"/>
      <c r="C96" s="18"/>
    </row>
    <row r="97" spans="2:3" x14ac:dyDescent="0.15">
      <c r="B97" s="17"/>
      <c r="C97" s="18"/>
    </row>
    <row r="98" spans="2:3" x14ac:dyDescent="0.15">
      <c r="B98" s="17"/>
      <c r="C98" s="18"/>
    </row>
    <row r="99" spans="2:3" x14ac:dyDescent="0.15">
      <c r="B99" s="17"/>
      <c r="C99" s="18"/>
    </row>
    <row r="100" spans="2:3" x14ac:dyDescent="0.15">
      <c r="B100" s="17"/>
      <c r="C100" s="18"/>
    </row>
    <row r="101" spans="2:3" x14ac:dyDescent="0.15">
      <c r="B101" s="17"/>
      <c r="C101" s="18"/>
    </row>
    <row r="102" spans="2:3" x14ac:dyDescent="0.15">
      <c r="B102" s="17"/>
      <c r="C102" s="18"/>
    </row>
    <row r="103" spans="2:3" x14ac:dyDescent="0.15">
      <c r="B103" s="17"/>
      <c r="C103" s="18"/>
    </row>
    <row r="104" spans="2:3" x14ac:dyDescent="0.15">
      <c r="B104" s="17"/>
      <c r="C104" s="18"/>
    </row>
    <row r="105" spans="2:3" x14ac:dyDescent="0.15">
      <c r="B105" s="17"/>
      <c r="C105" s="18"/>
    </row>
    <row r="106" spans="2:3" x14ac:dyDescent="0.15">
      <c r="B106" s="17"/>
      <c r="C106" s="18"/>
    </row>
  </sheetData>
  <pageMargins left="0.7" right="0.7" top="0.75" bottom="0.75" header="0.3" footer="0.3"/>
  <pageSetup orientation="portrait" verticalDpi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F102"/>
  <sheetViews>
    <sheetView topLeftCell="A72" zoomScale="85" zoomScaleNormal="85" zoomScalePageLayoutView="85" workbookViewId="0">
      <selection activeCell="A100" sqref="A100"/>
    </sheetView>
  </sheetViews>
  <sheetFormatPr baseColWidth="10" defaultColWidth="8.83203125" defaultRowHeight="13" x14ac:dyDescent="0.15"/>
  <cols>
    <col min="1" max="1" width="33.33203125" bestFit="1" customWidth="1"/>
    <col min="2" max="2" width="10.5" bestFit="1" customWidth="1"/>
  </cols>
  <sheetData>
    <row r="1" spans="1:3" x14ac:dyDescent="0.15">
      <c r="A1" t="s">
        <v>402</v>
      </c>
      <c r="B1" t="s">
        <v>807</v>
      </c>
      <c r="C1" t="s">
        <v>811</v>
      </c>
    </row>
    <row r="2" spans="1:3" x14ac:dyDescent="0.15">
      <c r="A2" t="s">
        <v>0</v>
      </c>
      <c r="B2" s="17">
        <f>IFERROR(SUMIFS('Full List'!B:B,'Full List'!A:A,CT!$A2,'Full List'!E:E,CT!$A$1),"")</f>
        <v>2844526</v>
      </c>
      <c r="C2" s="18">
        <f>IFERROR(B2/$B$2,"")</f>
        <v>1</v>
      </c>
    </row>
    <row r="3" spans="1:3" x14ac:dyDescent="0.15">
      <c r="A3" t="s">
        <v>3</v>
      </c>
      <c r="B3" s="17">
        <f>IFERROR(SUMIFS('Full List'!B:B,'Full List'!A:A,CT!$A3,'Full List'!E:E,CT!$A$1),"")</f>
        <v>25461</v>
      </c>
      <c r="C3" s="18">
        <f t="shared" ref="C3:C66" si="0">IFERROR(B3/$B$2,"")</f>
        <v>8.950876174097195E-3</v>
      </c>
    </row>
    <row r="4" spans="1:3" x14ac:dyDescent="0.15">
      <c r="A4" t="s">
        <v>4</v>
      </c>
      <c r="B4" s="17">
        <f>IFERROR(SUMIFS('Full List'!B:B,'Full List'!A:A,CT!$A4,'Full List'!E:E,CT!$A$1),"")</f>
        <v>19944</v>
      </c>
      <c r="C4" s="18">
        <f t="shared" si="0"/>
        <v>7.0113614711203205E-3</v>
      </c>
    </row>
    <row r="5" spans="1:3" x14ac:dyDescent="0.15">
      <c r="A5" t="s">
        <v>5</v>
      </c>
      <c r="B5" s="17">
        <f>IFERROR(SUMIFS('Full List'!B:B,'Full List'!A:A,CT!$A5,'Full List'!E:E,CT!$A$1),"")</f>
        <v>69386</v>
      </c>
      <c r="C5" s="18">
        <f t="shared" si="0"/>
        <v>2.4392816237221948E-2</v>
      </c>
    </row>
    <row r="6" spans="1:3" x14ac:dyDescent="0.15">
      <c r="A6" t="s">
        <v>6</v>
      </c>
      <c r="B6" s="17">
        <f>IFERROR(SUMIFS('Full List'!B:B,'Full List'!A:A,CT!$A6,'Full List'!E:E,CT!$A$1),"")</f>
        <v>462306</v>
      </c>
      <c r="C6" s="18">
        <f t="shared" si="0"/>
        <v>0.16252479323444399</v>
      </c>
    </row>
    <row r="7" spans="1:3" x14ac:dyDescent="0.15">
      <c r="A7" t="s">
        <v>7</v>
      </c>
      <c r="B7" s="17">
        <f>IFERROR(SUMIFS('Full List'!B:B,'Full List'!A:A,CT!$A7,'Full List'!E:E,CT!$A$1),"")</f>
        <v>235926</v>
      </c>
      <c r="C7" s="18">
        <f t="shared" si="0"/>
        <v>8.2940356319471151E-2</v>
      </c>
    </row>
    <row r="8" spans="1:3" x14ac:dyDescent="0.15">
      <c r="A8" t="s">
        <v>8</v>
      </c>
      <c r="B8" s="17">
        <f>IFERROR(SUMIFS('Full List'!B:B,'Full List'!A:A,CT!$A8,'Full List'!E:E,CT!$A$1),"")</f>
        <v>23766</v>
      </c>
      <c r="C8" s="18">
        <f t="shared" si="0"/>
        <v>8.3549948216328478E-3</v>
      </c>
    </row>
    <row r="9" spans="1:3" x14ac:dyDescent="0.15">
      <c r="A9" t="s">
        <v>9</v>
      </c>
      <c r="B9" s="17">
        <f>IFERROR(SUMIFS('Full List'!B:B,'Full List'!A:A,CT!$A9,'Full List'!E:E,CT!$A$1),"")</f>
        <v>96004</v>
      </c>
      <c r="C9" s="18">
        <f t="shared" si="0"/>
        <v>3.3750438561644364E-2</v>
      </c>
    </row>
    <row r="10" spans="1:3" x14ac:dyDescent="0.15">
      <c r="A10" t="s">
        <v>10</v>
      </c>
      <c r="B10" s="17">
        <f>IFERROR(SUMIFS('Full List'!B:B,'Full List'!A:A,CT!$A10,'Full List'!E:E,CT!$A$1),"")</f>
        <v>32629</v>
      </c>
      <c r="C10" s="18">
        <f t="shared" si="0"/>
        <v>1.147080392304377E-2</v>
      </c>
    </row>
    <row r="11" spans="1:3" x14ac:dyDescent="0.15">
      <c r="A11" t="s">
        <v>11</v>
      </c>
      <c r="B11" s="17">
        <f>IFERROR(SUMIFS('Full List'!B:B,'Full List'!A:A,CT!$A11,'Full List'!E:E,CT!$A$1),"")</f>
        <v>161569</v>
      </c>
      <c r="C11" s="18">
        <f t="shared" si="0"/>
        <v>5.679997300077412E-2</v>
      </c>
    </row>
    <row r="12" spans="1:3" x14ac:dyDescent="0.15">
      <c r="A12" t="s">
        <v>12</v>
      </c>
      <c r="B12" s="17">
        <f>IFERROR(SUMIFS('Full List'!B:B,'Full List'!A:A,CT!$A12,'Full List'!E:E,CT!$A$1),"")</f>
        <v>58073</v>
      </c>
      <c r="C12" s="18">
        <f t="shared" si="0"/>
        <v>2.0415703705995304E-2</v>
      </c>
    </row>
    <row r="13" spans="1:3" x14ac:dyDescent="0.15">
      <c r="A13" t="s">
        <v>13</v>
      </c>
      <c r="B13" s="17">
        <f>IFERROR(SUMIFS('Full List'!B:B,'Full List'!A:A,CT!$A13,'Full List'!E:E,CT!$A$1),"")</f>
        <v>19880</v>
      </c>
      <c r="C13" s="18">
        <f t="shared" si="0"/>
        <v>6.9888621162190112E-3</v>
      </c>
    </row>
    <row r="14" spans="1:3" x14ac:dyDescent="0.15">
      <c r="A14" t="s">
        <v>14</v>
      </c>
      <c r="B14" s="17">
        <f>IFERROR(SUMIFS('Full List'!B:B,'Full List'!A:A,CT!$A14,'Full List'!E:E,CT!$A$1),"")</f>
        <v>138583</v>
      </c>
      <c r="C14" s="18">
        <f t="shared" si="0"/>
        <v>4.871918906700097E-2</v>
      </c>
    </row>
    <row r="15" spans="1:3" x14ac:dyDescent="0.15">
      <c r="A15" t="s">
        <v>15</v>
      </c>
      <c r="B15" s="17">
        <f>IFERROR(SUMIFS('Full List'!B:B,'Full List'!A:A,CT!$A15,'Full List'!E:E,CT!$A$1),"")</f>
        <v>95977</v>
      </c>
      <c r="C15" s="18">
        <f t="shared" si="0"/>
        <v>3.3740946646295379E-2</v>
      </c>
    </row>
    <row r="16" spans="1:3" x14ac:dyDescent="0.15">
      <c r="A16" t="s">
        <v>16</v>
      </c>
      <c r="B16" s="17">
        <f>IFERROR(SUMIFS('Full List'!B:B,'Full List'!A:A,CT!$A16,'Full List'!E:E,CT!$A$1),"")</f>
        <v>88194</v>
      </c>
      <c r="C16" s="18">
        <f t="shared" si="0"/>
        <v>3.1004814158844041E-2</v>
      </c>
    </row>
    <row r="17" spans="1:3" x14ac:dyDescent="0.15">
      <c r="A17" t="s">
        <v>17</v>
      </c>
      <c r="B17" s="17">
        <f>IFERROR(SUMIFS('Full List'!B:B,'Full List'!A:A,CT!$A17,'Full List'!E:E,CT!$A$1),"")</f>
        <v>54102</v>
      </c>
      <c r="C17" s="18">
        <f t="shared" si="0"/>
        <v>1.9019689044853166E-2</v>
      </c>
    </row>
    <row r="18" spans="1:3" x14ac:dyDescent="0.15">
      <c r="A18" t="s">
        <v>18</v>
      </c>
      <c r="B18" s="17">
        <f>IFERROR(SUMIFS('Full List'!B:B,'Full List'!A:A,CT!$A18,'Full List'!E:E,CT!$A$1),"")</f>
        <v>39075</v>
      </c>
      <c r="C18" s="18">
        <f t="shared" si="0"/>
        <v>1.3736910824509953E-2</v>
      </c>
    </row>
    <row r="19" spans="1:3" x14ac:dyDescent="0.15">
      <c r="A19" t="s">
        <v>19</v>
      </c>
      <c r="B19" s="17">
        <f>IFERROR(SUMIFS('Full List'!B:B,'Full List'!A:A,CT!$A19,'Full List'!E:E,CT!$A$1),"")</f>
        <v>655980</v>
      </c>
      <c r="C19" s="18">
        <f t="shared" si="0"/>
        <v>0.2306113566900074</v>
      </c>
    </row>
    <row r="20" spans="1:3" x14ac:dyDescent="0.15">
      <c r="A20" t="s">
        <v>20</v>
      </c>
      <c r="B20" s="17">
        <f>IFERROR(SUMIFS('Full List'!B:B,'Full List'!A:A,CT!$A20,'Full List'!E:E,CT!$A$1),"")</f>
        <v>47783</v>
      </c>
      <c r="C20" s="18">
        <f t="shared" si="0"/>
        <v>1.6798229300769268E-2</v>
      </c>
    </row>
    <row r="21" spans="1:3" x14ac:dyDescent="0.15">
      <c r="A21" t="s">
        <v>21</v>
      </c>
      <c r="B21" s="17">
        <f>IFERROR(SUMIFS('Full List'!B:B,'Full List'!A:A,CT!$A21,'Full List'!E:E,CT!$A$1),"")</f>
        <v>133474</v>
      </c>
      <c r="C21" s="18">
        <f t="shared" si="0"/>
        <v>4.6923107751519935E-2</v>
      </c>
    </row>
    <row r="22" spans="1:3" x14ac:dyDescent="0.15">
      <c r="A22" t="s">
        <v>22</v>
      </c>
      <c r="B22" s="17">
        <f>IFERROR(SUMIFS('Full List'!B:B,'Full List'!A:A,CT!$A22,'Full List'!E:E,CT!$A$1),"")</f>
        <v>42140</v>
      </c>
      <c r="C22" s="18">
        <f t="shared" si="0"/>
        <v>1.481441899283044E-2</v>
      </c>
    </row>
    <row r="23" spans="1:3" x14ac:dyDescent="0.15">
      <c r="A23" t="s">
        <v>23</v>
      </c>
      <c r="B23" s="17">
        <f>IFERROR(SUMIFS('Full List'!B:B,'Full List'!A:A,CT!$A23,'Full List'!E:E,CT!$A$1),"")</f>
        <v>69453</v>
      </c>
      <c r="C23" s="18">
        <f t="shared" si="0"/>
        <v>2.4416370249384256E-2</v>
      </c>
    </row>
    <row r="24" spans="1:3" x14ac:dyDescent="0.15">
      <c r="A24" t="s">
        <v>24</v>
      </c>
      <c r="B24" s="17">
        <f>IFERROR(SUMIFS('Full List'!B:B,'Full List'!A:A,CT!$A24,'Full List'!E:E,CT!$A$1),"")</f>
        <v>33724</v>
      </c>
      <c r="C24" s="18">
        <f t="shared" si="0"/>
        <v>1.1855753823308347E-2</v>
      </c>
    </row>
    <row r="25" spans="1:3" x14ac:dyDescent="0.15">
      <c r="A25" t="s">
        <v>25</v>
      </c>
      <c r="B25" s="17">
        <f>IFERROR(SUMIFS('Full List'!B:B,'Full List'!A:A,CT!$A25,'Full List'!E:E,CT!$A$1),"")</f>
        <v>39454</v>
      </c>
      <c r="C25" s="18">
        <f t="shared" si="0"/>
        <v>1.3870149191816141E-2</v>
      </c>
    </row>
    <row r="26" spans="1:3" x14ac:dyDescent="0.15">
      <c r="A26" t="s">
        <v>26</v>
      </c>
      <c r="B26" s="17">
        <f>IFERROR(SUMIFS('Full List'!B:B,'Full List'!A:A,CT!$A26,'Full List'!E:E,CT!$A$1),"")</f>
        <v>27514</v>
      </c>
      <c r="C26" s="18">
        <f t="shared" si="0"/>
        <v>9.6726132930407393E-3</v>
      </c>
    </row>
    <row r="27" spans="1:3" x14ac:dyDescent="0.15">
      <c r="A27" t="s">
        <v>27</v>
      </c>
      <c r="B27" s="17">
        <f>IFERROR(SUMIFS('Full List'!B:B,'Full List'!A:A,CT!$A27,'Full List'!E:E,CT!$A$1),"")</f>
        <v>186465</v>
      </c>
      <c r="C27" s="18">
        <f t="shared" si="0"/>
        <v>6.5552222057383203E-2</v>
      </c>
    </row>
    <row r="28" spans="1:3" x14ac:dyDescent="0.15">
      <c r="A28" t="s">
        <v>28</v>
      </c>
      <c r="B28" s="17">
        <f>IFERROR(SUMIFS('Full List'!B:B,'Full List'!A:A,CT!$A28,'Full List'!E:E,CT!$A$1),"")</f>
        <v>200635</v>
      </c>
      <c r="C28" s="18">
        <f t="shared" si="0"/>
        <v>7.053371985350107E-2</v>
      </c>
    </row>
    <row r="29" spans="1:3" x14ac:dyDescent="0.15">
      <c r="A29" t="s">
        <v>29</v>
      </c>
      <c r="B29" s="17">
        <f>IFERROR(SUMIFS('Full List'!B:B,'Full List'!A:A,CT!$A29,'Full List'!E:E,CT!$A$1),"")</f>
        <v>733137</v>
      </c>
      <c r="C29" s="18">
        <f t="shared" si="0"/>
        <v>0.2577360867856367</v>
      </c>
    </row>
    <row r="30" spans="1:3" x14ac:dyDescent="0.15">
      <c r="A30" t="s">
        <v>30</v>
      </c>
      <c r="B30" s="17">
        <f>IFERROR(SUMIFS('Full List'!B:B,'Full List'!A:A,CT!$A30,'Full List'!E:E,CT!$A$1),"")</f>
        <v>105655</v>
      </c>
      <c r="C30" s="18">
        <f t="shared" si="0"/>
        <v>3.7143270970277649E-2</v>
      </c>
    </row>
    <row r="31" spans="1:3" x14ac:dyDescent="0.15">
      <c r="A31" t="s">
        <v>31</v>
      </c>
      <c r="B31" s="17">
        <f>IFERROR(SUMIFS('Full List'!B:B,'Full List'!A:A,CT!$A31,'Full List'!E:E,CT!$A$1),"")</f>
        <v>22226</v>
      </c>
      <c r="C31" s="18">
        <f t="shared" si="0"/>
        <v>7.8136040943201073E-3</v>
      </c>
    </row>
    <row r="32" spans="1:3" x14ac:dyDescent="0.15">
      <c r="A32" t="s">
        <v>32</v>
      </c>
      <c r="B32" s="17">
        <f>IFERROR(SUMIFS('Full List'!B:B,'Full List'!A:A,CT!$A32,'Full List'!E:E,CT!$A$1),"")</f>
        <v>61501</v>
      </c>
      <c r="C32" s="18">
        <f t="shared" si="0"/>
        <v>2.162082540289665E-2</v>
      </c>
    </row>
    <row r="33" spans="1:3" x14ac:dyDescent="0.15">
      <c r="A33" t="s">
        <v>33</v>
      </c>
      <c r="B33" s="17">
        <f>IFERROR(SUMIFS('Full List'!B:B,'Full List'!A:A,CT!$A33,'Full List'!E:E,CT!$A$1),"")</f>
        <v>835414</v>
      </c>
      <c r="C33" s="18">
        <f t="shared" si="0"/>
        <v>0.29369181368002967</v>
      </c>
    </row>
    <row r="34" spans="1:3" x14ac:dyDescent="0.15">
      <c r="A34" t="s">
        <v>34</v>
      </c>
      <c r="B34" s="17">
        <f>IFERROR(SUMIFS('Full List'!B:B,'Full List'!A:A,CT!$A34,'Full List'!E:E,CT!$A$1),"")</f>
        <v>249448</v>
      </c>
      <c r="C34" s="18">
        <f t="shared" si="0"/>
        <v>8.769404814721328E-2</v>
      </c>
    </row>
    <row r="35" spans="1:3" x14ac:dyDescent="0.15">
      <c r="A35" t="s">
        <v>35</v>
      </c>
      <c r="B35" s="17">
        <f>IFERROR(SUMIFS('Full List'!B:B,'Full List'!A:A,CT!$A35,'Full List'!E:E,CT!$A$1),"")</f>
        <v>125176</v>
      </c>
      <c r="C35" s="18">
        <f t="shared" si="0"/>
        <v>4.4005925767597133E-2</v>
      </c>
    </row>
    <row r="36" spans="1:3" x14ac:dyDescent="0.15">
      <c r="A36" t="s">
        <v>36</v>
      </c>
      <c r="B36" s="17">
        <f>IFERROR(SUMIFS('Full List'!B:B,'Full List'!A:A,CT!$A36,'Full List'!E:E,CT!$A$1),"")</f>
        <v>21838</v>
      </c>
      <c r="C36" s="18">
        <f t="shared" si="0"/>
        <v>7.6772017552309245E-3</v>
      </c>
    </row>
    <row r="37" spans="1:3" x14ac:dyDescent="0.15">
      <c r="A37" t="s">
        <v>37</v>
      </c>
      <c r="B37" s="17">
        <f>IFERROR(SUMIFS('Full List'!B:B,'Full List'!A:A,CT!$A37,'Full List'!E:E,CT!$A$1),"")</f>
        <v>13542</v>
      </c>
      <c r="C37" s="18">
        <f t="shared" si="0"/>
        <v>4.7607228761487857E-3</v>
      </c>
    </row>
    <row r="38" spans="1:3" x14ac:dyDescent="0.15">
      <c r="A38" t="s">
        <v>38</v>
      </c>
      <c r="B38" s="17">
        <f>IFERROR(SUMIFS('Full List'!B:B,'Full List'!A:A,CT!$A38,'Full List'!E:E,CT!$A$1),"")</f>
        <v>32818</v>
      </c>
      <c r="C38" s="18">
        <f t="shared" si="0"/>
        <v>1.1537247330486696E-2</v>
      </c>
    </row>
    <row r="39" spans="1:3" x14ac:dyDescent="0.15">
      <c r="A39" t="s">
        <v>39</v>
      </c>
      <c r="B39" s="17">
        <f>IFERROR(SUMIFS('Full List'!B:B,'Full List'!A:A,CT!$A39,'Full List'!E:E,CT!$A$1),"")</f>
        <v>99662</v>
      </c>
      <c r="C39" s="18">
        <f t="shared" si="0"/>
        <v>3.5036417315222293E-2</v>
      </c>
    </row>
    <row r="40" spans="1:3" x14ac:dyDescent="0.15">
      <c r="A40" t="s">
        <v>40</v>
      </c>
      <c r="B40" s="17">
        <f>IFERROR(SUMIFS('Full List'!B:B,'Full List'!A:A,CT!$A40,'Full List'!E:E,CT!$A$1),"")</f>
        <v>144518</v>
      </c>
      <c r="C40" s="18">
        <f t="shared" si="0"/>
        <v>5.080565268167702E-2</v>
      </c>
    </row>
    <row r="41" spans="1:3" x14ac:dyDescent="0.15">
      <c r="A41" t="s">
        <v>41</v>
      </c>
      <c r="B41" s="17">
        <f>IFERROR(SUMIFS('Full List'!B:B,'Full List'!A:A,CT!$A41,'Full List'!E:E,CT!$A$1),"")</f>
        <v>118104</v>
      </c>
      <c r="C41" s="18">
        <f t="shared" si="0"/>
        <v>4.1519747051002524E-2</v>
      </c>
    </row>
    <row r="42" spans="1:3" x14ac:dyDescent="0.15">
      <c r="A42" t="s">
        <v>42</v>
      </c>
      <c r="B42" s="17">
        <f>IFERROR(SUMIFS('Full List'!B:B,'Full List'!A:A,CT!$A42,'Full List'!E:E,CT!$A$1),"")</f>
        <v>106699</v>
      </c>
      <c r="C42" s="18">
        <f t="shared" si="0"/>
        <v>3.751029169710525E-2</v>
      </c>
    </row>
    <row r="43" spans="1:3" x14ac:dyDescent="0.15">
      <c r="A43" t="s">
        <v>43</v>
      </c>
      <c r="B43" s="17">
        <f>IFERROR(SUMIFS('Full List'!B:B,'Full List'!A:A,CT!$A43,'Full List'!E:E,CT!$A$1),"")</f>
        <v>211389</v>
      </c>
      <c r="C43" s="18">
        <f t="shared" si="0"/>
        <v>7.4314314581761604E-2</v>
      </c>
    </row>
    <row r="44" spans="1:3" x14ac:dyDescent="0.15">
      <c r="A44" t="s">
        <v>44</v>
      </c>
      <c r="B44" s="17">
        <f>IFERROR(SUMIFS('Full List'!B:B,'Full List'!A:A,CT!$A44,'Full List'!E:E,CT!$A$1),"")</f>
        <v>192931</v>
      </c>
      <c r="C44" s="18">
        <f t="shared" si="0"/>
        <v>6.7825360007256044E-2</v>
      </c>
    </row>
    <row r="45" spans="1:3" x14ac:dyDescent="0.15">
      <c r="A45" t="s">
        <v>45</v>
      </c>
      <c r="B45" s="17">
        <f>IFERROR(SUMIFS('Full List'!B:B,'Full List'!A:A,CT!$A45,'Full List'!E:E,CT!$A$1),"")</f>
        <v>506079</v>
      </c>
      <c r="C45" s="18">
        <f t="shared" si="0"/>
        <v>0.17791329732967812</v>
      </c>
    </row>
    <row r="46" spans="1:3" x14ac:dyDescent="0.15">
      <c r="A46" t="s">
        <v>46</v>
      </c>
      <c r="B46" s="17">
        <f>IFERROR(SUMIFS('Full List'!B:B,'Full List'!A:A,CT!$A46,'Full List'!E:E,CT!$A$1),"")</f>
        <v>1125854</v>
      </c>
      <c r="C46" s="18">
        <f t="shared" si="0"/>
        <v>0.39579669864153116</v>
      </c>
    </row>
    <row r="47" spans="1:3" x14ac:dyDescent="0.15">
      <c r="A47" t="s">
        <v>47</v>
      </c>
      <c r="B47" s="17">
        <f>IFERROR(SUMIFS('Full List'!B:B,'Full List'!A:A,CT!$A47,'Full List'!E:E,CT!$A$1),"")</f>
        <v>903588</v>
      </c>
      <c r="C47" s="18">
        <f t="shared" si="0"/>
        <v>0.31765854838380808</v>
      </c>
    </row>
    <row r="48" spans="1:3" x14ac:dyDescent="0.15">
      <c r="A48" t="s">
        <v>48</v>
      </c>
      <c r="B48" s="17">
        <f>IFERROR(SUMIFS('Full List'!B:B,'Full List'!A:A,CT!$A48,'Full List'!E:E,CT!$A$1),"")</f>
        <v>333848</v>
      </c>
      <c r="C48" s="18">
        <f t="shared" si="0"/>
        <v>0.11736507242331411</v>
      </c>
    </row>
    <row r="49" spans="1:3" x14ac:dyDescent="0.15">
      <c r="A49" t="s">
        <v>49</v>
      </c>
      <c r="B49" s="17">
        <f>IFERROR(SUMIFS('Full List'!B:B,'Full List'!A:A,CT!$A49,'Full List'!E:E,CT!$A$1),"")</f>
        <v>448913</v>
      </c>
      <c r="C49" s="18">
        <f t="shared" si="0"/>
        <v>0.1578164516689248</v>
      </c>
    </row>
    <row r="50" spans="1:3" x14ac:dyDescent="0.15">
      <c r="A50" t="s">
        <v>50</v>
      </c>
      <c r="B50" s="17">
        <f>IFERROR(SUMIFS('Full List'!B:B,'Full List'!A:A,CT!$A50,'Full List'!E:E,CT!$A$1),"")</f>
        <v>426991</v>
      </c>
      <c r="C50" s="18">
        <f t="shared" si="0"/>
        <v>0.1501097195103859</v>
      </c>
    </row>
    <row r="51" spans="1:3" x14ac:dyDescent="0.15">
      <c r="A51" t="s">
        <v>51</v>
      </c>
      <c r="B51" s="17">
        <f>IFERROR(SUMIFS('Full List'!B:B,'Full List'!A:A,CT!$A51,'Full List'!E:E,CT!$A$1),"")</f>
        <v>840150</v>
      </c>
      <c r="C51" s="18">
        <f t="shared" si="0"/>
        <v>0.29535676594272647</v>
      </c>
    </row>
    <row r="52" spans="1:3" x14ac:dyDescent="0.15">
      <c r="A52" t="s">
        <v>52</v>
      </c>
      <c r="B52" s="17">
        <f>IFERROR(SUMIFS('Full List'!B:B,'Full List'!A:A,CT!$A52,'Full List'!E:E,CT!$A$1),"")</f>
        <v>321300</v>
      </c>
      <c r="C52" s="18">
        <f t="shared" si="0"/>
        <v>0.11295379265297628</v>
      </c>
    </row>
    <row r="53" spans="1:3" x14ac:dyDescent="0.15">
      <c r="A53" t="s">
        <v>53</v>
      </c>
      <c r="B53" s="17">
        <f>IFERROR(SUMIFS('Full List'!B:B,'Full List'!A:A,CT!$A53,'Full List'!E:E,CT!$A$1),"")</f>
        <v>213176</v>
      </c>
      <c r="C53" s="18">
        <f t="shared" si="0"/>
        <v>7.4942538756896576E-2</v>
      </c>
    </row>
    <row r="54" spans="1:3" x14ac:dyDescent="0.15">
      <c r="A54" t="s">
        <v>54</v>
      </c>
      <c r="B54" s="17">
        <f>IFERROR(SUMIFS('Full List'!B:B,'Full List'!A:A,CT!$A54,'Full List'!E:E,CT!$A$1),"")</f>
        <v>960643</v>
      </c>
      <c r="C54" s="18">
        <f t="shared" si="0"/>
        <v>0.33771637172590441</v>
      </c>
    </row>
    <row r="55" spans="1:3" x14ac:dyDescent="0.15">
      <c r="A55" t="s">
        <v>55</v>
      </c>
      <c r="B55" s="17">
        <f>IFERROR(SUMIFS('Full List'!B:B,'Full List'!A:A,CT!$A55,'Full List'!E:E,CT!$A$1),"")</f>
        <v>611822</v>
      </c>
      <c r="C55" s="18">
        <f t="shared" si="0"/>
        <v>0.21508750491294507</v>
      </c>
    </row>
    <row r="56" spans="1:3" x14ac:dyDescent="0.15">
      <c r="A56" t="s">
        <v>56</v>
      </c>
      <c r="B56" s="17">
        <f>IFERROR(SUMIFS('Full List'!B:B,'Full List'!A:A,CT!$A56,'Full List'!E:E,CT!$A$1),"")</f>
        <v>626823</v>
      </c>
      <c r="C56" s="18">
        <f t="shared" si="0"/>
        <v>0.22036114277035962</v>
      </c>
    </row>
    <row r="57" spans="1:3" x14ac:dyDescent="0.15">
      <c r="A57" t="s">
        <v>57</v>
      </c>
      <c r="B57" s="17">
        <f>IFERROR(SUMIFS('Full List'!B:B,'Full List'!A:A,CT!$A57,'Full List'!E:E,CT!$A$1),"")</f>
        <v>321304</v>
      </c>
      <c r="C57" s="18">
        <f t="shared" si="0"/>
        <v>0.1129551988626576</v>
      </c>
    </row>
    <row r="58" spans="1:3" x14ac:dyDescent="0.15">
      <c r="A58" t="s">
        <v>58</v>
      </c>
      <c r="B58" s="17">
        <f>IFERROR(SUMIFS('Full List'!B:B,'Full List'!A:A,CT!$A58,'Full List'!E:E,CT!$A$1),"")</f>
        <v>358738</v>
      </c>
      <c r="C58" s="18">
        <f t="shared" si="0"/>
        <v>0.1261152121654012</v>
      </c>
    </row>
    <row r="59" spans="1:3" x14ac:dyDescent="0.15">
      <c r="A59" t="s">
        <v>59</v>
      </c>
      <c r="B59" s="17">
        <f>IFERROR(SUMIFS('Full List'!B:B,'Full List'!A:A,CT!$A59,'Full List'!E:E,CT!$A$1),"")</f>
        <v>1536052</v>
      </c>
      <c r="C59" s="18">
        <f t="shared" si="0"/>
        <v>0.54000279835726583</v>
      </c>
    </row>
    <row r="60" spans="1:3" x14ac:dyDescent="0.15">
      <c r="A60" t="s">
        <v>60</v>
      </c>
      <c r="B60" s="17">
        <f>IFERROR(SUMIFS('Full List'!B:B,'Full List'!A:A,CT!$A60,'Full List'!E:E,CT!$A$1),"")</f>
        <v>515596</v>
      </c>
      <c r="C60" s="18">
        <f t="shared" si="0"/>
        <v>0.18125902171398681</v>
      </c>
    </row>
    <row r="61" spans="1:3" x14ac:dyDescent="0.15">
      <c r="A61" t="s">
        <v>61</v>
      </c>
      <c r="B61" s="17">
        <f>IFERROR(SUMIFS('Full List'!B:B,'Full List'!A:A,CT!$A61,'Full List'!E:E,CT!$A$1),"")</f>
        <v>637907</v>
      </c>
      <c r="C61" s="18">
        <f t="shared" si="0"/>
        <v>0.22425774979733004</v>
      </c>
    </row>
    <row r="62" spans="1:3" x14ac:dyDescent="0.15">
      <c r="A62" t="s">
        <v>62</v>
      </c>
      <c r="B62" s="17">
        <f>IFERROR(SUMIFS('Full List'!B:B,'Full List'!A:A,CT!$A62,'Full List'!E:E,CT!$A$1),"")</f>
        <v>203258</v>
      </c>
      <c r="C62" s="18">
        <f t="shared" si="0"/>
        <v>7.1455841852034394E-2</v>
      </c>
    </row>
    <row r="63" spans="1:3" x14ac:dyDescent="0.15">
      <c r="A63" t="s">
        <v>63</v>
      </c>
      <c r="B63" s="17">
        <f>IFERROR(SUMIFS('Full List'!B:B,'Full List'!A:A,CT!$A63,'Full List'!E:E,CT!$A$1),"")</f>
        <v>466670</v>
      </c>
      <c r="C63" s="18">
        <f t="shared" si="0"/>
        <v>0.16405896799677697</v>
      </c>
    </row>
    <row r="64" spans="1:3" x14ac:dyDescent="0.15">
      <c r="A64" t="s">
        <v>64</v>
      </c>
      <c r="B64" s="17">
        <f>IFERROR(SUMIFS('Full List'!B:B,'Full List'!A:A,CT!$A64,'Full List'!E:E,CT!$A$1),"")</f>
        <v>244774</v>
      </c>
      <c r="C64" s="18">
        <f t="shared" si="0"/>
        <v>8.6050892134577076E-2</v>
      </c>
    </row>
    <row r="65" spans="1:3" x14ac:dyDescent="0.15">
      <c r="A65" t="s">
        <v>65</v>
      </c>
      <c r="B65" s="17">
        <f>IFERROR(SUMIFS('Full List'!B:B,'Full List'!A:A,CT!$A65,'Full List'!E:E,CT!$A$1),"")</f>
        <v>330127</v>
      </c>
      <c r="C65" s="18">
        <f t="shared" si="0"/>
        <v>0.11605694586725521</v>
      </c>
    </row>
    <row r="66" spans="1:3" x14ac:dyDescent="0.15">
      <c r="A66" t="s">
        <v>66</v>
      </c>
      <c r="B66" s="17">
        <f>IFERROR(SUMIFS('Full List'!B:B,'Full List'!A:A,CT!$A66,'Full List'!E:E,CT!$A$1),"")</f>
        <v>200373</v>
      </c>
      <c r="C66" s="18">
        <f t="shared" si="0"/>
        <v>7.0441613119373844E-2</v>
      </c>
    </row>
    <row r="67" spans="1:3" x14ac:dyDescent="0.15">
      <c r="A67" t="s">
        <v>67</v>
      </c>
      <c r="B67" s="17">
        <f>IFERROR(SUMIFS('Full List'!B:B,'Full List'!A:A,CT!$A67,'Full List'!E:E,CT!$A$1),"")</f>
        <v>650395</v>
      </c>
      <c r="C67" s="18">
        <f t="shared" ref="C67:C82" si="1">IFERROR(B67/$B$2,"")</f>
        <v>0.22864793642244788</v>
      </c>
    </row>
    <row r="68" spans="1:3" x14ac:dyDescent="0.15">
      <c r="A68" t="s">
        <v>68</v>
      </c>
      <c r="B68" s="17">
        <f>IFERROR(SUMIFS('Full List'!B:B,'Full List'!A:A,CT!$A68,'Full List'!E:E,CT!$A$1),"")</f>
        <v>942936</v>
      </c>
      <c r="C68" s="18">
        <f t="shared" si="1"/>
        <v>0.33149143301906892</v>
      </c>
    </row>
    <row r="69" spans="1:3" x14ac:dyDescent="0.15">
      <c r="A69" t="s">
        <v>69</v>
      </c>
      <c r="B69" s="17">
        <f>IFERROR(SUMIFS('Full List'!B:B,'Full List'!A:A,CT!$A69,'Full List'!E:E,CT!$A$1),"")</f>
        <v>1610015</v>
      </c>
      <c r="C69" s="18">
        <f t="shared" si="1"/>
        <v>0.56600467002235166</v>
      </c>
    </row>
    <row r="70" spans="1:3" x14ac:dyDescent="0.15">
      <c r="A70" t="s">
        <v>70</v>
      </c>
      <c r="B70" s="17">
        <f>IFERROR(SUMIFS('Full List'!B:B,'Full List'!A:A,CT!$A70,'Full List'!E:E,CT!$A$1),"")</f>
        <v>713881</v>
      </c>
      <c r="C70" s="18">
        <f t="shared" si="1"/>
        <v>0.25096659337970545</v>
      </c>
    </row>
    <row r="71" spans="1:3" x14ac:dyDescent="0.15">
      <c r="A71" t="s">
        <v>71</v>
      </c>
      <c r="B71" s="17">
        <f>IFERROR(SUMIFS('Full List'!B:B,'Full List'!A:A,CT!$A71,'Full List'!E:E,CT!$A$1),"")</f>
        <v>163249</v>
      </c>
      <c r="C71" s="18">
        <f t="shared" si="1"/>
        <v>5.7390581066933469E-2</v>
      </c>
    </row>
    <row r="72" spans="1:3" x14ac:dyDescent="0.15">
      <c r="A72" t="s">
        <v>72</v>
      </c>
      <c r="B72" s="17">
        <f>IFERROR(SUMIFS('Full List'!B:B,'Full List'!A:A,CT!$A72,'Full List'!E:E,CT!$A$1),"")</f>
        <v>301710</v>
      </c>
      <c r="C72" s="18">
        <f t="shared" si="1"/>
        <v>0.10606688073865382</v>
      </c>
    </row>
    <row r="73" spans="1:3" x14ac:dyDescent="0.15">
      <c r="A73" t="s">
        <v>73</v>
      </c>
      <c r="B73" s="17">
        <f>IFERROR(SUMIFS('Full List'!B:B,'Full List'!A:A,CT!$A73,'Full List'!E:E,CT!$A$1),"")</f>
        <v>1752771</v>
      </c>
      <c r="C73" s="18">
        <f t="shared" si="1"/>
        <v>0.61619088733940208</v>
      </c>
    </row>
    <row r="74" spans="1:3" x14ac:dyDescent="0.15">
      <c r="A74" t="s">
        <v>74</v>
      </c>
      <c r="B74" s="17">
        <f>IFERROR(SUMIFS('Full List'!B:B,'Full List'!A:A,CT!$A74,'Full List'!E:E,CT!$A$1),"")</f>
        <v>784069</v>
      </c>
      <c r="C74" s="18">
        <f t="shared" si="1"/>
        <v>0.27564135465803441</v>
      </c>
    </row>
    <row r="75" spans="1:3" x14ac:dyDescent="0.15">
      <c r="A75" t="s">
        <v>75</v>
      </c>
      <c r="B75" s="17">
        <f>IFERROR(SUMIFS('Full List'!B:B,'Full List'!A:A,CT!$A75,'Full List'!E:E,CT!$A$1),"")</f>
        <v>492775</v>
      </c>
      <c r="C75" s="18">
        <f t="shared" si="1"/>
        <v>0.17323624392956857</v>
      </c>
    </row>
    <row r="76" spans="1:3" x14ac:dyDescent="0.15">
      <c r="A76" t="s">
        <v>76</v>
      </c>
      <c r="B76" s="17">
        <f>IFERROR(SUMIFS('Full List'!B:B,'Full List'!A:A,CT!$A76,'Full List'!E:E,CT!$A$1),"")</f>
        <v>268002</v>
      </c>
      <c r="C76" s="18">
        <f t="shared" si="1"/>
        <v>9.4216751754070807E-2</v>
      </c>
    </row>
    <row r="77" spans="1:3" x14ac:dyDescent="0.15">
      <c r="A77" t="s">
        <v>77</v>
      </c>
      <c r="B77" s="17">
        <f>IFERROR(SUMIFS('Full List'!B:B,'Full List'!A:A,CT!$A77,'Full List'!E:E,CT!$A$1),"")</f>
        <v>164930</v>
      </c>
      <c r="C77" s="18">
        <f t="shared" si="1"/>
        <v>5.7981540685513158E-2</v>
      </c>
    </row>
    <row r="78" spans="1:3" x14ac:dyDescent="0.15">
      <c r="A78" t="s">
        <v>78</v>
      </c>
      <c r="B78" s="17">
        <f>IFERROR(SUMIFS('Full List'!B:B,'Full List'!A:A,CT!$A78,'Full List'!E:E,CT!$A$1),"")</f>
        <v>245609</v>
      </c>
      <c r="C78" s="18">
        <f t="shared" si="1"/>
        <v>8.6344438405555085E-2</v>
      </c>
    </row>
    <row r="79" spans="1:3" x14ac:dyDescent="0.15">
      <c r="A79" t="s">
        <v>79</v>
      </c>
      <c r="B79" s="17">
        <f>IFERROR(SUMIFS('Full List'!B:B,'Full List'!A:A,CT!$A79,'Full List'!E:E,CT!$A$1),"")</f>
        <v>394496</v>
      </c>
      <c r="C79" s="18">
        <f t="shared" si="1"/>
        <v>0.13868602361166676</v>
      </c>
    </row>
    <row r="80" spans="1:3" x14ac:dyDescent="0.15">
      <c r="A80" t="s">
        <v>80</v>
      </c>
      <c r="B80" s="17">
        <f>IFERROR(SUMIFS('Full List'!B:B,'Full List'!A:A,CT!$A80,'Full List'!E:E,CT!$A$1),"")</f>
        <v>671970</v>
      </c>
      <c r="C80" s="18">
        <f t="shared" si="1"/>
        <v>0.23623267989113125</v>
      </c>
    </row>
    <row r="81" spans="1:6" x14ac:dyDescent="0.15">
      <c r="A81" t="s">
        <v>81</v>
      </c>
      <c r="B81" s="17">
        <f>IFERROR(SUMIFS('Full List'!B:B,'Full List'!A:A,CT!$A81,'Full List'!E:E,CT!$A$1),"")</f>
        <v>613594</v>
      </c>
      <c r="C81" s="18">
        <f t="shared" si="1"/>
        <v>0.21571045580177506</v>
      </c>
    </row>
    <row r="82" spans="1:6" x14ac:dyDescent="0.15">
      <c r="A82" t="s">
        <v>82</v>
      </c>
      <c r="B82" s="17">
        <f>IFERROR(SUMIFS('Full List'!B:B,'Full List'!A:A,CT!$A82,'Full List'!E:E,CT!$A$1),"")</f>
        <v>343481</v>
      </c>
      <c r="C82" s="18">
        <f t="shared" si="1"/>
        <v>0.12075157688838141</v>
      </c>
    </row>
    <row r="83" spans="1:6" x14ac:dyDescent="0.15">
      <c r="B83" s="17"/>
      <c r="C83" s="18"/>
      <c r="D83" t="s">
        <v>812</v>
      </c>
      <c r="E83" t="s">
        <v>860</v>
      </c>
    </row>
    <row r="84" spans="1:6" x14ac:dyDescent="0.15">
      <c r="A84" t="s">
        <v>933</v>
      </c>
      <c r="B84" s="17">
        <v>1103539</v>
      </c>
      <c r="C84" s="18">
        <f t="shared" ref="C84:C102" si="2">IFERROR(B84/$B$2,"")</f>
        <v>0.38795180638180138</v>
      </c>
      <c r="D84">
        <v>17</v>
      </c>
      <c r="E84" t="str">
        <f>VLOOKUP(D84,Validation!$A$2:$C$41,3,FALSE)</f>
        <v>MLB</v>
      </c>
      <c r="F84" t="s">
        <v>1351</v>
      </c>
    </row>
    <row r="85" spans="1:6" x14ac:dyDescent="0.15">
      <c r="A85" t="s">
        <v>926</v>
      </c>
      <c r="B85" s="17">
        <v>1002583</v>
      </c>
      <c r="C85" s="18">
        <f t="shared" si="2"/>
        <v>0.35246048023466825</v>
      </c>
      <c r="D85">
        <v>27</v>
      </c>
      <c r="E85" t="str">
        <f>VLOOKUP(D85,Validation!$A$2:$C$41,3,FALSE)</f>
        <v xml:space="preserve">NFL </v>
      </c>
      <c r="F85" t="s">
        <v>1351</v>
      </c>
    </row>
    <row r="86" spans="1:6" x14ac:dyDescent="0.15">
      <c r="A86" t="s">
        <v>924</v>
      </c>
      <c r="B86" s="17">
        <v>806452</v>
      </c>
      <c r="C86" s="18">
        <f t="shared" si="2"/>
        <v>0.28351015248234679</v>
      </c>
      <c r="D86">
        <v>27</v>
      </c>
      <c r="E86" t="str">
        <f>VLOOKUP(D86,Validation!$A$2:$C$41,3,FALSE)</f>
        <v xml:space="preserve">NFL </v>
      </c>
      <c r="F86" t="s">
        <v>1351</v>
      </c>
    </row>
    <row r="87" spans="1:6" x14ac:dyDescent="0.15">
      <c r="A87" t="s">
        <v>923</v>
      </c>
      <c r="B87" s="17">
        <v>795085</v>
      </c>
      <c r="C87" s="18">
        <f t="shared" si="2"/>
        <v>0.27951405612042218</v>
      </c>
      <c r="D87">
        <v>17</v>
      </c>
      <c r="E87" t="str">
        <f>VLOOKUP(D87,Validation!$A$2:$C$41,3,FALSE)</f>
        <v>MLB</v>
      </c>
      <c r="F87" t="s">
        <v>1350</v>
      </c>
    </row>
    <row r="88" spans="1:6" x14ac:dyDescent="0.15">
      <c r="A88" t="s">
        <v>936</v>
      </c>
      <c r="B88" s="17">
        <v>679068</v>
      </c>
      <c r="C88" s="18">
        <f t="shared" si="2"/>
        <v>0.23872799897065453</v>
      </c>
      <c r="D88">
        <v>4</v>
      </c>
      <c r="E88" t="str">
        <f>VLOOKUP(D88,Validation!$A$2:$C$41,3,FALSE)</f>
        <v>MCB</v>
      </c>
      <c r="F88" t="s">
        <v>1350</v>
      </c>
    </row>
    <row r="89" spans="1:6" x14ac:dyDescent="0.15">
      <c r="A89" t="s">
        <v>928</v>
      </c>
      <c r="B89" s="17">
        <v>665309</v>
      </c>
      <c r="C89" s="18">
        <f t="shared" si="2"/>
        <v>0.23389098921929347</v>
      </c>
      <c r="D89">
        <v>27</v>
      </c>
      <c r="E89" t="str">
        <f>VLOOKUP(D89,Validation!$A$2:$C$41,3,FALSE)</f>
        <v xml:space="preserve">NFL </v>
      </c>
      <c r="F89" t="s">
        <v>1351</v>
      </c>
    </row>
    <row r="90" spans="1:6" x14ac:dyDescent="0.15">
      <c r="A90" t="s">
        <v>930</v>
      </c>
      <c r="B90" s="17">
        <v>434413</v>
      </c>
      <c r="C90" s="18">
        <f t="shared" si="2"/>
        <v>0.15271894157409704</v>
      </c>
      <c r="D90">
        <v>17</v>
      </c>
      <c r="E90" t="str">
        <f>VLOOKUP(D90,Validation!$A$2:$C$41,3,FALSE)</f>
        <v>MLB</v>
      </c>
      <c r="F90" t="s">
        <v>1351</v>
      </c>
    </row>
    <row r="91" spans="1:6" x14ac:dyDescent="0.15">
      <c r="A91" t="s">
        <v>937</v>
      </c>
      <c r="B91" s="17">
        <v>410959</v>
      </c>
      <c r="C91" s="18">
        <f t="shared" si="2"/>
        <v>0.14447363110760808</v>
      </c>
      <c r="D91">
        <v>5</v>
      </c>
      <c r="E91" t="str">
        <f>VLOOKUP(D91,Validation!$A$2:$C$41,3,FALSE)</f>
        <v>CFB</v>
      </c>
      <c r="F91" t="s">
        <v>1350</v>
      </c>
    </row>
    <row r="92" spans="1:6" x14ac:dyDescent="0.15">
      <c r="A92" t="s">
        <v>922</v>
      </c>
      <c r="B92" s="17">
        <v>379561</v>
      </c>
      <c r="C92" s="18">
        <f t="shared" si="2"/>
        <v>0.13343558821399418</v>
      </c>
      <c r="D92">
        <v>26</v>
      </c>
      <c r="E92" t="str">
        <f>VLOOKUP(D92,Validation!$A$2:$C$41,3,FALSE)</f>
        <v xml:space="preserve">NBA </v>
      </c>
    </row>
    <row r="93" spans="1:6" x14ac:dyDescent="0.15">
      <c r="A93" t="s">
        <v>929</v>
      </c>
      <c r="B93" s="17">
        <v>168227</v>
      </c>
      <c r="C93" s="18">
        <f t="shared" si="2"/>
        <v>5.9140609015350891E-2</v>
      </c>
      <c r="D93">
        <v>26</v>
      </c>
      <c r="E93" t="str">
        <f>VLOOKUP(D93,Validation!$A$2:$C$41,3,FALSE)</f>
        <v xml:space="preserve">NBA </v>
      </c>
      <c r="F93" t="s">
        <v>1350</v>
      </c>
    </row>
    <row r="94" spans="1:6" x14ac:dyDescent="0.15">
      <c r="A94" t="s">
        <v>931</v>
      </c>
      <c r="B94" s="17">
        <v>107323</v>
      </c>
      <c r="C94" s="18">
        <f t="shared" si="2"/>
        <v>3.7729660407393006E-2</v>
      </c>
      <c r="D94">
        <v>28</v>
      </c>
      <c r="E94" t="str">
        <f>VLOOKUP(D94,Validation!$A$2:$C$41,3,FALSE)</f>
        <v xml:space="preserve">NHL </v>
      </c>
      <c r="F94" t="s">
        <v>1350</v>
      </c>
    </row>
    <row r="95" spans="1:6" x14ac:dyDescent="0.15">
      <c r="A95" t="s">
        <v>934</v>
      </c>
      <c r="B95" s="17">
        <v>61262</v>
      </c>
      <c r="C95" s="18">
        <f t="shared" si="2"/>
        <v>2.1536804374437078E-2</v>
      </c>
      <c r="D95">
        <v>26</v>
      </c>
      <c r="E95" t="str">
        <f>VLOOKUP(D95,Validation!$A$2:$C$41,3,FALSE)</f>
        <v xml:space="preserve">NBA </v>
      </c>
      <c r="F95" t="s">
        <v>1350</v>
      </c>
    </row>
    <row r="96" spans="1:6" x14ac:dyDescent="0.15">
      <c r="A96" t="s">
        <v>925</v>
      </c>
      <c r="B96" s="17">
        <v>46665</v>
      </c>
      <c r="C96" s="18">
        <f t="shared" si="2"/>
        <v>1.640519369483703E-2</v>
      </c>
      <c r="D96">
        <v>28</v>
      </c>
      <c r="E96" t="str">
        <f>VLOOKUP(D96,Validation!$A$2:$C$41,3,FALSE)</f>
        <v xml:space="preserve">NHL </v>
      </c>
      <c r="F96" t="s">
        <v>1351</v>
      </c>
    </row>
    <row r="97" spans="1:6" x14ac:dyDescent="0.15">
      <c r="A97" t="s">
        <v>927</v>
      </c>
      <c r="B97" s="17">
        <v>40117</v>
      </c>
      <c r="C97" s="18">
        <f t="shared" si="2"/>
        <v>1.4103228446496885E-2</v>
      </c>
      <c r="D97">
        <v>28</v>
      </c>
      <c r="E97" t="str">
        <f>VLOOKUP(D97,Validation!$A$2:$C$41,3,FALSE)</f>
        <v xml:space="preserve">NHL </v>
      </c>
      <c r="F97" t="s">
        <v>1351</v>
      </c>
    </row>
    <row r="98" spans="1:6" x14ac:dyDescent="0.15">
      <c r="A98" t="s">
        <v>932</v>
      </c>
      <c r="B98" s="17">
        <v>31449</v>
      </c>
      <c r="C98" s="18">
        <f t="shared" si="2"/>
        <v>1.105597206705089E-2</v>
      </c>
      <c r="D98">
        <v>18</v>
      </c>
      <c r="E98" t="str">
        <f>VLOOKUP(D98,Validation!$A$2:$C$41,3,FALSE)</f>
        <v>MLS</v>
      </c>
    </row>
    <row r="99" spans="1:6" x14ac:dyDescent="0.15">
      <c r="A99" t="s">
        <v>941</v>
      </c>
      <c r="B99" s="17">
        <v>25600</v>
      </c>
      <c r="C99" s="18">
        <f t="shared" si="2"/>
        <v>8.9997419605234753E-3</v>
      </c>
      <c r="D99">
        <v>4</v>
      </c>
      <c r="E99" t="str">
        <f>VLOOKUP(D99,Validation!$A$2:$C$41,3,FALSE)</f>
        <v>MCB</v>
      </c>
      <c r="F99" t="s">
        <v>1350</v>
      </c>
    </row>
    <row r="100" spans="1:6" x14ac:dyDescent="0.15">
      <c r="A100" t="s">
        <v>940</v>
      </c>
      <c r="B100" s="17">
        <v>21157</v>
      </c>
      <c r="C100" s="18">
        <f t="shared" si="2"/>
        <v>7.4377945569841864E-3</v>
      </c>
      <c r="D100">
        <v>4</v>
      </c>
      <c r="E100" t="str">
        <f>VLOOKUP(D100,Validation!$A$2:$C$41,3,FALSE)</f>
        <v>MCB</v>
      </c>
      <c r="F100" t="s">
        <v>1351</v>
      </c>
    </row>
    <row r="101" spans="1:6" x14ac:dyDescent="0.15">
      <c r="A101" t="s">
        <v>939</v>
      </c>
      <c r="B101" s="17">
        <v>18257</v>
      </c>
      <c r="C101" s="18">
        <f t="shared" si="2"/>
        <v>6.4182925380186365E-3</v>
      </c>
      <c r="D101">
        <v>5</v>
      </c>
      <c r="E101" t="str">
        <f>VLOOKUP(D101,Validation!$A$2:$C$41,3,FALSE)</f>
        <v>CFB</v>
      </c>
      <c r="F101" t="s">
        <v>1351</v>
      </c>
    </row>
    <row r="102" spans="1:6" x14ac:dyDescent="0.15">
      <c r="A102" t="s">
        <v>938</v>
      </c>
      <c r="B102" s="17">
        <v>15499</v>
      </c>
      <c r="C102" s="18">
        <f t="shared" si="2"/>
        <v>5.4487109627403656E-3</v>
      </c>
      <c r="D102">
        <v>4</v>
      </c>
      <c r="E102" t="str">
        <f>VLOOKUP(D102,Validation!$A$2:$C$41,3,FALSE)</f>
        <v>MCB</v>
      </c>
      <c r="F102" t="s">
        <v>1351</v>
      </c>
    </row>
  </sheetData>
  <pageMargins left="0.7" right="0.7" top="0.75" bottom="0.75" header="0.3" footer="0.3"/>
  <pageSetup orientation="portrait" verticalDpi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 enableFormatConditionsCalculation="0"/>
  <dimension ref="A1:F95"/>
  <sheetViews>
    <sheetView topLeftCell="A64" zoomScale="85" zoomScaleNormal="85" zoomScalePageLayoutView="85" workbookViewId="0">
      <selection activeCell="F96" sqref="F96"/>
    </sheetView>
  </sheetViews>
  <sheetFormatPr baseColWidth="10" defaultColWidth="8.83203125" defaultRowHeight="13" x14ac:dyDescent="0.15"/>
  <cols>
    <col min="1" max="1" width="33.33203125" bestFit="1" customWidth="1"/>
    <col min="2" max="2" width="10.5" bestFit="1" customWidth="1"/>
  </cols>
  <sheetData>
    <row r="1" spans="1:3" x14ac:dyDescent="0.15">
      <c r="A1" t="s">
        <v>1379</v>
      </c>
      <c r="B1" t="s">
        <v>807</v>
      </c>
      <c r="C1" t="s">
        <v>811</v>
      </c>
    </row>
    <row r="2" spans="1:3" x14ac:dyDescent="0.15">
      <c r="A2" t="s">
        <v>0</v>
      </c>
      <c r="B2" s="17">
        <f>IFERROR(SUMIFS('Full List'!B:B,'Full List'!A:A,DC!$A2,'Full List'!E:E,DC!$A$1),"")</f>
        <v>5006850</v>
      </c>
      <c r="C2" s="18">
        <f>IFERROR(B2/$B$2,"")</f>
        <v>1</v>
      </c>
    </row>
    <row r="3" spans="1:3" x14ac:dyDescent="0.15">
      <c r="A3" t="s">
        <v>3</v>
      </c>
      <c r="B3" s="17">
        <f>IFERROR(SUMIFS('Full List'!B:B,'Full List'!A:A,DC!$A3,'Full List'!E:E,DC!$A$1),"")</f>
        <v>37727</v>
      </c>
      <c r="C3" s="18">
        <f t="shared" ref="C3:C66" si="0">IFERROR(B3/$B$2,"")</f>
        <v>7.5350769445859172E-3</v>
      </c>
    </row>
    <row r="4" spans="1:3" x14ac:dyDescent="0.15">
      <c r="A4" t="s">
        <v>4</v>
      </c>
      <c r="B4" s="17">
        <f>IFERROR(SUMIFS('Full List'!B:B,'Full List'!A:A,DC!$A4,'Full List'!E:E,DC!$A$1),"")</f>
        <v>57570</v>
      </c>
      <c r="C4" s="18">
        <f t="shared" si="0"/>
        <v>1.1498247401060547E-2</v>
      </c>
    </row>
    <row r="5" spans="1:3" x14ac:dyDescent="0.15">
      <c r="A5" t="s">
        <v>5</v>
      </c>
      <c r="B5" s="17">
        <f>IFERROR(SUMIFS('Full List'!B:B,'Full List'!A:A,DC!$A5,'Full List'!E:E,DC!$A$1),"")</f>
        <v>103493</v>
      </c>
      <c r="C5" s="18">
        <f t="shared" si="0"/>
        <v>2.067028171405175E-2</v>
      </c>
    </row>
    <row r="6" spans="1:3" x14ac:dyDescent="0.15">
      <c r="A6" t="s">
        <v>6</v>
      </c>
      <c r="B6" s="17">
        <f>IFERROR(SUMIFS('Full List'!B:B,'Full List'!A:A,DC!$A6,'Full List'!E:E,DC!$A$1),"")</f>
        <v>562882</v>
      </c>
      <c r="C6" s="18">
        <f t="shared" si="0"/>
        <v>0.11242238133756753</v>
      </c>
    </row>
    <row r="7" spans="1:3" x14ac:dyDescent="0.15">
      <c r="A7" t="s">
        <v>7</v>
      </c>
      <c r="B7" s="17">
        <f>IFERROR(SUMIFS('Full List'!B:B,'Full List'!A:A,DC!$A7,'Full List'!E:E,DC!$A$1),"")</f>
        <v>792175</v>
      </c>
      <c r="C7" s="18">
        <f t="shared" si="0"/>
        <v>0.15821824100981655</v>
      </c>
    </row>
    <row r="8" spans="1:3" x14ac:dyDescent="0.15">
      <c r="A8" t="s">
        <v>8</v>
      </c>
      <c r="B8" s="17">
        <f>IFERROR(SUMIFS('Full List'!B:B,'Full List'!A:A,DC!$A8,'Full List'!E:E,DC!$A$1),"")</f>
        <v>94035</v>
      </c>
      <c r="C8" s="18">
        <f t="shared" si="0"/>
        <v>1.8781269660565026E-2</v>
      </c>
    </row>
    <row r="9" spans="1:3" x14ac:dyDescent="0.15">
      <c r="A9" t="s">
        <v>9</v>
      </c>
      <c r="B9" s="17">
        <f>IFERROR(SUMIFS('Full List'!B:B,'Full List'!A:A,DC!$A9,'Full List'!E:E,DC!$A$1),"")</f>
        <v>244688</v>
      </c>
      <c r="C9" s="18">
        <f t="shared" si="0"/>
        <v>4.8870647213317756E-2</v>
      </c>
    </row>
    <row r="10" spans="1:3" x14ac:dyDescent="0.15">
      <c r="A10" t="s">
        <v>10</v>
      </c>
      <c r="B10" s="17">
        <f>IFERROR(SUMIFS('Full List'!B:B,'Full List'!A:A,DC!$A10,'Full List'!E:E,DC!$A$1),"")</f>
        <v>131207</v>
      </c>
      <c r="C10" s="18">
        <f t="shared" si="0"/>
        <v>2.6205498467100075E-2</v>
      </c>
    </row>
    <row r="11" spans="1:3" x14ac:dyDescent="0.15">
      <c r="A11" t="s">
        <v>11</v>
      </c>
      <c r="B11" s="17">
        <f>IFERROR(SUMIFS('Full List'!B:B,'Full List'!A:A,DC!$A11,'Full List'!E:E,DC!$A$1),"")</f>
        <v>315757</v>
      </c>
      <c r="C11" s="18">
        <f t="shared" si="0"/>
        <v>6.3065000948700281E-2</v>
      </c>
    </row>
    <row r="12" spans="1:3" x14ac:dyDescent="0.15">
      <c r="A12" t="s">
        <v>12</v>
      </c>
      <c r="B12" s="17">
        <f>IFERROR(SUMIFS('Full List'!B:B,'Full List'!A:A,DC!$A12,'Full List'!E:E,DC!$A$1),"")</f>
        <v>84281</v>
      </c>
      <c r="C12" s="18">
        <f t="shared" si="0"/>
        <v>1.6833138600117838E-2</v>
      </c>
    </row>
    <row r="13" spans="1:3" x14ac:dyDescent="0.15">
      <c r="A13" t="s">
        <v>13</v>
      </c>
      <c r="B13" s="17">
        <f>IFERROR(SUMIFS('Full List'!B:B,'Full List'!A:A,DC!$A13,'Full List'!E:E,DC!$A$1),"")</f>
        <v>43573</v>
      </c>
      <c r="C13" s="18">
        <f t="shared" si="0"/>
        <v>8.7026773320550838E-3</v>
      </c>
    </row>
    <row r="14" spans="1:3" x14ac:dyDescent="0.15">
      <c r="A14" t="s">
        <v>14</v>
      </c>
      <c r="B14" s="17">
        <f>IFERROR(SUMIFS('Full List'!B:B,'Full List'!A:A,DC!$A14,'Full List'!E:E,DC!$A$1),"")</f>
        <v>362869</v>
      </c>
      <c r="C14" s="18">
        <f t="shared" si="0"/>
        <v>7.2474509921407665E-2</v>
      </c>
    </row>
    <row r="15" spans="1:3" x14ac:dyDescent="0.15">
      <c r="A15" t="s">
        <v>15</v>
      </c>
      <c r="B15" s="17">
        <f>IFERROR(SUMIFS('Full List'!B:B,'Full List'!A:A,DC!$A15,'Full List'!E:E,DC!$A$1),"")</f>
        <v>210106</v>
      </c>
      <c r="C15" s="18">
        <f t="shared" si="0"/>
        <v>4.1963709717686766E-2</v>
      </c>
    </row>
    <row r="16" spans="1:3" x14ac:dyDescent="0.15">
      <c r="A16" t="s">
        <v>16</v>
      </c>
      <c r="B16" s="17">
        <f>IFERROR(SUMIFS('Full List'!B:B,'Full List'!A:A,DC!$A16,'Full List'!E:E,DC!$A$1),"")</f>
        <v>227046</v>
      </c>
      <c r="C16" s="18">
        <f t="shared" si="0"/>
        <v>4.5347074507924141E-2</v>
      </c>
    </row>
    <row r="17" spans="1:3" x14ac:dyDescent="0.15">
      <c r="A17" t="s">
        <v>17</v>
      </c>
      <c r="B17" s="17">
        <f>IFERROR(SUMIFS('Full List'!B:B,'Full List'!A:A,DC!$A17,'Full List'!E:E,DC!$A$1),"")</f>
        <v>71892</v>
      </c>
      <c r="C17" s="18">
        <f t="shared" si="0"/>
        <v>1.4358728541897601E-2</v>
      </c>
    </row>
    <row r="18" spans="1:3" x14ac:dyDescent="0.15">
      <c r="A18" t="s">
        <v>18</v>
      </c>
      <c r="B18" s="17">
        <f>IFERROR(SUMIFS('Full List'!B:B,'Full List'!A:A,DC!$A18,'Full List'!E:E,DC!$A$1),"")</f>
        <v>71828</v>
      </c>
      <c r="C18" s="18">
        <f t="shared" si="0"/>
        <v>1.4345946053906149E-2</v>
      </c>
    </row>
    <row r="19" spans="1:3" x14ac:dyDescent="0.15">
      <c r="A19" t="s">
        <v>19</v>
      </c>
      <c r="B19" s="17">
        <f>IFERROR(SUMIFS('Full List'!B:B,'Full List'!A:A,DC!$A19,'Full List'!E:E,DC!$A$1),"")</f>
        <v>699512</v>
      </c>
      <c r="C19" s="18">
        <f t="shared" si="0"/>
        <v>0.13971099593556827</v>
      </c>
    </row>
    <row r="20" spans="1:3" x14ac:dyDescent="0.15">
      <c r="A20" t="s">
        <v>20</v>
      </c>
      <c r="B20" s="17">
        <f>IFERROR(SUMIFS('Full List'!B:B,'Full List'!A:A,DC!$A20,'Full List'!E:E,DC!$A$1),"")</f>
        <v>130924</v>
      </c>
      <c r="C20" s="18">
        <f t="shared" si="0"/>
        <v>2.6148975903012871E-2</v>
      </c>
    </row>
    <row r="21" spans="1:3" x14ac:dyDescent="0.15">
      <c r="A21" t="s">
        <v>21</v>
      </c>
      <c r="B21" s="17">
        <f>IFERROR(SUMIFS('Full List'!B:B,'Full List'!A:A,DC!$A21,'Full List'!E:E,DC!$A$1),"")</f>
        <v>240630</v>
      </c>
      <c r="C21" s="18">
        <f t="shared" si="0"/>
        <v>4.8060157584109767E-2</v>
      </c>
    </row>
    <row r="22" spans="1:3" x14ac:dyDescent="0.15">
      <c r="A22" t="s">
        <v>22</v>
      </c>
      <c r="B22" s="17">
        <f>IFERROR(SUMIFS('Full List'!B:B,'Full List'!A:A,DC!$A22,'Full List'!E:E,DC!$A$1),"")</f>
        <v>100204</v>
      </c>
      <c r="C22" s="18">
        <f t="shared" si="0"/>
        <v>2.001338166711605E-2</v>
      </c>
    </row>
    <row r="23" spans="1:3" x14ac:dyDescent="0.15">
      <c r="A23" t="s">
        <v>23</v>
      </c>
      <c r="B23" s="17">
        <f>IFERROR(SUMIFS('Full List'!B:B,'Full List'!A:A,DC!$A23,'Full List'!E:E,DC!$A$1),"")</f>
        <v>68941</v>
      </c>
      <c r="C23" s="18">
        <f t="shared" si="0"/>
        <v>1.3769336009666757E-2</v>
      </c>
    </row>
    <row r="24" spans="1:3" x14ac:dyDescent="0.15">
      <c r="A24" t="s">
        <v>24</v>
      </c>
      <c r="B24" s="17">
        <f>IFERROR(SUMIFS('Full List'!B:B,'Full List'!A:A,DC!$A24,'Full List'!E:E,DC!$A$1),"")</f>
        <v>27868</v>
      </c>
      <c r="C24" s="18">
        <f t="shared" si="0"/>
        <v>5.5659746147777543E-3</v>
      </c>
    </row>
    <row r="25" spans="1:3" x14ac:dyDescent="0.15">
      <c r="A25" t="s">
        <v>25</v>
      </c>
      <c r="B25" s="17">
        <f>IFERROR(SUMIFS('Full List'!B:B,'Full List'!A:A,DC!$A25,'Full List'!E:E,DC!$A$1),"")</f>
        <v>97603</v>
      </c>
      <c r="C25" s="18">
        <f t="shared" si="0"/>
        <v>1.949389336608846E-2</v>
      </c>
    </row>
    <row r="26" spans="1:3" x14ac:dyDescent="0.15">
      <c r="A26" t="s">
        <v>26</v>
      </c>
      <c r="B26" s="17">
        <f>IFERROR(SUMIFS('Full List'!B:B,'Full List'!A:A,DC!$A26,'Full List'!E:E,DC!$A$1),"")</f>
        <v>38860</v>
      </c>
      <c r="C26" s="18">
        <f t="shared" si="0"/>
        <v>7.7613669273095855E-3</v>
      </c>
    </row>
    <row r="27" spans="1:3" x14ac:dyDescent="0.15">
      <c r="A27" t="s">
        <v>27</v>
      </c>
      <c r="B27" s="17">
        <f>IFERROR(SUMIFS('Full List'!B:B,'Full List'!A:A,DC!$A27,'Full List'!E:E,DC!$A$1),"")</f>
        <v>277837</v>
      </c>
      <c r="C27" s="18">
        <f t="shared" si="0"/>
        <v>5.5491376813765141E-2</v>
      </c>
    </row>
    <row r="28" spans="1:3" x14ac:dyDescent="0.15">
      <c r="A28" t="s">
        <v>28</v>
      </c>
      <c r="B28" s="17">
        <f>IFERROR(SUMIFS('Full List'!B:B,'Full List'!A:A,DC!$A28,'Full List'!E:E,DC!$A$1),"")</f>
        <v>441449</v>
      </c>
      <c r="C28" s="18">
        <f t="shared" si="0"/>
        <v>8.8169008458411982E-2</v>
      </c>
    </row>
    <row r="29" spans="1:3" x14ac:dyDescent="0.15">
      <c r="A29" t="s">
        <v>29</v>
      </c>
      <c r="B29" s="17">
        <f>IFERROR(SUMIFS('Full List'!B:B,'Full List'!A:A,DC!$A29,'Full List'!E:E,DC!$A$1),"")</f>
        <v>1709880</v>
      </c>
      <c r="C29" s="18">
        <f t="shared" si="0"/>
        <v>0.34150813385661644</v>
      </c>
    </row>
    <row r="30" spans="1:3" x14ac:dyDescent="0.15">
      <c r="A30" t="s">
        <v>30</v>
      </c>
      <c r="B30" s="17">
        <f>IFERROR(SUMIFS('Full List'!B:B,'Full List'!A:A,DC!$A30,'Full List'!E:E,DC!$A$1),"")</f>
        <v>372974</v>
      </c>
      <c r="C30" s="18">
        <f t="shared" si="0"/>
        <v>7.4492744939432975E-2</v>
      </c>
    </row>
    <row r="31" spans="1:3" x14ac:dyDescent="0.15">
      <c r="A31" t="s">
        <v>31</v>
      </c>
      <c r="B31" s="17">
        <f>IFERROR(SUMIFS('Full List'!B:B,'Full List'!A:A,DC!$A31,'Full List'!E:E,DC!$A$1),"")</f>
        <v>62826</v>
      </c>
      <c r="C31" s="18">
        <f t="shared" si="0"/>
        <v>1.2548009227358518E-2</v>
      </c>
    </row>
    <row r="32" spans="1:3" x14ac:dyDescent="0.15">
      <c r="A32" t="s">
        <v>32</v>
      </c>
      <c r="B32" s="17">
        <f>IFERROR(SUMIFS('Full List'!B:B,'Full List'!A:A,DC!$A32,'Full List'!E:E,DC!$A$1),"")</f>
        <v>98916</v>
      </c>
      <c r="C32" s="18">
        <f t="shared" si="0"/>
        <v>1.9756134096288087E-2</v>
      </c>
    </row>
    <row r="33" spans="1:3" x14ac:dyDescent="0.15">
      <c r="A33" t="s">
        <v>33</v>
      </c>
      <c r="B33" s="17">
        <f>IFERROR(SUMIFS('Full List'!B:B,'Full List'!A:A,DC!$A33,'Full List'!E:E,DC!$A$1),"")</f>
        <v>1471897</v>
      </c>
      <c r="C33" s="18">
        <f t="shared" si="0"/>
        <v>0.29397665198677814</v>
      </c>
    </row>
    <row r="34" spans="1:3" x14ac:dyDescent="0.15">
      <c r="A34" t="s">
        <v>34</v>
      </c>
      <c r="B34" s="17">
        <f>IFERROR(SUMIFS('Full List'!B:B,'Full List'!A:A,DC!$A34,'Full List'!E:E,DC!$A$1),"")</f>
        <v>312960</v>
      </c>
      <c r="C34" s="18">
        <f t="shared" si="0"/>
        <v>6.2506366278198874E-2</v>
      </c>
    </row>
    <row r="35" spans="1:3" x14ac:dyDescent="0.15">
      <c r="A35" t="s">
        <v>35</v>
      </c>
      <c r="B35" s="17">
        <f>IFERROR(SUMIFS('Full List'!B:B,'Full List'!A:A,DC!$A35,'Full List'!E:E,DC!$A$1),"")</f>
        <v>268533</v>
      </c>
      <c r="C35" s="18">
        <f t="shared" si="0"/>
        <v>5.3633122622007846E-2</v>
      </c>
    </row>
    <row r="36" spans="1:3" x14ac:dyDescent="0.15">
      <c r="A36" t="s">
        <v>36</v>
      </c>
      <c r="B36" s="17">
        <f>IFERROR(SUMIFS('Full List'!B:B,'Full List'!A:A,DC!$A36,'Full List'!E:E,DC!$A$1),"")</f>
        <v>72985</v>
      </c>
      <c r="C36" s="18">
        <f t="shared" si="0"/>
        <v>1.4577029469626612E-2</v>
      </c>
    </row>
    <row r="37" spans="1:3" x14ac:dyDescent="0.15">
      <c r="A37" t="s">
        <v>37</v>
      </c>
      <c r="B37" s="17">
        <f>IFERROR(SUMIFS('Full List'!B:B,'Full List'!A:A,DC!$A37,'Full List'!E:E,DC!$A$1),"")</f>
        <v>47647</v>
      </c>
      <c r="C37" s="18">
        <f t="shared" si="0"/>
        <v>9.516362583260933E-3</v>
      </c>
    </row>
    <row r="38" spans="1:3" x14ac:dyDescent="0.15">
      <c r="A38" t="s">
        <v>38</v>
      </c>
      <c r="B38" s="17">
        <f>IFERROR(SUMIFS('Full List'!B:B,'Full List'!A:A,DC!$A38,'Full List'!E:E,DC!$A$1),"")</f>
        <v>31503</v>
      </c>
      <c r="C38" s="18">
        <f t="shared" si="0"/>
        <v>6.2919799874172387E-3</v>
      </c>
    </row>
    <row r="39" spans="1:3" x14ac:dyDescent="0.15">
      <c r="A39" t="s">
        <v>39</v>
      </c>
      <c r="B39" s="17">
        <f>IFERROR(SUMIFS('Full List'!B:B,'Full List'!A:A,DC!$A39,'Full List'!E:E,DC!$A$1),"")</f>
        <v>208834</v>
      </c>
      <c r="C39" s="18">
        <f t="shared" si="0"/>
        <v>4.1709657768856663E-2</v>
      </c>
    </row>
    <row r="40" spans="1:3" x14ac:dyDescent="0.15">
      <c r="A40" t="s">
        <v>40</v>
      </c>
      <c r="B40" s="17">
        <f>IFERROR(SUMIFS('Full List'!B:B,'Full List'!A:A,DC!$A40,'Full List'!E:E,DC!$A$1),"")</f>
        <v>86601</v>
      </c>
      <c r="C40" s="18">
        <f t="shared" si="0"/>
        <v>1.7296503789807963E-2</v>
      </c>
    </row>
    <row r="41" spans="1:3" x14ac:dyDescent="0.15">
      <c r="A41" t="s">
        <v>41</v>
      </c>
      <c r="B41" s="17">
        <f>IFERROR(SUMIFS('Full List'!B:B,'Full List'!A:A,DC!$A41,'Full List'!E:E,DC!$A$1),"")</f>
        <v>231587</v>
      </c>
      <c r="C41" s="18">
        <f t="shared" si="0"/>
        <v>4.6254031976192614E-2</v>
      </c>
    </row>
    <row r="42" spans="1:3" x14ac:dyDescent="0.15">
      <c r="A42" t="s">
        <v>42</v>
      </c>
      <c r="B42" s="17">
        <f>IFERROR(SUMIFS('Full List'!B:B,'Full List'!A:A,DC!$A42,'Full List'!E:E,DC!$A$1),"")</f>
        <v>171752</v>
      </c>
      <c r="C42" s="18">
        <f t="shared" si="0"/>
        <v>3.4303404336059599E-2</v>
      </c>
    </row>
    <row r="43" spans="1:3" x14ac:dyDescent="0.15">
      <c r="A43" t="s">
        <v>43</v>
      </c>
      <c r="B43" s="17">
        <f>IFERROR(SUMIFS('Full List'!B:B,'Full List'!A:A,DC!$A43,'Full List'!E:E,DC!$A$1),"")</f>
        <v>260901</v>
      </c>
      <c r="C43" s="18">
        <f t="shared" si="0"/>
        <v>5.2108810929027236E-2</v>
      </c>
    </row>
    <row r="44" spans="1:3" x14ac:dyDescent="0.15">
      <c r="A44" t="s">
        <v>44</v>
      </c>
      <c r="B44" s="17">
        <f>IFERROR(SUMIFS('Full List'!B:B,'Full List'!A:A,DC!$A44,'Full List'!E:E,DC!$A$1),"")</f>
        <v>437070</v>
      </c>
      <c r="C44" s="18">
        <f t="shared" si="0"/>
        <v>8.729440666287186E-2</v>
      </c>
    </row>
    <row r="45" spans="1:3" x14ac:dyDescent="0.15">
      <c r="A45" t="s">
        <v>45</v>
      </c>
      <c r="B45" s="17">
        <f>IFERROR(SUMIFS('Full List'!B:B,'Full List'!A:A,DC!$A45,'Full List'!E:E,DC!$A$1),"")</f>
        <v>772542</v>
      </c>
      <c r="C45" s="18">
        <f t="shared" si="0"/>
        <v>0.15429701309206387</v>
      </c>
    </row>
    <row r="46" spans="1:3" x14ac:dyDescent="0.15">
      <c r="A46" t="s">
        <v>46</v>
      </c>
      <c r="B46" s="17">
        <f>IFERROR(SUMIFS('Full List'!B:B,'Full List'!A:A,DC!$A46,'Full List'!E:E,DC!$A$1),"")</f>
        <v>1743758</v>
      </c>
      <c r="C46" s="18">
        <f t="shared" si="0"/>
        <v>0.34827446398434148</v>
      </c>
    </row>
    <row r="47" spans="1:3" x14ac:dyDescent="0.15">
      <c r="A47" t="s">
        <v>47</v>
      </c>
      <c r="B47" s="17">
        <f>IFERROR(SUMIFS('Full List'!B:B,'Full List'!A:A,DC!$A47,'Full List'!E:E,DC!$A$1),"")</f>
        <v>2128481</v>
      </c>
      <c r="C47" s="18">
        <f t="shared" si="0"/>
        <v>0.42511379410208017</v>
      </c>
    </row>
    <row r="48" spans="1:3" x14ac:dyDescent="0.15">
      <c r="A48" t="s">
        <v>48</v>
      </c>
      <c r="B48" s="17">
        <f>IFERROR(SUMIFS('Full List'!B:B,'Full List'!A:A,DC!$A48,'Full List'!E:E,DC!$A$1),"")</f>
        <v>525381</v>
      </c>
      <c r="C48" s="18">
        <f t="shared" si="0"/>
        <v>0.10493244255370143</v>
      </c>
    </row>
    <row r="49" spans="1:3" x14ac:dyDescent="0.15">
      <c r="A49" t="s">
        <v>49</v>
      </c>
      <c r="B49" s="17">
        <f>IFERROR(SUMIFS('Full List'!B:B,'Full List'!A:A,DC!$A49,'Full List'!E:E,DC!$A$1),"")</f>
        <v>959752</v>
      </c>
      <c r="C49" s="18">
        <f t="shared" si="0"/>
        <v>0.1916877877308088</v>
      </c>
    </row>
    <row r="50" spans="1:3" x14ac:dyDescent="0.15">
      <c r="A50" t="s">
        <v>50</v>
      </c>
      <c r="B50" s="17">
        <f>IFERROR(SUMIFS('Full List'!B:B,'Full List'!A:A,DC!$A50,'Full List'!E:E,DC!$A$1),"")</f>
        <v>690740</v>
      </c>
      <c r="C50" s="18">
        <f t="shared" si="0"/>
        <v>0.13795899617523993</v>
      </c>
    </row>
    <row r="51" spans="1:3" x14ac:dyDescent="0.15">
      <c r="A51" t="s">
        <v>51</v>
      </c>
      <c r="B51" s="17">
        <f>IFERROR(SUMIFS('Full List'!B:B,'Full List'!A:A,DC!$A51,'Full List'!E:E,DC!$A$1),"")</f>
        <v>1590070</v>
      </c>
      <c r="C51" s="18">
        <f t="shared" si="0"/>
        <v>0.31757891688386908</v>
      </c>
    </row>
    <row r="52" spans="1:3" x14ac:dyDescent="0.15">
      <c r="A52" t="s">
        <v>52</v>
      </c>
      <c r="B52" s="17">
        <f>IFERROR(SUMIFS('Full List'!B:B,'Full List'!A:A,DC!$A52,'Full List'!E:E,DC!$A$1),"")</f>
        <v>489756</v>
      </c>
      <c r="C52" s="18">
        <f t="shared" si="0"/>
        <v>9.7817190449084754E-2</v>
      </c>
    </row>
    <row r="53" spans="1:3" x14ac:dyDescent="0.15">
      <c r="A53" t="s">
        <v>53</v>
      </c>
      <c r="B53" s="17">
        <f>IFERROR(SUMIFS('Full List'!B:B,'Full List'!A:A,DC!$A53,'Full List'!E:E,DC!$A$1),"")</f>
        <v>320239</v>
      </c>
      <c r="C53" s="18">
        <f t="shared" si="0"/>
        <v>6.3960174560851638E-2</v>
      </c>
    </row>
    <row r="54" spans="1:3" x14ac:dyDescent="0.15">
      <c r="A54" t="s">
        <v>54</v>
      </c>
      <c r="B54" s="17">
        <f>IFERROR(SUMIFS('Full List'!B:B,'Full List'!A:A,DC!$A54,'Full List'!E:E,DC!$A$1),"")</f>
        <v>1738952</v>
      </c>
      <c r="C54" s="18">
        <f t="shared" si="0"/>
        <v>0.34731457902673335</v>
      </c>
    </row>
    <row r="55" spans="1:3" x14ac:dyDescent="0.15">
      <c r="A55" t="s">
        <v>55</v>
      </c>
      <c r="B55" s="17">
        <f>IFERROR(SUMIFS('Full List'!B:B,'Full List'!A:A,DC!$A55,'Full List'!E:E,DC!$A$1),"")</f>
        <v>1117324</v>
      </c>
      <c r="C55" s="18">
        <f t="shared" si="0"/>
        <v>0.22315907207126237</v>
      </c>
    </row>
    <row r="56" spans="1:3" x14ac:dyDescent="0.15">
      <c r="A56" t="s">
        <v>56</v>
      </c>
      <c r="B56" s="17">
        <f>IFERROR(SUMIFS('Full List'!B:B,'Full List'!A:A,DC!$A56,'Full List'!E:E,DC!$A$1),"")</f>
        <v>1124354</v>
      </c>
      <c r="C56" s="18">
        <f t="shared" si="0"/>
        <v>0.22456314848657338</v>
      </c>
    </row>
    <row r="57" spans="1:3" x14ac:dyDescent="0.15">
      <c r="A57" t="s">
        <v>57</v>
      </c>
      <c r="B57" s="17">
        <f>IFERROR(SUMIFS('Full List'!B:B,'Full List'!A:A,DC!$A57,'Full List'!E:E,DC!$A$1),"")</f>
        <v>479797</v>
      </c>
      <c r="C57" s="18">
        <f t="shared" si="0"/>
        <v>9.5828115481789947E-2</v>
      </c>
    </row>
    <row r="58" spans="1:3" x14ac:dyDescent="0.15">
      <c r="A58" t="s">
        <v>58</v>
      </c>
      <c r="B58" s="17">
        <f>IFERROR(SUMIFS('Full List'!B:B,'Full List'!A:A,DC!$A58,'Full List'!E:E,DC!$A$1),"")</f>
        <v>599407</v>
      </c>
      <c r="C58" s="18">
        <f t="shared" si="0"/>
        <v>0.119717387179564</v>
      </c>
    </row>
    <row r="59" spans="1:3" x14ac:dyDescent="0.15">
      <c r="A59" t="s">
        <v>59</v>
      </c>
      <c r="B59" s="17">
        <f>IFERROR(SUMIFS('Full List'!B:B,'Full List'!A:A,DC!$A59,'Full List'!E:E,DC!$A$1),"")</f>
        <v>2357580</v>
      </c>
      <c r="C59" s="18">
        <f t="shared" si="0"/>
        <v>0.47087090685760508</v>
      </c>
    </row>
    <row r="60" spans="1:3" x14ac:dyDescent="0.15">
      <c r="A60" t="s">
        <v>60</v>
      </c>
      <c r="B60" s="17">
        <f>IFERROR(SUMIFS('Full List'!B:B,'Full List'!A:A,DC!$A60,'Full List'!E:E,DC!$A$1),"")</f>
        <v>1052397</v>
      </c>
      <c r="C60" s="18">
        <f t="shared" si="0"/>
        <v>0.21019143773030949</v>
      </c>
    </row>
    <row r="61" spans="1:3" x14ac:dyDescent="0.15">
      <c r="A61" t="s">
        <v>61</v>
      </c>
      <c r="B61" s="17">
        <f>IFERROR(SUMIFS('Full List'!B:B,'Full List'!A:A,DC!$A61,'Full List'!E:E,DC!$A$1),"")</f>
        <v>1152638</v>
      </c>
      <c r="C61" s="18">
        <f t="shared" si="0"/>
        <v>0.23021220927329558</v>
      </c>
    </row>
    <row r="62" spans="1:3" x14ac:dyDescent="0.15">
      <c r="A62" t="s">
        <v>62</v>
      </c>
      <c r="B62" s="17">
        <f>IFERROR(SUMIFS('Full List'!B:B,'Full List'!A:A,DC!$A62,'Full List'!E:E,DC!$A$1),"")</f>
        <v>475314</v>
      </c>
      <c r="C62" s="18">
        <f t="shared" si="0"/>
        <v>9.4932742143263735E-2</v>
      </c>
    </row>
    <row r="63" spans="1:3" x14ac:dyDescent="0.15">
      <c r="A63" t="s">
        <v>63</v>
      </c>
      <c r="B63" s="17">
        <f>IFERROR(SUMIFS('Full List'!B:B,'Full List'!A:A,DC!$A63,'Full List'!E:E,DC!$A$1),"")</f>
        <v>718792</v>
      </c>
      <c r="C63" s="18">
        <f t="shared" si="0"/>
        <v>0.14356172044299309</v>
      </c>
    </row>
    <row r="64" spans="1:3" x14ac:dyDescent="0.15">
      <c r="A64" t="s">
        <v>64</v>
      </c>
      <c r="B64" s="17">
        <f>IFERROR(SUMIFS('Full List'!B:B,'Full List'!A:A,DC!$A64,'Full List'!E:E,DC!$A$1),"")</f>
        <v>314611</v>
      </c>
      <c r="C64" s="18">
        <f t="shared" si="0"/>
        <v>6.2836114523103351E-2</v>
      </c>
    </row>
    <row r="65" spans="1:3" x14ac:dyDescent="0.15">
      <c r="A65" t="s">
        <v>65</v>
      </c>
      <c r="B65" s="17">
        <f>IFERROR(SUMIFS('Full List'!B:B,'Full List'!A:A,DC!$A65,'Full List'!E:E,DC!$A$1),"")</f>
        <v>499843</v>
      </c>
      <c r="C65" s="18">
        <f t="shared" si="0"/>
        <v>9.9831830392362458E-2</v>
      </c>
    </row>
    <row r="66" spans="1:3" x14ac:dyDescent="0.15">
      <c r="A66" t="s">
        <v>66</v>
      </c>
      <c r="B66" s="17">
        <f>IFERROR(SUMIFS('Full List'!B:B,'Full List'!A:A,DC!$A66,'Full List'!E:E,DC!$A$1),"")</f>
        <v>251050</v>
      </c>
      <c r="C66" s="18">
        <f t="shared" si="0"/>
        <v>5.0141306410218002E-2</v>
      </c>
    </row>
    <row r="67" spans="1:3" x14ac:dyDescent="0.15">
      <c r="A67" t="s">
        <v>67</v>
      </c>
      <c r="B67" s="17">
        <f>IFERROR(SUMIFS('Full List'!B:B,'Full List'!A:A,DC!$A67,'Full List'!E:E,DC!$A$1),"")</f>
        <v>1077947</v>
      </c>
      <c r="C67" s="18">
        <f t="shared" ref="C67:C82" si="1">IFERROR(B67/$B$2,"")</f>
        <v>0.21529444660814684</v>
      </c>
    </row>
    <row r="68" spans="1:3" x14ac:dyDescent="0.15">
      <c r="A68" t="s">
        <v>68</v>
      </c>
      <c r="B68" s="17">
        <f>IFERROR(SUMIFS('Full List'!B:B,'Full List'!A:A,DC!$A68,'Full List'!E:E,DC!$A$1),"")</f>
        <v>1764070</v>
      </c>
      <c r="C68" s="18">
        <f t="shared" si="1"/>
        <v>0.35233130611062846</v>
      </c>
    </row>
    <row r="69" spans="1:3" x14ac:dyDescent="0.15">
      <c r="A69" t="s">
        <v>69</v>
      </c>
      <c r="B69" s="17">
        <f>IFERROR(SUMIFS('Full List'!B:B,'Full List'!A:A,DC!$A69,'Full List'!E:E,DC!$A$1),"")</f>
        <v>3328386</v>
      </c>
      <c r="C69" s="18">
        <f t="shared" si="1"/>
        <v>0.66476646993618738</v>
      </c>
    </row>
    <row r="70" spans="1:3" x14ac:dyDescent="0.15">
      <c r="A70" t="s">
        <v>70</v>
      </c>
      <c r="B70" s="17">
        <f>IFERROR(SUMIFS('Full List'!B:B,'Full List'!A:A,DC!$A70,'Full List'!E:E,DC!$A$1),"")</f>
        <v>1634730</v>
      </c>
      <c r="C70" s="18">
        <f t="shared" si="1"/>
        <v>0.326498696785404</v>
      </c>
    </row>
    <row r="71" spans="1:3" x14ac:dyDescent="0.15">
      <c r="A71" t="s">
        <v>71</v>
      </c>
      <c r="B71" s="17">
        <f>IFERROR(SUMIFS('Full List'!B:B,'Full List'!A:A,DC!$A71,'Full List'!E:E,DC!$A$1),"")</f>
        <v>301597</v>
      </c>
      <c r="C71" s="18">
        <f t="shared" si="1"/>
        <v>6.023687548059159E-2</v>
      </c>
    </row>
    <row r="72" spans="1:3" x14ac:dyDescent="0.15">
      <c r="A72" t="s">
        <v>72</v>
      </c>
      <c r="B72" s="17">
        <f>IFERROR(SUMIFS('Full List'!B:B,'Full List'!A:A,DC!$A72,'Full List'!E:E,DC!$A$1),"")</f>
        <v>439765</v>
      </c>
      <c r="C72" s="18">
        <f t="shared" si="1"/>
        <v>8.7832669243136902E-2</v>
      </c>
    </row>
    <row r="73" spans="1:3" x14ac:dyDescent="0.15">
      <c r="A73" t="s">
        <v>73</v>
      </c>
      <c r="B73" s="17">
        <f>IFERROR(SUMIFS('Full List'!B:B,'Full List'!A:A,DC!$A73,'Full List'!E:E,DC!$A$1),"")</f>
        <v>3238713</v>
      </c>
      <c r="C73" s="18">
        <f t="shared" si="1"/>
        <v>0.64685640672278977</v>
      </c>
    </row>
    <row r="74" spans="1:3" x14ac:dyDescent="0.15">
      <c r="A74" t="s">
        <v>74</v>
      </c>
      <c r="B74" s="17">
        <f>IFERROR(SUMIFS('Full List'!B:B,'Full List'!A:A,DC!$A74,'Full List'!E:E,DC!$A$1),"")</f>
        <v>1363452</v>
      </c>
      <c r="C74" s="18">
        <f t="shared" si="1"/>
        <v>0.27231732526438779</v>
      </c>
    </row>
    <row r="75" spans="1:3" x14ac:dyDescent="0.15">
      <c r="A75" t="s">
        <v>75</v>
      </c>
      <c r="B75" s="17">
        <f>IFERROR(SUMIFS('Full List'!B:B,'Full List'!A:A,DC!$A75,'Full List'!E:E,DC!$A$1),"")</f>
        <v>1040491</v>
      </c>
      <c r="C75" s="18">
        <f t="shared" si="1"/>
        <v>0.20781349551114972</v>
      </c>
    </row>
    <row r="76" spans="1:3" x14ac:dyDescent="0.15">
      <c r="A76" t="s">
        <v>76</v>
      </c>
      <c r="B76" s="17">
        <f>IFERROR(SUMIFS('Full List'!B:B,'Full List'!A:A,DC!$A76,'Full List'!E:E,DC!$A$1),"")</f>
        <v>480677</v>
      </c>
      <c r="C76" s="18">
        <f t="shared" si="1"/>
        <v>9.6003874691672403E-2</v>
      </c>
    </row>
    <row r="77" spans="1:3" x14ac:dyDescent="0.15">
      <c r="A77" t="s">
        <v>77</v>
      </c>
      <c r="B77" s="17">
        <f>IFERROR(SUMIFS('Full List'!B:B,'Full List'!A:A,DC!$A77,'Full List'!E:E,DC!$A$1),"")</f>
        <v>377158</v>
      </c>
      <c r="C77" s="18">
        <f t="shared" si="1"/>
        <v>7.5328400091874137E-2</v>
      </c>
    </row>
    <row r="78" spans="1:3" x14ac:dyDescent="0.15">
      <c r="A78" t="s">
        <v>78</v>
      </c>
      <c r="B78" s="17">
        <f>IFERROR(SUMIFS('Full List'!B:B,'Full List'!A:A,DC!$A78,'Full List'!E:E,DC!$A$1),"")</f>
        <v>322618</v>
      </c>
      <c r="C78" s="18">
        <f t="shared" si="1"/>
        <v>6.4435323606658879E-2</v>
      </c>
    </row>
    <row r="79" spans="1:3" x14ac:dyDescent="0.15">
      <c r="A79" t="s">
        <v>79</v>
      </c>
      <c r="B79" s="17">
        <f>IFERROR(SUMIFS('Full List'!B:B,'Full List'!A:A,DC!$A79,'Full List'!E:E,DC!$A$1),"")</f>
        <v>742184</v>
      </c>
      <c r="C79" s="18">
        <f t="shared" si="1"/>
        <v>0.14823371980386871</v>
      </c>
    </row>
    <row r="80" spans="1:3" x14ac:dyDescent="0.15">
      <c r="A80" t="s">
        <v>80</v>
      </c>
      <c r="B80" s="17">
        <f>IFERROR(SUMIFS('Full List'!B:B,'Full List'!A:A,DC!$A80,'Full List'!E:E,DC!$A$1),"")</f>
        <v>730300</v>
      </c>
      <c r="C80" s="18">
        <f t="shared" si="1"/>
        <v>0.14586017156495601</v>
      </c>
    </row>
    <row r="81" spans="1:6" x14ac:dyDescent="0.15">
      <c r="A81" t="s">
        <v>81</v>
      </c>
      <c r="B81" s="17">
        <f>IFERROR(SUMIFS('Full List'!B:B,'Full List'!A:A,DC!$A81,'Full List'!E:E,DC!$A$1),"")</f>
        <v>1190412</v>
      </c>
      <c r="C81" s="18">
        <f t="shared" si="1"/>
        <v>0.23775667335750023</v>
      </c>
    </row>
    <row r="82" spans="1:6" x14ac:dyDescent="0.15">
      <c r="A82" t="s">
        <v>82</v>
      </c>
      <c r="B82" s="17">
        <f>IFERROR(SUMIFS('Full List'!B:B,'Full List'!A:A,DC!$A82,'Full List'!E:E,DC!$A$1),"")</f>
        <v>524096</v>
      </c>
      <c r="C82" s="18">
        <f t="shared" si="1"/>
        <v>0.10467579416199806</v>
      </c>
    </row>
    <row r="83" spans="1:6" x14ac:dyDescent="0.15">
      <c r="B83" s="17"/>
      <c r="C83" s="18"/>
      <c r="D83" t="s">
        <v>812</v>
      </c>
      <c r="E83" t="s">
        <v>860</v>
      </c>
      <c r="F83" t="s">
        <v>1349</v>
      </c>
    </row>
    <row r="84" spans="1:6" x14ac:dyDescent="0.15">
      <c r="A84" t="s">
        <v>1051</v>
      </c>
      <c r="B84" s="17">
        <v>2637271</v>
      </c>
      <c r="C84" s="18">
        <v>0.52700000000000002</v>
      </c>
      <c r="D84">
        <v>27</v>
      </c>
      <c r="E84" t="str">
        <f>VLOOKUP(D84,Validation!$A$2:$C$41,3,FALSE)</f>
        <v xml:space="preserve">NFL </v>
      </c>
      <c r="F84" t="s">
        <v>1350</v>
      </c>
    </row>
    <row r="85" spans="1:6" x14ac:dyDescent="0.15">
      <c r="A85" t="s">
        <v>1050</v>
      </c>
      <c r="B85" s="17">
        <v>1953155</v>
      </c>
      <c r="C85" s="18">
        <v>0.39</v>
      </c>
      <c r="D85">
        <v>17</v>
      </c>
      <c r="E85" t="str">
        <f>VLOOKUP(D85,Validation!$A$2:$C$41,3,FALSE)</f>
        <v>MLB</v>
      </c>
      <c r="F85" t="s">
        <v>1350</v>
      </c>
    </row>
    <row r="86" spans="1:6" x14ac:dyDescent="0.15">
      <c r="A86" t="s">
        <v>1049</v>
      </c>
      <c r="B86" s="17">
        <v>1103922</v>
      </c>
      <c r="C86" s="18">
        <v>0.22</v>
      </c>
      <c r="D86">
        <v>28</v>
      </c>
      <c r="E86" t="str">
        <f>VLOOKUP(D86,Validation!$A$2:$C$41,3,FALSE)</f>
        <v xml:space="preserve">NHL </v>
      </c>
      <c r="F86" t="s">
        <v>1350</v>
      </c>
    </row>
    <row r="87" spans="1:6" x14ac:dyDescent="0.15">
      <c r="A87" t="s">
        <v>1052</v>
      </c>
      <c r="B87" s="17">
        <v>842332</v>
      </c>
      <c r="C87" s="18">
        <v>0.16800000000000001</v>
      </c>
      <c r="D87">
        <v>26</v>
      </c>
      <c r="E87" t="str">
        <f>VLOOKUP(D87,Validation!$A$2:$C$41,3,FALSE)</f>
        <v xml:space="preserve">NBA </v>
      </c>
      <c r="F87" t="s">
        <v>1351</v>
      </c>
    </row>
    <row r="88" spans="1:6" x14ac:dyDescent="0.15">
      <c r="A88" t="s">
        <v>1248</v>
      </c>
      <c r="B88" s="17">
        <v>650543</v>
      </c>
      <c r="C88" s="18">
        <v>0.13</v>
      </c>
      <c r="D88">
        <v>4</v>
      </c>
      <c r="E88" t="str">
        <f>VLOOKUP(D88,Validation!$A$2:$C$41,3,FALSE)</f>
        <v>MCB</v>
      </c>
      <c r="F88" t="s">
        <v>1351</v>
      </c>
    </row>
    <row r="89" spans="1:6" x14ac:dyDescent="0.15">
      <c r="A89" t="s">
        <v>1249</v>
      </c>
      <c r="B89" s="17">
        <v>640661</v>
      </c>
      <c r="C89" s="18">
        <v>0.128</v>
      </c>
      <c r="D89">
        <v>5</v>
      </c>
      <c r="E89" t="str">
        <f>VLOOKUP(D89,Validation!$A$2:$C$41,3,FALSE)</f>
        <v>CFB</v>
      </c>
      <c r="F89" t="s">
        <v>1351</v>
      </c>
    </row>
    <row r="90" spans="1:6" x14ac:dyDescent="0.15">
      <c r="A90" t="s">
        <v>1048</v>
      </c>
      <c r="B90" s="17">
        <v>477556</v>
      </c>
      <c r="C90" s="18">
        <v>9.5000000000000001E-2</v>
      </c>
      <c r="D90">
        <v>18</v>
      </c>
      <c r="E90" t="str">
        <f>VLOOKUP(D90,Validation!$A$2:$C$41,3,FALSE)</f>
        <v>MLS</v>
      </c>
    </row>
    <row r="91" spans="1:6" x14ac:dyDescent="0.15">
      <c r="A91" t="s">
        <v>1247</v>
      </c>
      <c r="B91" s="17">
        <v>469554</v>
      </c>
      <c r="C91" s="18">
        <v>9.4E-2</v>
      </c>
      <c r="D91">
        <v>4</v>
      </c>
      <c r="E91" t="str">
        <f>VLOOKUP(D91,Validation!$A$2:$C$41,3,FALSE)</f>
        <v>MCB</v>
      </c>
      <c r="F91" t="s">
        <v>1350</v>
      </c>
    </row>
    <row r="92" spans="1:6" x14ac:dyDescent="0.15">
      <c r="A92" t="s">
        <v>1252</v>
      </c>
      <c r="B92" s="17">
        <v>324386</v>
      </c>
      <c r="C92" s="18">
        <v>6.5000000000000002E-2</v>
      </c>
      <c r="D92">
        <v>5</v>
      </c>
      <c r="E92" t="str">
        <f>VLOOKUP(D92,Validation!$A$2:$C$41,3,FALSE)</f>
        <v>CFB</v>
      </c>
      <c r="F92" t="s">
        <v>1351</v>
      </c>
    </row>
    <row r="93" spans="1:6" x14ac:dyDescent="0.15">
      <c r="A93" t="s">
        <v>1251</v>
      </c>
      <c r="B93" s="17">
        <v>255765</v>
      </c>
      <c r="C93" s="18">
        <v>5.0999999999999997E-2</v>
      </c>
      <c r="D93">
        <v>4</v>
      </c>
      <c r="E93" t="str">
        <f>VLOOKUP(D93,Validation!$A$2:$C$41,3,FALSE)</f>
        <v>MCB</v>
      </c>
      <c r="F93" t="s">
        <v>1351</v>
      </c>
    </row>
    <row r="94" spans="1:6" x14ac:dyDescent="0.15">
      <c r="A94" t="s">
        <v>1245</v>
      </c>
      <c r="B94" s="17">
        <v>243117</v>
      </c>
      <c r="C94" s="18">
        <v>4.9000000000000002E-2</v>
      </c>
      <c r="D94">
        <v>4</v>
      </c>
      <c r="E94" t="str">
        <f>VLOOKUP(D94,Validation!$A$2:$C$41,3,FALSE)</f>
        <v>MCB</v>
      </c>
      <c r="F94" t="s">
        <v>1350</v>
      </c>
    </row>
    <row r="95" spans="1:6" x14ac:dyDescent="0.15">
      <c r="A95" t="s">
        <v>1246</v>
      </c>
      <c r="B95" s="17">
        <v>118156</v>
      </c>
      <c r="C95" s="18">
        <v>2.4E-2</v>
      </c>
      <c r="D95">
        <v>4</v>
      </c>
      <c r="E95" t="str">
        <f>VLOOKUP(D95,Validation!$A$2:$C$41,3,FALSE)</f>
        <v>MCB</v>
      </c>
      <c r="F95" t="s">
        <v>1350</v>
      </c>
    </row>
  </sheetData>
  <pageMargins left="0.7" right="0.7" top="0.75" bottom="0.75" header="0.3" footer="0.3"/>
  <pageSetup orientation="portrait" verticalDpi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F106"/>
  <sheetViews>
    <sheetView topLeftCell="A78" zoomScale="85" zoomScaleNormal="85" zoomScalePageLayoutView="85" workbookViewId="0">
      <selection activeCell="A106" sqref="A106"/>
    </sheetView>
  </sheetViews>
  <sheetFormatPr baseColWidth="10" defaultColWidth="8.83203125" defaultRowHeight="13" x14ac:dyDescent="0.15"/>
  <cols>
    <col min="1" max="1" width="33.33203125" bestFit="1" customWidth="1"/>
    <col min="2" max="2" width="10.5" bestFit="1" customWidth="1"/>
  </cols>
  <sheetData>
    <row r="1" spans="1:3" x14ac:dyDescent="0.15">
      <c r="A1" t="s">
        <v>106</v>
      </c>
      <c r="B1" t="s">
        <v>807</v>
      </c>
      <c r="C1" t="s">
        <v>811</v>
      </c>
    </row>
    <row r="2" spans="1:3" x14ac:dyDescent="0.15">
      <c r="A2" t="s">
        <v>0</v>
      </c>
      <c r="B2" s="17">
        <f>IFERROR(SUMIFS('Full List'!B:B,'Full List'!A:A,FL!$A2,'Full List'!E:E,FL!$A$1),"")</f>
        <v>14914540</v>
      </c>
      <c r="C2" s="18">
        <f>IFERROR(B2/$B$2,"")</f>
        <v>1</v>
      </c>
    </row>
    <row r="3" spans="1:3" x14ac:dyDescent="0.15">
      <c r="A3" t="s">
        <v>3</v>
      </c>
      <c r="B3" s="17">
        <f>IFERROR(SUMIFS('Full List'!B:B,'Full List'!A:A,FL!$A3,'Full List'!E:E,FL!$A$1),"")</f>
        <v>163063</v>
      </c>
      <c r="C3" s="18">
        <f t="shared" ref="C3:C66" si="0">IFERROR(B3/$B$2,"")</f>
        <v>1.0933156503653481E-2</v>
      </c>
    </row>
    <row r="4" spans="1:3" x14ac:dyDescent="0.15">
      <c r="A4" t="s">
        <v>4</v>
      </c>
      <c r="B4" s="17">
        <f>IFERROR(SUMIFS('Full List'!B:B,'Full List'!A:A,FL!$A4,'Full List'!E:E,FL!$A$1),"")</f>
        <v>200289</v>
      </c>
      <c r="C4" s="18">
        <f t="shared" si="0"/>
        <v>1.3429110116704907E-2</v>
      </c>
    </row>
    <row r="5" spans="1:3" x14ac:dyDescent="0.15">
      <c r="A5" t="s">
        <v>5</v>
      </c>
      <c r="B5" s="17">
        <f>IFERROR(SUMIFS('Full List'!B:B,'Full List'!A:A,FL!$A5,'Full List'!E:E,FL!$A$1),"")</f>
        <v>436294</v>
      </c>
      <c r="C5" s="18">
        <f t="shared" si="0"/>
        <v>2.9252930361915286E-2</v>
      </c>
    </row>
    <row r="6" spans="1:3" x14ac:dyDescent="0.15">
      <c r="A6" t="s">
        <v>6</v>
      </c>
      <c r="B6" s="17">
        <f>IFERROR(SUMIFS('Full List'!B:B,'Full List'!A:A,FL!$A6,'Full List'!E:E,FL!$A$1),"")</f>
        <v>1156228</v>
      </c>
      <c r="C6" s="18">
        <f t="shared" si="0"/>
        <v>7.7523544138806827E-2</v>
      </c>
    </row>
    <row r="7" spans="1:3" x14ac:dyDescent="0.15">
      <c r="A7" t="s">
        <v>7</v>
      </c>
      <c r="B7" s="17">
        <f>IFERROR(SUMIFS('Full List'!B:B,'Full List'!A:A,FL!$A7,'Full List'!E:E,FL!$A$1),"")</f>
        <v>3036975</v>
      </c>
      <c r="C7" s="18">
        <f t="shared" si="0"/>
        <v>0.20362512018473247</v>
      </c>
    </row>
    <row r="8" spans="1:3" x14ac:dyDescent="0.15">
      <c r="A8" t="s">
        <v>8</v>
      </c>
      <c r="B8" s="17">
        <f>IFERROR(SUMIFS('Full List'!B:B,'Full List'!A:A,FL!$A8,'Full List'!E:E,FL!$A$1),"")</f>
        <v>134589</v>
      </c>
      <c r="C8" s="18">
        <f t="shared" si="0"/>
        <v>9.0240128089770118E-3</v>
      </c>
    </row>
    <row r="9" spans="1:3" x14ac:dyDescent="0.15">
      <c r="A9" t="s">
        <v>9</v>
      </c>
      <c r="B9" s="17">
        <f>IFERROR(SUMIFS('Full List'!B:B,'Full List'!A:A,FL!$A9,'Full List'!E:E,FL!$A$1),"")</f>
        <v>583700</v>
      </c>
      <c r="C9" s="18">
        <f t="shared" si="0"/>
        <v>3.9136305913558177E-2</v>
      </c>
    </row>
    <row r="10" spans="1:3" x14ac:dyDescent="0.15">
      <c r="A10" t="s">
        <v>10</v>
      </c>
      <c r="B10" s="17">
        <f>IFERROR(SUMIFS('Full List'!B:B,'Full List'!A:A,FL!$A10,'Full List'!E:E,FL!$A$1),"")</f>
        <v>317854</v>
      </c>
      <c r="C10" s="18">
        <f t="shared" si="0"/>
        <v>2.1311686448257875E-2</v>
      </c>
    </row>
    <row r="11" spans="1:3" x14ac:dyDescent="0.15">
      <c r="A11" t="s">
        <v>11</v>
      </c>
      <c r="B11" s="17">
        <f>IFERROR(SUMIFS('Full List'!B:B,'Full List'!A:A,FL!$A11,'Full List'!E:E,FL!$A$1),"")</f>
        <v>964669</v>
      </c>
      <c r="C11" s="18">
        <f t="shared" si="0"/>
        <v>6.4679768869841114E-2</v>
      </c>
    </row>
    <row r="12" spans="1:3" x14ac:dyDescent="0.15">
      <c r="A12" t="s">
        <v>12</v>
      </c>
      <c r="B12" s="17">
        <f>IFERROR(SUMIFS('Full List'!B:B,'Full List'!A:A,FL!$A12,'Full List'!E:E,FL!$A$1),"")</f>
        <v>269322</v>
      </c>
      <c r="C12" s="18">
        <f t="shared" si="0"/>
        <v>1.8057680625751783E-2</v>
      </c>
    </row>
    <row r="13" spans="1:3" x14ac:dyDescent="0.15">
      <c r="A13" t="s">
        <v>13</v>
      </c>
      <c r="B13" s="17">
        <f>IFERROR(SUMIFS('Full List'!B:B,'Full List'!A:A,FL!$A13,'Full List'!E:E,FL!$A$1),"")</f>
        <v>162013</v>
      </c>
      <c r="C13" s="18">
        <f t="shared" si="0"/>
        <v>1.086275540512815E-2</v>
      </c>
    </row>
    <row r="14" spans="1:3" x14ac:dyDescent="0.15">
      <c r="A14" t="s">
        <v>14</v>
      </c>
      <c r="B14" s="17">
        <f>IFERROR(SUMIFS('Full List'!B:B,'Full List'!A:A,FL!$A14,'Full List'!E:E,FL!$A$1),"")</f>
        <v>1102937</v>
      </c>
      <c r="C14" s="18">
        <f t="shared" si="0"/>
        <v>7.3950453718317835E-2</v>
      </c>
    </row>
    <row r="15" spans="1:3" x14ac:dyDescent="0.15">
      <c r="A15" t="s">
        <v>15</v>
      </c>
      <c r="B15" s="17">
        <f>IFERROR(SUMIFS('Full List'!B:B,'Full List'!A:A,FL!$A15,'Full List'!E:E,FL!$A$1),"")</f>
        <v>619140</v>
      </c>
      <c r="C15" s="18">
        <f t="shared" si="0"/>
        <v>4.1512510610451275E-2</v>
      </c>
    </row>
    <row r="16" spans="1:3" x14ac:dyDescent="0.15">
      <c r="A16" t="s">
        <v>16</v>
      </c>
      <c r="B16" s="17">
        <f>IFERROR(SUMIFS('Full List'!B:B,'Full List'!A:A,FL!$A16,'Full List'!E:E,FL!$A$1),"")</f>
        <v>540184</v>
      </c>
      <c r="C16" s="18">
        <f t="shared" si="0"/>
        <v>3.6218616196007386E-2</v>
      </c>
    </row>
    <row r="17" spans="1:3" x14ac:dyDescent="0.15">
      <c r="A17" t="s">
        <v>17</v>
      </c>
      <c r="B17" s="17">
        <f>IFERROR(SUMIFS('Full List'!B:B,'Full List'!A:A,FL!$A17,'Full List'!E:E,FL!$A$1),"")</f>
        <v>387714</v>
      </c>
      <c r="C17" s="18">
        <f t="shared" si="0"/>
        <v>2.5995706203476607E-2</v>
      </c>
    </row>
    <row r="18" spans="1:3" x14ac:dyDescent="0.15">
      <c r="A18" t="s">
        <v>18</v>
      </c>
      <c r="B18" s="17">
        <f>IFERROR(SUMIFS('Full List'!B:B,'Full List'!A:A,FL!$A18,'Full List'!E:E,FL!$A$1),"")</f>
        <v>301080</v>
      </c>
      <c r="C18" s="18">
        <f t="shared" si="0"/>
        <v>2.0187012137149386E-2</v>
      </c>
    </row>
    <row r="19" spans="1:3" x14ac:dyDescent="0.15">
      <c r="A19" t="s">
        <v>19</v>
      </c>
      <c r="B19" s="17">
        <f>IFERROR(SUMIFS('Full List'!B:B,'Full List'!A:A,FL!$A19,'Full List'!E:E,FL!$A$1),"")</f>
        <v>2083701</v>
      </c>
      <c r="C19" s="18">
        <f t="shared" si="0"/>
        <v>0.13970937085555438</v>
      </c>
    </row>
    <row r="20" spans="1:3" x14ac:dyDescent="0.15">
      <c r="A20" t="s">
        <v>20</v>
      </c>
      <c r="B20" s="17">
        <f>IFERROR(SUMIFS('Full List'!B:B,'Full List'!A:A,FL!$A20,'Full List'!E:E,FL!$A$1),"")</f>
        <v>416834</v>
      </c>
      <c r="C20" s="18">
        <f t="shared" si="0"/>
        <v>2.7948163335912473E-2</v>
      </c>
    </row>
    <row r="21" spans="1:3" x14ac:dyDescent="0.15">
      <c r="A21" t="s">
        <v>21</v>
      </c>
      <c r="B21" s="17">
        <f>IFERROR(SUMIFS('Full List'!B:B,'Full List'!A:A,FL!$A21,'Full List'!E:E,FL!$A$1),"")</f>
        <v>628645</v>
      </c>
      <c r="C21" s="18">
        <f t="shared" si="0"/>
        <v>4.2149808173768684E-2</v>
      </c>
    </row>
    <row r="22" spans="1:3" x14ac:dyDescent="0.15">
      <c r="A22" t="s">
        <v>22</v>
      </c>
      <c r="B22" s="17">
        <f>IFERROR(SUMIFS('Full List'!B:B,'Full List'!A:A,FL!$A22,'Full List'!E:E,FL!$A$1),"")</f>
        <v>206486</v>
      </c>
      <c r="C22" s="18">
        <f t="shared" si="0"/>
        <v>1.3844610695334887E-2</v>
      </c>
    </row>
    <row r="23" spans="1:3" x14ac:dyDescent="0.15">
      <c r="A23" t="s">
        <v>23</v>
      </c>
      <c r="B23" s="17">
        <f>IFERROR(SUMIFS('Full List'!B:B,'Full List'!A:A,FL!$A23,'Full List'!E:E,FL!$A$1),"")</f>
        <v>276864</v>
      </c>
      <c r="C23" s="18">
        <f t="shared" si="0"/>
        <v>1.856336165915945E-2</v>
      </c>
    </row>
    <row r="24" spans="1:3" x14ac:dyDescent="0.15">
      <c r="A24" t="s">
        <v>24</v>
      </c>
      <c r="B24" s="17">
        <f>IFERROR(SUMIFS('Full List'!B:B,'Full List'!A:A,FL!$A24,'Full List'!E:E,FL!$A$1),"")</f>
        <v>74911</v>
      </c>
      <c r="C24" s="18">
        <f t="shared" si="0"/>
        <v>5.0226825634582094E-3</v>
      </c>
    </row>
    <row r="25" spans="1:3" x14ac:dyDescent="0.15">
      <c r="A25" t="s">
        <v>25</v>
      </c>
      <c r="B25" s="17">
        <f>IFERROR(SUMIFS('Full List'!B:B,'Full List'!A:A,FL!$A25,'Full List'!E:E,FL!$A$1),"")</f>
        <v>376591</v>
      </c>
      <c r="C25" s="18">
        <f t="shared" si="0"/>
        <v>2.5249923899764926E-2</v>
      </c>
    </row>
    <row r="26" spans="1:3" x14ac:dyDescent="0.15">
      <c r="A26" t="s">
        <v>26</v>
      </c>
      <c r="B26" s="17">
        <f>IFERROR(SUMIFS('Full List'!B:B,'Full List'!A:A,FL!$A26,'Full List'!E:E,FL!$A$1),"")</f>
        <v>163264</v>
      </c>
      <c r="C26" s="18">
        <f t="shared" si="0"/>
        <v>1.0946633285371188E-2</v>
      </c>
    </row>
    <row r="27" spans="1:3" x14ac:dyDescent="0.15">
      <c r="A27" t="s">
        <v>27</v>
      </c>
      <c r="B27" s="17">
        <f>IFERROR(SUMIFS('Full List'!B:B,'Full List'!A:A,FL!$A27,'Full List'!E:E,FL!$A$1),"")</f>
        <v>1446440</v>
      </c>
      <c r="C27" s="18">
        <f t="shared" si="0"/>
        <v>9.6981871381886395E-2</v>
      </c>
    </row>
    <row r="28" spans="1:3" x14ac:dyDescent="0.15">
      <c r="A28" t="s">
        <v>28</v>
      </c>
      <c r="B28" s="17">
        <f>IFERROR(SUMIFS('Full List'!B:B,'Full List'!A:A,FL!$A28,'Full List'!E:E,FL!$A$1),"")</f>
        <v>1871954</v>
      </c>
      <c r="C28" s="18">
        <f t="shared" si="0"/>
        <v>0.12551201713227494</v>
      </c>
    </row>
    <row r="29" spans="1:3" x14ac:dyDescent="0.15">
      <c r="A29" t="s">
        <v>29</v>
      </c>
      <c r="B29" s="17">
        <f>IFERROR(SUMIFS('Full List'!B:B,'Full List'!A:A,FL!$A29,'Full List'!E:E,FL!$A$1),"")</f>
        <v>4183070</v>
      </c>
      <c r="C29" s="18">
        <f t="shared" si="0"/>
        <v>0.28046926019843721</v>
      </c>
    </row>
    <row r="30" spans="1:3" x14ac:dyDescent="0.15">
      <c r="A30" t="s">
        <v>30</v>
      </c>
      <c r="B30" s="17">
        <f>IFERROR(SUMIFS('Full List'!B:B,'Full List'!A:A,FL!$A30,'Full List'!E:E,FL!$A$1),"")</f>
        <v>637139</v>
      </c>
      <c r="C30" s="18">
        <f t="shared" si="0"/>
        <v>4.2719319536505984E-2</v>
      </c>
    </row>
    <row r="31" spans="1:3" x14ac:dyDescent="0.15">
      <c r="A31" t="s">
        <v>31</v>
      </c>
      <c r="B31" s="17">
        <f>IFERROR(SUMIFS('Full List'!B:B,'Full List'!A:A,FL!$A31,'Full List'!E:E,FL!$A$1),"")</f>
        <v>217310</v>
      </c>
      <c r="C31" s="18">
        <f t="shared" si="0"/>
        <v>1.4570345448133164E-2</v>
      </c>
    </row>
    <row r="32" spans="1:3" x14ac:dyDescent="0.15">
      <c r="A32" t="s">
        <v>32</v>
      </c>
      <c r="B32" s="17">
        <f>IFERROR(SUMIFS('Full List'!B:B,'Full List'!A:A,FL!$A32,'Full List'!E:E,FL!$A$1),"")</f>
        <v>418826</v>
      </c>
      <c r="C32" s="18">
        <f t="shared" si="0"/>
        <v>2.8081724277114816E-2</v>
      </c>
    </row>
    <row r="33" spans="1:3" x14ac:dyDescent="0.15">
      <c r="A33" t="s">
        <v>33</v>
      </c>
      <c r="B33" s="17">
        <f>IFERROR(SUMIFS('Full List'!B:B,'Full List'!A:A,FL!$A33,'Full List'!E:E,FL!$A$1),"")</f>
        <v>4086825</v>
      </c>
      <c r="C33" s="18">
        <f t="shared" si="0"/>
        <v>0.27401616141027479</v>
      </c>
    </row>
    <row r="34" spans="1:3" x14ac:dyDescent="0.15">
      <c r="A34" t="s">
        <v>34</v>
      </c>
      <c r="B34" s="17">
        <f>IFERROR(SUMIFS('Full List'!B:B,'Full List'!A:A,FL!$A34,'Full List'!E:E,FL!$A$1),"")</f>
        <v>1291839</v>
      </c>
      <c r="C34" s="18">
        <f t="shared" si="0"/>
        <v>8.6616080683681831E-2</v>
      </c>
    </row>
    <row r="35" spans="1:3" x14ac:dyDescent="0.15">
      <c r="A35" t="s">
        <v>35</v>
      </c>
      <c r="B35" s="17">
        <f>IFERROR(SUMIFS('Full List'!B:B,'Full List'!A:A,FL!$A35,'Full List'!E:E,FL!$A$1),"")</f>
        <v>900191</v>
      </c>
      <c r="C35" s="18">
        <f t="shared" si="0"/>
        <v>6.0356605031063645E-2</v>
      </c>
    </row>
    <row r="36" spans="1:3" x14ac:dyDescent="0.15">
      <c r="A36" t="s">
        <v>36</v>
      </c>
      <c r="B36" s="17">
        <f>IFERROR(SUMIFS('Full List'!B:B,'Full List'!A:A,FL!$A36,'Full List'!E:E,FL!$A$1),"")</f>
        <v>252878</v>
      </c>
      <c r="C36" s="18">
        <f t="shared" si="0"/>
        <v>1.6955132374179827E-2</v>
      </c>
    </row>
    <row r="37" spans="1:3" x14ac:dyDescent="0.15">
      <c r="A37" t="s">
        <v>37</v>
      </c>
      <c r="B37" s="17">
        <f>IFERROR(SUMIFS('Full List'!B:B,'Full List'!A:A,FL!$A37,'Full List'!E:E,FL!$A$1),"")</f>
        <v>170719</v>
      </c>
      <c r="C37" s="18">
        <f t="shared" si="0"/>
        <v>1.1446481084901042E-2</v>
      </c>
    </row>
    <row r="38" spans="1:3" x14ac:dyDescent="0.15">
      <c r="A38" t="s">
        <v>38</v>
      </c>
      <c r="B38" s="17">
        <f>IFERROR(SUMIFS('Full List'!B:B,'Full List'!A:A,FL!$A38,'Full List'!E:E,FL!$A$1),"")</f>
        <v>234132</v>
      </c>
      <c r="C38" s="18">
        <f t="shared" si="0"/>
        <v>1.569823809517424E-2</v>
      </c>
    </row>
    <row r="39" spans="1:3" x14ac:dyDescent="0.15">
      <c r="A39" t="s">
        <v>39</v>
      </c>
      <c r="B39" s="17">
        <f>IFERROR(SUMIFS('Full List'!B:B,'Full List'!A:A,FL!$A39,'Full List'!E:E,FL!$A$1),"")</f>
        <v>725119</v>
      </c>
      <c r="C39" s="18">
        <f t="shared" si="0"/>
        <v>4.8618261106276157E-2</v>
      </c>
    </row>
    <row r="40" spans="1:3" x14ac:dyDescent="0.15">
      <c r="A40" t="s">
        <v>40</v>
      </c>
      <c r="B40" s="17">
        <f>IFERROR(SUMIFS('Full List'!B:B,'Full List'!A:A,FL!$A40,'Full List'!E:E,FL!$A$1),"")</f>
        <v>211139</v>
      </c>
      <c r="C40" s="18">
        <f t="shared" si="0"/>
        <v>1.41565881348E-2</v>
      </c>
    </row>
    <row r="41" spans="1:3" x14ac:dyDescent="0.15">
      <c r="A41" t="s">
        <v>41</v>
      </c>
      <c r="B41" s="17">
        <f>IFERROR(SUMIFS('Full List'!B:B,'Full List'!A:A,FL!$A41,'Full List'!E:E,FL!$A$1),"")</f>
        <v>616258</v>
      </c>
      <c r="C41" s="18">
        <f t="shared" si="0"/>
        <v>4.1319276357165556E-2</v>
      </c>
    </row>
    <row r="42" spans="1:3" x14ac:dyDescent="0.15">
      <c r="A42" t="s">
        <v>42</v>
      </c>
      <c r="B42" s="17">
        <f>IFERROR(SUMIFS('Full List'!B:B,'Full List'!A:A,FL!$A42,'Full List'!E:E,FL!$A$1),"")</f>
        <v>478937</v>
      </c>
      <c r="C42" s="18">
        <f t="shared" si="0"/>
        <v>3.2112086594692162E-2</v>
      </c>
    </row>
    <row r="43" spans="1:3" x14ac:dyDescent="0.15">
      <c r="A43" t="s">
        <v>43</v>
      </c>
      <c r="B43" s="17">
        <f>IFERROR(SUMIFS('Full List'!B:B,'Full List'!A:A,FL!$A43,'Full List'!E:E,FL!$A$1),"")</f>
        <v>1359398</v>
      </c>
      <c r="C43" s="18">
        <f t="shared" si="0"/>
        <v>9.1145821460132198E-2</v>
      </c>
    </row>
    <row r="44" spans="1:3" x14ac:dyDescent="0.15">
      <c r="A44" t="s">
        <v>44</v>
      </c>
      <c r="B44" s="17">
        <f>IFERROR(SUMIFS('Full List'!B:B,'Full List'!A:A,FL!$A44,'Full List'!E:E,FL!$A$1),"")</f>
        <v>1956808</v>
      </c>
      <c r="C44" s="18">
        <f t="shared" si="0"/>
        <v>0.1312013645744354</v>
      </c>
    </row>
    <row r="45" spans="1:3" x14ac:dyDescent="0.15">
      <c r="A45" t="s">
        <v>45</v>
      </c>
      <c r="B45" s="17">
        <f>IFERROR(SUMIFS('Full List'!B:B,'Full List'!A:A,FL!$A45,'Full List'!E:E,FL!$A$1),"")</f>
        <v>2698859</v>
      </c>
      <c r="C45" s="18">
        <f t="shared" si="0"/>
        <v>0.18095489368093148</v>
      </c>
    </row>
    <row r="46" spans="1:3" x14ac:dyDescent="0.15">
      <c r="A46" t="s">
        <v>46</v>
      </c>
      <c r="B46" s="17">
        <f>IFERROR(SUMIFS('Full List'!B:B,'Full List'!A:A,FL!$A46,'Full List'!E:E,FL!$A$1),"")</f>
        <v>3997963</v>
      </c>
      <c r="C46" s="18">
        <f t="shared" si="0"/>
        <v>0.26805808291774336</v>
      </c>
    </row>
    <row r="47" spans="1:3" x14ac:dyDescent="0.15">
      <c r="A47" t="s">
        <v>47</v>
      </c>
      <c r="B47" s="17">
        <f>IFERROR(SUMIFS('Full List'!B:B,'Full List'!A:A,FL!$A47,'Full List'!E:E,FL!$A$1),"")</f>
        <v>6278647</v>
      </c>
      <c r="C47" s="18">
        <f t="shared" si="0"/>
        <v>0.42097490100264573</v>
      </c>
    </row>
    <row r="48" spans="1:3" x14ac:dyDescent="0.15">
      <c r="A48" t="s">
        <v>48</v>
      </c>
      <c r="B48" s="17">
        <f>IFERROR(SUMIFS('Full List'!B:B,'Full List'!A:A,FL!$A48,'Full List'!E:E,FL!$A$1),"")</f>
        <v>1104263</v>
      </c>
      <c r="C48" s="18">
        <f t="shared" si="0"/>
        <v>7.4039360248455532E-2</v>
      </c>
    </row>
    <row r="49" spans="1:3" x14ac:dyDescent="0.15">
      <c r="A49" t="s">
        <v>49</v>
      </c>
      <c r="B49" s="17">
        <f>IFERROR(SUMIFS('Full List'!B:B,'Full List'!A:A,FL!$A49,'Full List'!E:E,FL!$A$1),"")</f>
        <v>2071902</v>
      </c>
      <c r="C49" s="18">
        <f t="shared" si="0"/>
        <v>0.13891826365412543</v>
      </c>
    </row>
    <row r="50" spans="1:3" x14ac:dyDescent="0.15">
      <c r="A50" t="s">
        <v>50</v>
      </c>
      <c r="B50" s="17">
        <f>IFERROR(SUMIFS('Full List'!B:B,'Full List'!A:A,FL!$A50,'Full List'!E:E,FL!$A$1),"")</f>
        <v>2438172</v>
      </c>
      <c r="C50" s="18">
        <f t="shared" si="0"/>
        <v>0.163476178279719</v>
      </c>
    </row>
    <row r="51" spans="1:3" x14ac:dyDescent="0.15">
      <c r="A51" t="s">
        <v>51</v>
      </c>
      <c r="B51" s="17">
        <f>IFERROR(SUMIFS('Full List'!B:B,'Full List'!A:A,FL!$A51,'Full List'!E:E,FL!$A$1),"")</f>
        <v>4642215</v>
      </c>
      <c r="C51" s="18">
        <f t="shared" si="0"/>
        <v>0.31125431961025951</v>
      </c>
    </row>
    <row r="52" spans="1:3" x14ac:dyDescent="0.15">
      <c r="A52" t="s">
        <v>52</v>
      </c>
      <c r="B52" s="17">
        <f>IFERROR(SUMIFS('Full List'!B:B,'Full List'!A:A,FL!$A52,'Full List'!E:E,FL!$A$1),"")</f>
        <v>2041443</v>
      </c>
      <c r="C52" s="18">
        <f t="shared" si="0"/>
        <v>0.13687602835890345</v>
      </c>
    </row>
    <row r="53" spans="1:3" x14ac:dyDescent="0.15">
      <c r="A53" t="s">
        <v>53</v>
      </c>
      <c r="B53" s="17">
        <f>IFERROR(SUMIFS('Full List'!B:B,'Full List'!A:A,FL!$A53,'Full List'!E:E,FL!$A$1),"")</f>
        <v>1373967</v>
      </c>
      <c r="C53" s="18">
        <f t="shared" si="0"/>
        <v>9.2122653464337484E-2</v>
      </c>
    </row>
    <row r="54" spans="1:3" x14ac:dyDescent="0.15">
      <c r="A54" t="s">
        <v>54</v>
      </c>
      <c r="B54" s="17">
        <f>IFERROR(SUMIFS('Full List'!B:B,'Full List'!A:A,FL!$A54,'Full List'!E:E,FL!$A$1),"")</f>
        <v>5236961</v>
      </c>
      <c r="C54" s="18">
        <f t="shared" si="0"/>
        <v>0.35113124508030419</v>
      </c>
    </row>
    <row r="55" spans="1:3" x14ac:dyDescent="0.15">
      <c r="A55" t="s">
        <v>55</v>
      </c>
      <c r="B55" s="17">
        <f>IFERROR(SUMIFS('Full List'!B:B,'Full List'!A:A,FL!$A55,'Full List'!E:E,FL!$A$1),"")</f>
        <v>3081290</v>
      </c>
      <c r="C55" s="18">
        <f t="shared" si="0"/>
        <v>0.20659638178582779</v>
      </c>
    </row>
    <row r="56" spans="1:3" x14ac:dyDescent="0.15">
      <c r="A56" t="s">
        <v>56</v>
      </c>
      <c r="B56" s="17">
        <f>IFERROR(SUMIFS('Full List'!B:B,'Full List'!A:A,FL!$A56,'Full List'!E:E,FL!$A$1),"")</f>
        <v>3381223</v>
      </c>
      <c r="C56" s="18">
        <f t="shared" si="0"/>
        <v>0.22670648910392141</v>
      </c>
    </row>
    <row r="57" spans="1:3" x14ac:dyDescent="0.15">
      <c r="A57" t="s">
        <v>57</v>
      </c>
      <c r="B57" s="17">
        <f>IFERROR(SUMIFS('Full List'!B:B,'Full List'!A:A,FL!$A57,'Full List'!E:E,FL!$A$1),"")</f>
        <v>2241719</v>
      </c>
      <c r="C57" s="18">
        <f t="shared" si="0"/>
        <v>0.15030426684295994</v>
      </c>
    </row>
    <row r="58" spans="1:3" x14ac:dyDescent="0.15">
      <c r="A58" t="s">
        <v>58</v>
      </c>
      <c r="B58" s="17">
        <f>IFERROR(SUMIFS('Full List'!B:B,'Full List'!A:A,FL!$A58,'Full List'!E:E,FL!$A$1),"")</f>
        <v>1932898</v>
      </c>
      <c r="C58" s="18">
        <f t="shared" si="0"/>
        <v>0.12959823098801573</v>
      </c>
    </row>
    <row r="59" spans="1:3" x14ac:dyDescent="0.15">
      <c r="A59" t="s">
        <v>59</v>
      </c>
      <c r="B59" s="17">
        <f>IFERROR(SUMIFS('Full List'!B:B,'Full List'!A:A,FL!$A59,'Full List'!E:E,FL!$A$1),"")</f>
        <v>6505544</v>
      </c>
      <c r="C59" s="18">
        <f t="shared" si="0"/>
        <v>0.43618804200464784</v>
      </c>
    </row>
    <row r="60" spans="1:3" x14ac:dyDescent="0.15">
      <c r="A60" t="s">
        <v>60</v>
      </c>
      <c r="B60" s="17">
        <f>IFERROR(SUMIFS('Full List'!B:B,'Full List'!A:A,FL!$A60,'Full List'!E:E,FL!$A$1),"")</f>
        <v>2410801</v>
      </c>
      <c r="C60" s="18">
        <f t="shared" si="0"/>
        <v>0.16164098926282675</v>
      </c>
    </row>
    <row r="61" spans="1:3" x14ac:dyDescent="0.15">
      <c r="A61" t="s">
        <v>61</v>
      </c>
      <c r="B61" s="17">
        <f>IFERROR(SUMIFS('Full List'!B:B,'Full List'!A:A,FL!$A61,'Full List'!E:E,FL!$A$1),"")</f>
        <v>2774985</v>
      </c>
      <c r="C61" s="18">
        <f t="shared" si="0"/>
        <v>0.18605904037268331</v>
      </c>
    </row>
    <row r="62" spans="1:3" x14ac:dyDescent="0.15">
      <c r="A62" t="s">
        <v>62</v>
      </c>
      <c r="B62" s="17">
        <f>IFERROR(SUMIFS('Full List'!B:B,'Full List'!A:A,FL!$A62,'Full List'!E:E,FL!$A$1),"")</f>
        <v>1088276</v>
      </c>
      <c r="C62" s="18">
        <f t="shared" si="0"/>
        <v>7.2967453236908411E-2</v>
      </c>
    </row>
    <row r="63" spans="1:3" x14ac:dyDescent="0.15">
      <c r="A63" t="s">
        <v>63</v>
      </c>
      <c r="B63" s="17">
        <f>IFERROR(SUMIFS('Full List'!B:B,'Full List'!A:A,FL!$A63,'Full List'!E:E,FL!$A$1),"")</f>
        <v>1862968</v>
      </c>
      <c r="C63" s="18">
        <f t="shared" si="0"/>
        <v>0.12490951782622864</v>
      </c>
    </row>
    <row r="64" spans="1:3" x14ac:dyDescent="0.15">
      <c r="A64" t="s">
        <v>64</v>
      </c>
      <c r="B64" s="17">
        <f>IFERROR(SUMIFS('Full List'!B:B,'Full List'!A:A,FL!$A64,'Full List'!E:E,FL!$A$1),"")</f>
        <v>775255</v>
      </c>
      <c r="C64" s="18">
        <f t="shared" si="0"/>
        <v>5.1979812987862847E-2</v>
      </c>
    </row>
    <row r="65" spans="1:3" x14ac:dyDescent="0.15">
      <c r="A65" t="s">
        <v>65</v>
      </c>
      <c r="B65" s="17">
        <f>IFERROR(SUMIFS('Full List'!B:B,'Full List'!A:A,FL!$A65,'Full List'!E:E,FL!$A$1),"")</f>
        <v>2347518</v>
      </c>
      <c r="C65" s="18">
        <f t="shared" si="0"/>
        <v>0.15739794857903763</v>
      </c>
    </row>
    <row r="66" spans="1:3" x14ac:dyDescent="0.15">
      <c r="A66" t="s">
        <v>66</v>
      </c>
      <c r="B66" s="17">
        <f>IFERROR(SUMIFS('Full List'!B:B,'Full List'!A:A,FL!$A66,'Full List'!E:E,FL!$A$1),"")</f>
        <v>1290682</v>
      </c>
      <c r="C66" s="18">
        <f t="shared" si="0"/>
        <v>8.6538505377973446E-2</v>
      </c>
    </row>
    <row r="67" spans="1:3" x14ac:dyDescent="0.15">
      <c r="A67" t="s">
        <v>67</v>
      </c>
      <c r="B67" s="17">
        <f>IFERROR(SUMIFS('Full List'!B:B,'Full List'!A:A,FL!$A67,'Full List'!E:E,FL!$A$1),"")</f>
        <v>4166157</v>
      </c>
      <c r="C67" s="18">
        <f t="shared" ref="C67:C82" si="1">IFERROR(B67/$B$2,"")</f>
        <v>0.27933526612285731</v>
      </c>
    </row>
    <row r="68" spans="1:3" x14ac:dyDescent="0.15">
      <c r="A68" t="s">
        <v>68</v>
      </c>
      <c r="B68" s="17">
        <f>IFERROR(SUMIFS('Full List'!B:B,'Full List'!A:A,FL!$A68,'Full List'!E:E,FL!$A$1),"")</f>
        <v>5389103</v>
      </c>
      <c r="C68" s="18">
        <f t="shared" si="1"/>
        <v>0.36133216311062893</v>
      </c>
    </row>
    <row r="69" spans="1:3" x14ac:dyDescent="0.15">
      <c r="A69" t="s">
        <v>69</v>
      </c>
      <c r="B69" s="17">
        <f>IFERROR(SUMIFS('Full List'!B:B,'Full List'!A:A,FL!$A69,'Full List'!E:E,FL!$A$1),"")</f>
        <v>8855787</v>
      </c>
      <c r="C69" s="18">
        <f t="shared" si="1"/>
        <v>0.593768698196525</v>
      </c>
    </row>
    <row r="70" spans="1:3" x14ac:dyDescent="0.15">
      <c r="A70" t="s">
        <v>70</v>
      </c>
      <c r="B70" s="17">
        <f>IFERROR(SUMIFS('Full List'!B:B,'Full List'!A:A,FL!$A70,'Full List'!E:E,FL!$A$1),"")</f>
        <v>3206009</v>
      </c>
      <c r="C70" s="18">
        <f t="shared" si="1"/>
        <v>0.21495862426866669</v>
      </c>
    </row>
    <row r="71" spans="1:3" x14ac:dyDescent="0.15">
      <c r="A71" t="s">
        <v>71</v>
      </c>
      <c r="B71" s="17">
        <f>IFERROR(SUMIFS('Full List'!B:B,'Full List'!A:A,FL!$A71,'Full List'!E:E,FL!$A$1),"")</f>
        <v>1030234</v>
      </c>
      <c r="C71" s="18">
        <f t="shared" si="1"/>
        <v>6.9075814607758607E-2</v>
      </c>
    </row>
    <row r="72" spans="1:3" x14ac:dyDescent="0.15">
      <c r="A72" t="s">
        <v>72</v>
      </c>
      <c r="B72" s="17">
        <f>IFERROR(SUMIFS('Full List'!B:B,'Full List'!A:A,FL!$A72,'Full List'!E:E,FL!$A$1),"")</f>
        <v>1942344</v>
      </c>
      <c r="C72" s="18">
        <f t="shared" si="1"/>
        <v>0.13023157268008265</v>
      </c>
    </row>
    <row r="73" spans="1:3" x14ac:dyDescent="0.15">
      <c r="A73" t="s">
        <v>73</v>
      </c>
      <c r="B73" s="17">
        <f>IFERROR(SUMIFS('Full List'!B:B,'Full List'!A:A,FL!$A73,'Full List'!E:E,FL!$A$1),"")</f>
        <v>8691072</v>
      </c>
      <c r="C73" s="18">
        <f t="shared" si="1"/>
        <v>0.58272477729785832</v>
      </c>
    </row>
    <row r="74" spans="1:3" x14ac:dyDescent="0.15">
      <c r="A74" t="s">
        <v>74</v>
      </c>
      <c r="B74" s="17">
        <f>IFERROR(SUMIFS('Full List'!B:B,'Full List'!A:A,FL!$A74,'Full List'!E:E,FL!$A$1),"")</f>
        <v>4074983</v>
      </c>
      <c r="C74" s="18">
        <f t="shared" si="1"/>
        <v>0.27322217111623959</v>
      </c>
    </row>
    <row r="75" spans="1:3" x14ac:dyDescent="0.15">
      <c r="A75" t="s">
        <v>75</v>
      </c>
      <c r="B75" s="17">
        <f>IFERROR(SUMIFS('Full List'!B:B,'Full List'!A:A,FL!$A75,'Full List'!E:E,FL!$A$1),"")</f>
        <v>3293159</v>
      </c>
      <c r="C75" s="18">
        <f t="shared" si="1"/>
        <v>0.2208019154462692</v>
      </c>
    </row>
    <row r="76" spans="1:3" x14ac:dyDescent="0.15">
      <c r="A76" t="s">
        <v>76</v>
      </c>
      <c r="B76" s="17">
        <f>IFERROR(SUMIFS('Full List'!B:B,'Full List'!A:A,FL!$A76,'Full List'!E:E,FL!$A$1),"")</f>
        <v>1794686</v>
      </c>
      <c r="C76" s="18">
        <f t="shared" si="1"/>
        <v>0.12033130086479368</v>
      </c>
    </row>
    <row r="77" spans="1:3" x14ac:dyDescent="0.15">
      <c r="A77" t="s">
        <v>77</v>
      </c>
      <c r="B77" s="17">
        <f>IFERROR(SUMIFS('Full List'!B:B,'Full List'!A:A,FL!$A77,'Full List'!E:E,FL!$A$1),"")</f>
        <v>1564667</v>
      </c>
      <c r="C77" s="18">
        <f t="shared" si="1"/>
        <v>0.10490883392984296</v>
      </c>
    </row>
    <row r="78" spans="1:3" x14ac:dyDescent="0.15">
      <c r="A78" t="s">
        <v>78</v>
      </c>
      <c r="B78" s="17">
        <f>IFERROR(SUMIFS('Full List'!B:B,'Full List'!A:A,FL!$A78,'Full List'!E:E,FL!$A$1),"")</f>
        <v>1641707</v>
      </c>
      <c r="C78" s="18">
        <f t="shared" si="1"/>
        <v>0.11007426310164443</v>
      </c>
    </row>
    <row r="79" spans="1:3" x14ac:dyDescent="0.15">
      <c r="A79" t="s">
        <v>79</v>
      </c>
      <c r="B79" s="17">
        <f>IFERROR(SUMIFS('Full List'!B:B,'Full List'!A:A,FL!$A79,'Full List'!E:E,FL!$A$1),"")</f>
        <v>2586000</v>
      </c>
      <c r="C79" s="18">
        <f t="shared" si="1"/>
        <v>0.17338784836810253</v>
      </c>
    </row>
    <row r="80" spans="1:3" x14ac:dyDescent="0.15">
      <c r="A80" t="s">
        <v>80</v>
      </c>
      <c r="B80" s="17">
        <f>IFERROR(SUMIFS('Full List'!B:B,'Full List'!A:A,FL!$A80,'Full List'!E:E,FL!$A$1),"")</f>
        <v>1698819</v>
      </c>
      <c r="C80" s="18">
        <f t="shared" si="1"/>
        <v>0.11390354647210038</v>
      </c>
    </row>
    <row r="81" spans="1:6" x14ac:dyDescent="0.15">
      <c r="A81" t="s">
        <v>81</v>
      </c>
      <c r="B81" s="17">
        <f>IFERROR(SUMIFS('Full List'!B:B,'Full List'!A:A,FL!$A81,'Full List'!E:E,FL!$A$1),"")</f>
        <v>2858869</v>
      </c>
      <c r="C81" s="18">
        <f t="shared" si="1"/>
        <v>0.19168335060953942</v>
      </c>
    </row>
    <row r="82" spans="1:6" x14ac:dyDescent="0.15">
      <c r="A82" t="s">
        <v>82</v>
      </c>
      <c r="B82" s="17">
        <f>IFERROR(SUMIFS('Full List'!B:B,'Full List'!A:A,FL!$A82,'Full List'!E:E,FL!$A$1),"")</f>
        <v>1809322</v>
      </c>
      <c r="C82" s="18">
        <f t="shared" si="1"/>
        <v>0.12131262512957154</v>
      </c>
    </row>
    <row r="83" spans="1:6" x14ac:dyDescent="0.15">
      <c r="B83" s="17"/>
      <c r="C83" s="18"/>
      <c r="D83" t="s">
        <v>812</v>
      </c>
      <c r="E83" t="s">
        <v>860</v>
      </c>
      <c r="F83" t="s">
        <v>1349</v>
      </c>
    </row>
    <row r="84" spans="1:6" x14ac:dyDescent="0.15">
      <c r="A84" t="s">
        <v>946</v>
      </c>
      <c r="B84" s="17">
        <v>4215555</v>
      </c>
      <c r="C84" s="18">
        <f t="shared" ref="C84:C106" si="2">IFERROR(B84/$B$2,"")</f>
        <v>0.28264733608948045</v>
      </c>
      <c r="D84">
        <v>5</v>
      </c>
      <c r="E84" t="str">
        <f>VLOOKUP(D84,Validation!$A$2:$C$41,3,FALSE)</f>
        <v>CFB</v>
      </c>
      <c r="F84" t="s">
        <v>1351</v>
      </c>
    </row>
    <row r="85" spans="1:6" x14ac:dyDescent="0.15">
      <c r="A85" t="s">
        <v>951</v>
      </c>
      <c r="B85" s="17">
        <v>3494318</v>
      </c>
      <c r="C85" s="18">
        <f t="shared" si="2"/>
        <v>0.23428935790175226</v>
      </c>
      <c r="D85">
        <v>27</v>
      </c>
      <c r="E85" t="str">
        <f>VLOOKUP(D85,Validation!$A$2:$C$41,3,FALSE)</f>
        <v xml:space="preserve">NFL </v>
      </c>
      <c r="F85" t="s">
        <v>1351</v>
      </c>
    </row>
    <row r="86" spans="1:6" x14ac:dyDescent="0.15">
      <c r="A86" t="s">
        <v>952</v>
      </c>
      <c r="B86" s="17">
        <v>3311056</v>
      </c>
      <c r="C86" s="18">
        <f t="shared" si="2"/>
        <v>0.22200188540846719</v>
      </c>
      <c r="D86">
        <v>26</v>
      </c>
      <c r="E86" t="str">
        <f>VLOOKUP(D86,Validation!$A$2:$C$41,3,FALSE)</f>
        <v xml:space="preserve">NBA </v>
      </c>
      <c r="F86" t="s">
        <v>1351</v>
      </c>
    </row>
    <row r="87" spans="1:6" x14ac:dyDescent="0.15">
      <c r="A87" t="s">
        <v>955</v>
      </c>
      <c r="B87" s="17">
        <v>2816443</v>
      </c>
      <c r="C87" s="18">
        <f t="shared" si="2"/>
        <v>0.18883874393712444</v>
      </c>
      <c r="D87">
        <v>27</v>
      </c>
      <c r="E87" t="str">
        <f>VLOOKUP(D87,Validation!$A$2:$C$41,3,FALSE)</f>
        <v xml:space="preserve">NFL </v>
      </c>
      <c r="F87" t="s">
        <v>1350</v>
      </c>
    </row>
    <row r="88" spans="1:6" x14ac:dyDescent="0.15">
      <c r="A88" t="s">
        <v>949</v>
      </c>
      <c r="B88" s="17">
        <v>2605815</v>
      </c>
      <c r="C88" s="18">
        <f t="shared" si="2"/>
        <v>0.17471641767027343</v>
      </c>
      <c r="D88">
        <v>5</v>
      </c>
      <c r="E88" t="str">
        <f>VLOOKUP(D88,Validation!$A$2:$C$41,3,FALSE)</f>
        <v>CFB</v>
      </c>
      <c r="F88" s="17" t="s">
        <v>1350</v>
      </c>
    </row>
    <row r="89" spans="1:6" x14ac:dyDescent="0.15">
      <c r="A89" t="s">
        <v>957</v>
      </c>
      <c r="B89" s="17">
        <v>2454982</v>
      </c>
      <c r="C89" s="18">
        <f t="shared" si="2"/>
        <v>0.16460326634277692</v>
      </c>
      <c r="D89">
        <v>17</v>
      </c>
      <c r="E89" t="str">
        <f>VLOOKUP(D89,Validation!$A$2:$C$41,3,FALSE)</f>
        <v>MLB</v>
      </c>
      <c r="F89" s="17" t="s">
        <v>1351</v>
      </c>
    </row>
    <row r="90" spans="1:6" x14ac:dyDescent="0.15">
      <c r="A90" t="s">
        <v>945</v>
      </c>
      <c r="B90" s="17">
        <v>2288252</v>
      </c>
      <c r="C90" s="18">
        <f t="shared" si="2"/>
        <v>0.15342424238360686</v>
      </c>
      <c r="D90">
        <v>4</v>
      </c>
      <c r="E90" t="str">
        <f>VLOOKUP(D90,Validation!$A$2:$C$41,3,FALSE)</f>
        <v>MCB</v>
      </c>
      <c r="F90" t="s">
        <v>1351</v>
      </c>
    </row>
    <row r="91" spans="1:6" x14ac:dyDescent="0.15">
      <c r="A91" t="s">
        <v>953</v>
      </c>
      <c r="B91" s="17">
        <v>2006203</v>
      </c>
      <c r="C91" s="18">
        <f t="shared" si="2"/>
        <v>0.1345132333950628</v>
      </c>
      <c r="D91">
        <v>17</v>
      </c>
      <c r="E91" t="str">
        <f>VLOOKUP(D91,Validation!$A$2:$C$41,3,FALSE)</f>
        <v>MLB</v>
      </c>
      <c r="F91" t="s">
        <v>1351</v>
      </c>
    </row>
    <row r="92" spans="1:6" x14ac:dyDescent="0.15">
      <c r="A92" t="s">
        <v>963</v>
      </c>
      <c r="B92" s="17">
        <v>1972561</v>
      </c>
      <c r="C92" s="18">
        <f t="shared" si="2"/>
        <v>0.13225758219831119</v>
      </c>
      <c r="D92">
        <v>5</v>
      </c>
      <c r="E92" t="str">
        <f>VLOOKUP(D92,Validation!$A$2:$C$41,3,FALSE)</f>
        <v>CFB</v>
      </c>
      <c r="F92" s="17" t="s">
        <v>1350</v>
      </c>
    </row>
    <row r="93" spans="1:6" x14ac:dyDescent="0.15">
      <c r="A93" t="s">
        <v>950</v>
      </c>
      <c r="B93" s="17">
        <v>1670372</v>
      </c>
      <c r="C93" s="18">
        <f t="shared" si="2"/>
        <v>0.11199621309138599</v>
      </c>
      <c r="D93">
        <v>27</v>
      </c>
      <c r="E93" t="str">
        <f>VLOOKUP(D93,Validation!$A$2:$C$41,3,FALSE)</f>
        <v xml:space="preserve">NFL </v>
      </c>
      <c r="F93" s="17" t="s">
        <v>1351</v>
      </c>
    </row>
    <row r="94" spans="1:6" x14ac:dyDescent="0.15">
      <c r="A94" t="s">
        <v>954</v>
      </c>
      <c r="B94" s="17">
        <v>1589214</v>
      </c>
      <c r="C94" s="18">
        <f t="shared" si="2"/>
        <v>0.10655467751603469</v>
      </c>
      <c r="D94">
        <v>26</v>
      </c>
      <c r="E94" t="str">
        <f>VLOOKUP(D94,Validation!$A$2:$C$41,3,FALSE)</f>
        <v xml:space="preserve">NBA </v>
      </c>
      <c r="F94" s="17" t="s">
        <v>1351</v>
      </c>
    </row>
    <row r="95" spans="1:6" x14ac:dyDescent="0.15">
      <c r="A95" t="s">
        <v>962</v>
      </c>
      <c r="B95" s="17">
        <v>863766</v>
      </c>
      <c r="C95" s="18">
        <f t="shared" si="2"/>
        <v>5.7914357398887263E-2</v>
      </c>
      <c r="D95">
        <v>4</v>
      </c>
      <c r="E95" t="str">
        <f>VLOOKUP(D95,Validation!$A$2:$C$41,3,FALSE)</f>
        <v>MCB</v>
      </c>
      <c r="F95" s="17" t="s">
        <v>1350</v>
      </c>
    </row>
    <row r="96" spans="1:6" x14ac:dyDescent="0.15">
      <c r="A96" t="s">
        <v>956</v>
      </c>
      <c r="B96" s="17">
        <v>857478</v>
      </c>
      <c r="C96" s="18">
        <f t="shared" si="2"/>
        <v>5.7492755391718414E-2</v>
      </c>
      <c r="D96">
        <v>28</v>
      </c>
      <c r="E96" t="str">
        <f>VLOOKUP(D96,Validation!$A$2:$C$41,3,FALSE)</f>
        <v xml:space="preserve">NHL </v>
      </c>
      <c r="F96" t="s">
        <v>1350</v>
      </c>
    </row>
    <row r="97" spans="1:6" x14ac:dyDescent="0.15">
      <c r="A97" t="s">
        <v>958</v>
      </c>
      <c r="B97" s="17">
        <v>722653</v>
      </c>
      <c r="C97" s="18">
        <f t="shared" si="2"/>
        <v>4.8452919097739522E-2</v>
      </c>
      <c r="D97">
        <v>5</v>
      </c>
      <c r="E97" t="str">
        <f>VLOOKUP(D97,Validation!$A$2:$C$41,3,FALSE)</f>
        <v>CFB</v>
      </c>
      <c r="F97" t="s">
        <v>1350</v>
      </c>
    </row>
    <row r="98" spans="1:6" x14ac:dyDescent="0.15">
      <c r="A98" t="s">
        <v>948</v>
      </c>
      <c r="B98" s="17">
        <v>656946</v>
      </c>
      <c r="C98" s="18">
        <f t="shared" si="2"/>
        <v>4.4047352449354787E-2</v>
      </c>
      <c r="D98">
        <v>28</v>
      </c>
      <c r="E98" t="str">
        <f>VLOOKUP(D98,Validation!$A$2:$C$41,3,FALSE)</f>
        <v xml:space="preserve">NHL </v>
      </c>
      <c r="F98" s="17" t="s">
        <v>1350</v>
      </c>
    </row>
    <row r="99" spans="1:6" x14ac:dyDescent="0.15">
      <c r="A99" t="s">
        <v>959</v>
      </c>
      <c r="B99" s="17">
        <v>474587</v>
      </c>
      <c r="C99" s="18">
        <f t="shared" si="2"/>
        <v>3.1820424900801503E-2</v>
      </c>
      <c r="D99">
        <v>4</v>
      </c>
      <c r="E99" t="str">
        <f>VLOOKUP(D99,Validation!$A$2:$C$41,3,FALSE)</f>
        <v>MCB</v>
      </c>
      <c r="F99" t="s">
        <v>1350</v>
      </c>
    </row>
    <row r="100" spans="1:6" x14ac:dyDescent="0.15">
      <c r="A100" t="s">
        <v>960</v>
      </c>
      <c r="B100" s="17">
        <v>466119</v>
      </c>
      <c r="C100" s="18">
        <f t="shared" si="2"/>
        <v>3.1252656803361013E-2</v>
      </c>
      <c r="D100">
        <v>4</v>
      </c>
      <c r="E100" t="str">
        <f>VLOOKUP(D100,Validation!$A$2:$C$41,3,FALSE)</f>
        <v>MCB</v>
      </c>
      <c r="F100" t="s">
        <v>1350</v>
      </c>
    </row>
    <row r="101" spans="1:6" x14ac:dyDescent="0.15">
      <c r="A101" t="s">
        <v>942</v>
      </c>
      <c r="B101" s="17">
        <v>368801</v>
      </c>
      <c r="C101" s="18">
        <f t="shared" si="2"/>
        <v>2.4727614797372229E-2</v>
      </c>
      <c r="D101">
        <v>5</v>
      </c>
      <c r="E101" t="str">
        <f>VLOOKUP(D101,Validation!$A$2:$C$41,3,FALSE)</f>
        <v>CFB</v>
      </c>
      <c r="F101" t="s">
        <v>1350</v>
      </c>
    </row>
    <row r="102" spans="1:6" x14ac:dyDescent="0.15">
      <c r="A102" t="s">
        <v>961</v>
      </c>
      <c r="B102" s="17">
        <v>177951</v>
      </c>
      <c r="C102" s="18">
        <f t="shared" si="2"/>
        <v>1.1931377032077422E-2</v>
      </c>
      <c r="D102">
        <v>4</v>
      </c>
      <c r="E102" t="str">
        <f>VLOOKUP(D102,Validation!$A$2:$C$41,3,FALSE)</f>
        <v>MCB</v>
      </c>
      <c r="F102" t="s">
        <v>1350</v>
      </c>
    </row>
    <row r="103" spans="1:6" x14ac:dyDescent="0.15">
      <c r="A103" t="s">
        <v>947</v>
      </c>
      <c r="B103" s="17">
        <v>118466</v>
      </c>
      <c r="C103" s="18">
        <f t="shared" si="2"/>
        <v>7.9429871789542285E-3</v>
      </c>
      <c r="D103">
        <v>4</v>
      </c>
      <c r="E103" t="str">
        <f>VLOOKUP(D103,Validation!$A$2:$C$41,3,FALSE)</f>
        <v>MCB</v>
      </c>
      <c r="F103" t="s">
        <v>1351</v>
      </c>
    </row>
    <row r="104" spans="1:6" x14ac:dyDescent="0.15">
      <c r="A104" t="s">
        <v>944</v>
      </c>
      <c r="B104" s="17">
        <v>94106</v>
      </c>
      <c r="C104" s="18">
        <f t="shared" si="2"/>
        <v>6.3096816931665339E-3</v>
      </c>
      <c r="D104">
        <v>5</v>
      </c>
      <c r="E104" t="str">
        <f>VLOOKUP(D104,Validation!$A$2:$C$41,3,FALSE)</f>
        <v>CFB</v>
      </c>
      <c r="F104" t="s">
        <v>1351</v>
      </c>
    </row>
    <row r="105" spans="1:6" x14ac:dyDescent="0.15">
      <c r="A105" t="s">
        <v>943</v>
      </c>
      <c r="B105" s="17">
        <v>78746</v>
      </c>
      <c r="C105" s="18">
        <f t="shared" si="2"/>
        <v>5.2798141947388256E-3</v>
      </c>
      <c r="D105">
        <v>4</v>
      </c>
      <c r="E105" t="str">
        <f>VLOOKUP(D105,Validation!$A$2:$C$41,3,FALSE)</f>
        <v>MCB</v>
      </c>
      <c r="F105" t="s">
        <v>1351</v>
      </c>
    </row>
    <row r="106" spans="1:6" x14ac:dyDescent="0.15">
      <c r="A106" t="s">
        <v>865</v>
      </c>
      <c r="B106" s="17">
        <v>67059</v>
      </c>
      <c r="C106" s="18">
        <f t="shared" si="2"/>
        <v>4.496216443819253E-3</v>
      </c>
      <c r="D106">
        <v>5</v>
      </c>
      <c r="E106" t="str">
        <f>VLOOKUP(D106,Validation!$A$2:$C$41,3,FALSE)</f>
        <v>CFB</v>
      </c>
      <c r="F106" t="s">
        <v>1350</v>
      </c>
    </row>
  </sheetData>
  <pageMargins left="0.7" right="0.7" top="0.75" bottom="0.75" header="0.3" footer="0.3"/>
  <pageSetup orientation="portrait" verticalDpi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enableFormatConditionsCalculation="0"/>
  <dimension ref="A1:F99"/>
  <sheetViews>
    <sheetView topLeftCell="A64" zoomScale="85" zoomScaleNormal="85" zoomScalePageLayoutView="85" workbookViewId="0">
      <selection activeCell="A94" sqref="A94"/>
    </sheetView>
  </sheetViews>
  <sheetFormatPr baseColWidth="10" defaultColWidth="8.83203125" defaultRowHeight="13" x14ac:dyDescent="0.15"/>
  <cols>
    <col min="1" max="1" width="33.33203125" bestFit="1" customWidth="1"/>
    <col min="2" max="2" width="10.5" bestFit="1" customWidth="1"/>
  </cols>
  <sheetData>
    <row r="1" spans="1:3" x14ac:dyDescent="0.15">
      <c r="A1" t="s">
        <v>784</v>
      </c>
      <c r="B1" t="s">
        <v>807</v>
      </c>
      <c r="C1" t="s">
        <v>811</v>
      </c>
    </row>
    <row r="2" spans="1:3" x14ac:dyDescent="0.15">
      <c r="A2" t="s">
        <v>0</v>
      </c>
      <c r="B2" s="17">
        <f>IFERROR(SUMIFS('Full List'!B:B,'Full List'!A:A,GA!$A2,'Full List'!E:E,GA!$A$1),"")</f>
        <v>4817914</v>
      </c>
      <c r="C2" s="18">
        <f>IFERROR(B2/$B$2,"")</f>
        <v>1</v>
      </c>
    </row>
    <row r="3" spans="1:3" x14ac:dyDescent="0.15">
      <c r="A3" t="s">
        <v>3</v>
      </c>
      <c r="B3" s="17">
        <f>IFERROR(SUMIFS('Full List'!B:B,'Full List'!A:A,GA!$A3,'Full List'!E:E,GA!$A$1),"")</f>
        <v>87047</v>
      </c>
      <c r="C3" s="18">
        <f t="shared" ref="C3:C66" si="0">IFERROR(B3/$B$2,"")</f>
        <v>1.8067362763220764E-2</v>
      </c>
    </row>
    <row r="4" spans="1:3" x14ac:dyDescent="0.15">
      <c r="A4" t="s">
        <v>4</v>
      </c>
      <c r="B4" s="17">
        <f>IFERROR(SUMIFS('Full List'!B:B,'Full List'!A:A,GA!$A4,'Full List'!E:E,GA!$A$1),"")</f>
        <v>119854</v>
      </c>
      <c r="C4" s="18">
        <f t="shared" si="0"/>
        <v>2.4876741261882218E-2</v>
      </c>
    </row>
    <row r="5" spans="1:3" x14ac:dyDescent="0.15">
      <c r="A5" t="s">
        <v>5</v>
      </c>
      <c r="B5" s="17">
        <f>IFERROR(SUMIFS('Full List'!B:B,'Full List'!A:A,GA!$A5,'Full List'!E:E,GA!$A$1),"")</f>
        <v>179839</v>
      </c>
      <c r="C5" s="18">
        <f t="shared" si="0"/>
        <v>3.7327150297825989E-2</v>
      </c>
    </row>
    <row r="6" spans="1:3" x14ac:dyDescent="0.15">
      <c r="A6" t="s">
        <v>6</v>
      </c>
      <c r="B6" s="17">
        <f>IFERROR(SUMIFS('Full List'!B:B,'Full List'!A:A,GA!$A6,'Full List'!E:E,GA!$A$1),"")</f>
        <v>515354</v>
      </c>
      <c r="C6" s="18">
        <f t="shared" si="0"/>
        <v>0.10696620985762718</v>
      </c>
    </row>
    <row r="7" spans="1:3" x14ac:dyDescent="0.15">
      <c r="A7" t="s">
        <v>7</v>
      </c>
      <c r="B7" s="17">
        <f>IFERROR(SUMIFS('Full List'!B:B,'Full List'!A:A,GA!$A7,'Full List'!E:E,GA!$A$1),"")</f>
        <v>1440068</v>
      </c>
      <c r="C7" s="18">
        <f t="shared" si="0"/>
        <v>0.29889865198922189</v>
      </c>
    </row>
    <row r="8" spans="1:3" x14ac:dyDescent="0.15">
      <c r="A8" t="s">
        <v>8</v>
      </c>
      <c r="B8" s="17">
        <f>IFERROR(SUMIFS('Full List'!B:B,'Full List'!A:A,GA!$A8,'Full List'!E:E,GA!$A$1),"")</f>
        <v>47027</v>
      </c>
      <c r="C8" s="18">
        <f t="shared" si="0"/>
        <v>9.7608633113833079E-3</v>
      </c>
    </row>
    <row r="9" spans="1:3" x14ac:dyDescent="0.15">
      <c r="A9" t="s">
        <v>9</v>
      </c>
      <c r="B9" s="17">
        <f>IFERROR(SUMIFS('Full List'!B:B,'Full List'!A:A,GA!$A9,'Full List'!E:E,GA!$A$1),"")</f>
        <v>154180</v>
      </c>
      <c r="C9" s="18">
        <f t="shared" si="0"/>
        <v>3.2001401436389278E-2</v>
      </c>
    </row>
    <row r="10" spans="1:3" x14ac:dyDescent="0.15">
      <c r="A10" t="s">
        <v>10</v>
      </c>
      <c r="B10" s="17">
        <f>IFERROR(SUMIFS('Full List'!B:B,'Full List'!A:A,GA!$A10,'Full List'!E:E,GA!$A$1),"")</f>
        <v>89277</v>
      </c>
      <c r="C10" s="18">
        <f t="shared" si="0"/>
        <v>1.8530218679702462E-2</v>
      </c>
    </row>
    <row r="11" spans="1:3" x14ac:dyDescent="0.15">
      <c r="A11" t="s">
        <v>11</v>
      </c>
      <c r="B11" s="17">
        <f>IFERROR(SUMIFS('Full List'!B:B,'Full List'!A:A,GA!$A11,'Full List'!E:E,GA!$A$1),"")</f>
        <v>212897</v>
      </c>
      <c r="C11" s="18">
        <f t="shared" si="0"/>
        <v>4.4188626031930002E-2</v>
      </c>
    </row>
    <row r="12" spans="1:3" x14ac:dyDescent="0.15">
      <c r="A12" t="s">
        <v>12</v>
      </c>
      <c r="B12" s="17">
        <f>IFERROR(SUMIFS('Full List'!B:B,'Full List'!A:A,GA!$A12,'Full List'!E:E,GA!$A$1),"")</f>
        <v>66454</v>
      </c>
      <c r="C12" s="18">
        <f t="shared" si="0"/>
        <v>1.3793106311154579E-2</v>
      </c>
    </row>
    <row r="13" spans="1:3" x14ac:dyDescent="0.15">
      <c r="A13" t="s">
        <v>13</v>
      </c>
      <c r="B13" s="17">
        <f>IFERROR(SUMIFS('Full List'!B:B,'Full List'!A:A,GA!$A13,'Full List'!E:E,GA!$A$1),"")</f>
        <v>76788</v>
      </c>
      <c r="C13" s="18">
        <f t="shared" si="0"/>
        <v>1.5938017988698015E-2</v>
      </c>
    </row>
    <row r="14" spans="1:3" x14ac:dyDescent="0.15">
      <c r="A14" t="s">
        <v>14</v>
      </c>
      <c r="B14" s="17">
        <f>IFERROR(SUMIFS('Full List'!B:B,'Full List'!A:A,GA!$A14,'Full List'!E:E,GA!$A$1),"")</f>
        <v>348834</v>
      </c>
      <c r="C14" s="18">
        <f t="shared" si="0"/>
        <v>7.240353397756788E-2</v>
      </c>
    </row>
    <row r="15" spans="1:3" x14ac:dyDescent="0.15">
      <c r="A15" t="s">
        <v>15</v>
      </c>
      <c r="B15" s="17">
        <f>IFERROR(SUMIFS('Full List'!B:B,'Full List'!A:A,GA!$A15,'Full List'!E:E,GA!$A$1),"")</f>
        <v>402507</v>
      </c>
      <c r="C15" s="18">
        <f t="shared" si="0"/>
        <v>8.3543832455290817E-2</v>
      </c>
    </row>
    <row r="16" spans="1:3" x14ac:dyDescent="0.15">
      <c r="A16" t="s">
        <v>16</v>
      </c>
      <c r="B16" s="17">
        <f>IFERROR(SUMIFS('Full List'!B:B,'Full List'!A:A,GA!$A16,'Full List'!E:E,GA!$A$1),"")</f>
        <v>160631</v>
      </c>
      <c r="C16" s="18">
        <f t="shared" si="0"/>
        <v>3.3340362654875118E-2</v>
      </c>
    </row>
    <row r="17" spans="1:3" x14ac:dyDescent="0.15">
      <c r="A17" t="s">
        <v>17</v>
      </c>
      <c r="B17" s="17">
        <f>IFERROR(SUMIFS('Full List'!B:B,'Full List'!A:A,GA!$A17,'Full List'!E:E,GA!$A$1),"")</f>
        <v>87315</v>
      </c>
      <c r="C17" s="18">
        <f t="shared" si="0"/>
        <v>1.8122988496681345E-2</v>
      </c>
    </row>
    <row r="18" spans="1:3" x14ac:dyDescent="0.15">
      <c r="A18" t="s">
        <v>18</v>
      </c>
      <c r="B18" s="17">
        <f>IFERROR(SUMIFS('Full List'!B:B,'Full List'!A:A,GA!$A18,'Full List'!E:E,GA!$A$1),"")</f>
        <v>49025</v>
      </c>
      <c r="C18" s="18">
        <f t="shared" si="0"/>
        <v>1.0175565607854353E-2</v>
      </c>
    </row>
    <row r="19" spans="1:3" x14ac:dyDescent="0.15">
      <c r="A19" t="s">
        <v>19</v>
      </c>
      <c r="B19" s="17">
        <f>IFERROR(SUMIFS('Full List'!B:B,'Full List'!A:A,GA!$A19,'Full List'!E:E,GA!$A$1),"")</f>
        <v>747642</v>
      </c>
      <c r="C19" s="18">
        <f t="shared" si="0"/>
        <v>0.15517960677587853</v>
      </c>
    </row>
    <row r="20" spans="1:3" x14ac:dyDescent="0.15">
      <c r="A20" t="s">
        <v>20</v>
      </c>
      <c r="B20" s="17">
        <f>IFERROR(SUMIFS('Full List'!B:B,'Full List'!A:A,GA!$A20,'Full List'!E:E,GA!$A$1),"")</f>
        <v>94868</v>
      </c>
      <c r="C20" s="18">
        <f t="shared" si="0"/>
        <v>1.9690679410217782E-2</v>
      </c>
    </row>
    <row r="21" spans="1:3" x14ac:dyDescent="0.15">
      <c r="A21" t="s">
        <v>21</v>
      </c>
      <c r="B21" s="17">
        <f>IFERROR(SUMIFS('Full List'!B:B,'Full List'!A:A,GA!$A21,'Full List'!E:E,GA!$A$1),"")</f>
        <v>161698</v>
      </c>
      <c r="C21" s="18">
        <f t="shared" si="0"/>
        <v>3.3561827795182728E-2</v>
      </c>
    </row>
    <row r="22" spans="1:3" x14ac:dyDescent="0.15">
      <c r="A22" t="s">
        <v>22</v>
      </c>
      <c r="B22" s="17">
        <f>IFERROR(SUMIFS('Full List'!B:B,'Full List'!A:A,GA!$A22,'Full List'!E:E,GA!$A$1),"")</f>
        <v>90167</v>
      </c>
      <c r="C22" s="18">
        <f t="shared" si="0"/>
        <v>1.8714945928881253E-2</v>
      </c>
    </row>
    <row r="23" spans="1:3" x14ac:dyDescent="0.15">
      <c r="A23" t="s">
        <v>23</v>
      </c>
      <c r="B23" s="17">
        <f>IFERROR(SUMIFS('Full List'!B:B,'Full List'!A:A,GA!$A23,'Full List'!E:E,GA!$A$1),"")</f>
        <v>83024</v>
      </c>
      <c r="C23" s="18">
        <f t="shared" si="0"/>
        <v>1.7232354085191227E-2</v>
      </c>
    </row>
    <row r="24" spans="1:3" x14ac:dyDescent="0.15">
      <c r="A24" t="s">
        <v>24</v>
      </c>
      <c r="B24" s="17">
        <f>IFERROR(SUMIFS('Full List'!B:B,'Full List'!A:A,GA!$A24,'Full List'!E:E,GA!$A$1),"")</f>
        <v>36270</v>
      </c>
      <c r="C24" s="18">
        <f t="shared" si="0"/>
        <v>7.5281543008032109E-3</v>
      </c>
    </row>
    <row r="25" spans="1:3" x14ac:dyDescent="0.15">
      <c r="A25" t="s">
        <v>25</v>
      </c>
      <c r="B25" s="17">
        <f>IFERROR(SUMIFS('Full List'!B:B,'Full List'!A:A,GA!$A25,'Full List'!E:E,GA!$A$1),"")</f>
        <v>119513</v>
      </c>
      <c r="C25" s="18">
        <f t="shared" si="0"/>
        <v>2.4805963742814838E-2</v>
      </c>
    </row>
    <row r="26" spans="1:3" x14ac:dyDescent="0.15">
      <c r="A26" t="s">
        <v>26</v>
      </c>
      <c r="B26" s="17">
        <f>IFERROR(SUMIFS('Full List'!B:B,'Full List'!A:A,GA!$A26,'Full List'!E:E,GA!$A$1),"")</f>
        <v>47174</v>
      </c>
      <c r="C26" s="18">
        <f t="shared" si="0"/>
        <v>9.7913744413038514E-3</v>
      </c>
    </row>
    <row r="27" spans="1:3" x14ac:dyDescent="0.15">
      <c r="A27" t="s">
        <v>27</v>
      </c>
      <c r="B27" s="17">
        <f>IFERROR(SUMIFS('Full List'!B:B,'Full List'!A:A,GA!$A27,'Full List'!E:E,GA!$A$1),"")</f>
        <v>397176</v>
      </c>
      <c r="C27" s="18">
        <f t="shared" si="0"/>
        <v>8.2437336988580537E-2</v>
      </c>
    </row>
    <row r="28" spans="1:3" x14ac:dyDescent="0.15">
      <c r="A28" t="s">
        <v>28</v>
      </c>
      <c r="B28" s="17">
        <f>IFERROR(SUMIFS('Full List'!B:B,'Full List'!A:A,GA!$A28,'Full List'!E:E,GA!$A$1),"")</f>
        <v>609169</v>
      </c>
      <c r="C28" s="18">
        <f t="shared" si="0"/>
        <v>0.12643832994943455</v>
      </c>
    </row>
    <row r="29" spans="1:3" x14ac:dyDescent="0.15">
      <c r="A29" t="s">
        <v>29</v>
      </c>
      <c r="B29" s="17">
        <f>IFERROR(SUMIFS('Full List'!B:B,'Full List'!A:A,GA!$A29,'Full List'!E:E,GA!$A$1),"")</f>
        <v>1555116</v>
      </c>
      <c r="C29" s="18">
        <f t="shared" si="0"/>
        <v>0.3227778661055386</v>
      </c>
    </row>
    <row r="30" spans="1:3" x14ac:dyDescent="0.15">
      <c r="A30" t="s">
        <v>30</v>
      </c>
      <c r="B30" s="17">
        <f>IFERROR(SUMIFS('Full List'!B:B,'Full List'!A:A,GA!$A30,'Full List'!E:E,GA!$A$1),"")</f>
        <v>104373</v>
      </c>
      <c r="C30" s="18">
        <f t="shared" si="0"/>
        <v>2.1663524919705916E-2</v>
      </c>
    </row>
    <row r="31" spans="1:3" x14ac:dyDescent="0.15">
      <c r="A31" t="s">
        <v>31</v>
      </c>
      <c r="B31" s="17">
        <f>IFERROR(SUMIFS('Full List'!B:B,'Full List'!A:A,GA!$A31,'Full List'!E:E,GA!$A$1),"")</f>
        <v>75195</v>
      </c>
      <c r="C31" s="18">
        <f t="shared" si="0"/>
        <v>1.5607376968538667E-2</v>
      </c>
    </row>
    <row r="32" spans="1:3" x14ac:dyDescent="0.15">
      <c r="A32" t="s">
        <v>32</v>
      </c>
      <c r="B32" s="17">
        <f>IFERROR(SUMIFS('Full List'!B:B,'Full List'!A:A,GA!$A32,'Full List'!E:E,GA!$A$1),"")</f>
        <v>136983</v>
      </c>
      <c r="C32" s="18">
        <f t="shared" si="0"/>
        <v>2.8432014353099701E-2</v>
      </c>
    </row>
    <row r="33" spans="1:3" x14ac:dyDescent="0.15">
      <c r="A33" t="s">
        <v>33</v>
      </c>
      <c r="B33" s="17">
        <f>IFERROR(SUMIFS('Full List'!B:B,'Full List'!A:A,GA!$A33,'Full List'!E:E,GA!$A$1),"")</f>
        <v>1213880</v>
      </c>
      <c r="C33" s="18">
        <f t="shared" si="0"/>
        <v>0.25195136318331957</v>
      </c>
    </row>
    <row r="34" spans="1:3" x14ac:dyDescent="0.15">
      <c r="A34" t="s">
        <v>34</v>
      </c>
      <c r="B34" s="17">
        <f>IFERROR(SUMIFS('Full List'!B:B,'Full List'!A:A,GA!$A34,'Full List'!E:E,GA!$A$1),"")</f>
        <v>336000</v>
      </c>
      <c r="C34" s="18">
        <f t="shared" si="0"/>
        <v>6.9739725532668287E-2</v>
      </c>
    </row>
    <row r="35" spans="1:3" x14ac:dyDescent="0.15">
      <c r="A35" t="s">
        <v>35</v>
      </c>
      <c r="B35" s="17">
        <f>IFERROR(SUMIFS('Full List'!B:B,'Full List'!A:A,GA!$A35,'Full List'!E:E,GA!$A$1),"")</f>
        <v>254343</v>
      </c>
      <c r="C35" s="18">
        <f t="shared" si="0"/>
        <v>5.2791104199867413E-2</v>
      </c>
    </row>
    <row r="36" spans="1:3" x14ac:dyDescent="0.15">
      <c r="A36" t="s">
        <v>36</v>
      </c>
      <c r="B36" s="17">
        <f>IFERROR(SUMIFS('Full List'!B:B,'Full List'!A:A,GA!$A36,'Full List'!E:E,GA!$A$1),"")</f>
        <v>69047</v>
      </c>
      <c r="C36" s="18">
        <f t="shared" si="0"/>
        <v>1.4331306038256391E-2</v>
      </c>
    </row>
    <row r="37" spans="1:3" x14ac:dyDescent="0.15">
      <c r="A37" t="s">
        <v>37</v>
      </c>
      <c r="B37" s="17">
        <f>IFERROR(SUMIFS('Full List'!B:B,'Full List'!A:A,GA!$A37,'Full List'!E:E,GA!$A$1),"")</f>
        <v>56793</v>
      </c>
      <c r="C37" s="18">
        <f t="shared" si="0"/>
        <v>1.1787881643383423E-2</v>
      </c>
    </row>
    <row r="38" spans="1:3" x14ac:dyDescent="0.15">
      <c r="A38" t="s">
        <v>38</v>
      </c>
      <c r="B38" s="17">
        <f>IFERROR(SUMIFS('Full List'!B:B,'Full List'!A:A,GA!$A38,'Full List'!E:E,GA!$A$1),"")</f>
        <v>109975</v>
      </c>
      <c r="C38" s="18">
        <f t="shared" si="0"/>
        <v>2.2826268795997605E-2</v>
      </c>
    </row>
    <row r="39" spans="1:3" x14ac:dyDescent="0.15">
      <c r="A39" t="s">
        <v>39</v>
      </c>
      <c r="B39" s="17">
        <f>IFERROR(SUMIFS('Full List'!B:B,'Full List'!A:A,GA!$A39,'Full List'!E:E,GA!$A$1),"")</f>
        <v>262011</v>
      </c>
      <c r="C39" s="18">
        <f t="shared" si="0"/>
        <v>5.4382664364702231E-2</v>
      </c>
    </row>
    <row r="40" spans="1:3" x14ac:dyDescent="0.15">
      <c r="A40" t="s">
        <v>40</v>
      </c>
      <c r="B40" s="17">
        <f>IFERROR(SUMIFS('Full List'!B:B,'Full List'!A:A,GA!$A40,'Full List'!E:E,GA!$A$1),"")</f>
        <v>127319</v>
      </c>
      <c r="C40" s="18">
        <f t="shared" si="0"/>
        <v>2.6426167009207718E-2</v>
      </c>
    </row>
    <row r="41" spans="1:3" x14ac:dyDescent="0.15">
      <c r="A41" t="s">
        <v>41</v>
      </c>
      <c r="B41" s="17">
        <f>IFERROR(SUMIFS('Full List'!B:B,'Full List'!A:A,GA!$A41,'Full List'!E:E,GA!$A$1),"")</f>
        <v>203994</v>
      </c>
      <c r="C41" s="18">
        <f t="shared" si="0"/>
        <v>4.2340730864021237E-2</v>
      </c>
    </row>
    <row r="42" spans="1:3" x14ac:dyDescent="0.15">
      <c r="A42" t="s">
        <v>42</v>
      </c>
      <c r="B42" s="17">
        <f>IFERROR(SUMIFS('Full List'!B:B,'Full List'!A:A,GA!$A42,'Full List'!E:E,GA!$A$1),"")</f>
        <v>226960</v>
      </c>
      <c r="C42" s="18">
        <f t="shared" si="0"/>
        <v>4.7107524127661886E-2</v>
      </c>
    </row>
    <row r="43" spans="1:3" x14ac:dyDescent="0.15">
      <c r="A43" t="s">
        <v>43</v>
      </c>
      <c r="B43" s="17">
        <f>IFERROR(SUMIFS('Full List'!B:B,'Full List'!A:A,GA!$A43,'Full List'!E:E,GA!$A$1),"")</f>
        <v>392864</v>
      </c>
      <c r="C43" s="18">
        <f t="shared" si="0"/>
        <v>8.1542343844244622E-2</v>
      </c>
    </row>
    <row r="44" spans="1:3" x14ac:dyDescent="0.15">
      <c r="A44" t="s">
        <v>44</v>
      </c>
      <c r="B44" s="17">
        <f>IFERROR(SUMIFS('Full List'!B:B,'Full List'!A:A,GA!$A44,'Full List'!E:E,GA!$A$1),"")</f>
        <v>621714</v>
      </c>
      <c r="C44" s="18">
        <f t="shared" si="0"/>
        <v>0.12904215392802779</v>
      </c>
    </row>
    <row r="45" spans="1:3" x14ac:dyDescent="0.15">
      <c r="A45" t="s">
        <v>45</v>
      </c>
      <c r="B45" s="17">
        <f>IFERROR(SUMIFS('Full List'!B:B,'Full List'!A:A,GA!$A45,'Full List'!E:E,GA!$A$1),"")</f>
        <v>1102260</v>
      </c>
      <c r="C45" s="18">
        <f t="shared" si="0"/>
        <v>0.22878366031440162</v>
      </c>
    </row>
    <row r="46" spans="1:3" x14ac:dyDescent="0.15">
      <c r="A46" t="s">
        <v>46</v>
      </c>
      <c r="B46" s="17">
        <f>IFERROR(SUMIFS('Full List'!B:B,'Full List'!A:A,GA!$A46,'Full List'!E:E,GA!$A$1),"")</f>
        <v>1654529</v>
      </c>
      <c r="C46" s="18">
        <f t="shared" si="0"/>
        <v>0.34341189983880993</v>
      </c>
    </row>
    <row r="47" spans="1:3" x14ac:dyDescent="0.15">
      <c r="A47" t="s">
        <v>47</v>
      </c>
      <c r="B47" s="17">
        <f>IFERROR(SUMIFS('Full List'!B:B,'Full List'!A:A,GA!$A47,'Full List'!E:E,GA!$A$1),"")</f>
        <v>2663451</v>
      </c>
      <c r="C47" s="18">
        <f t="shared" si="0"/>
        <v>0.55282244556461568</v>
      </c>
    </row>
    <row r="48" spans="1:3" x14ac:dyDescent="0.15">
      <c r="A48" t="s">
        <v>48</v>
      </c>
      <c r="B48" s="17">
        <f>IFERROR(SUMIFS('Full List'!B:B,'Full List'!A:A,GA!$A48,'Full List'!E:E,GA!$A$1),"")</f>
        <v>293128</v>
      </c>
      <c r="C48" s="18">
        <f t="shared" si="0"/>
        <v>6.0841268648630924E-2</v>
      </c>
    </row>
    <row r="49" spans="1:3" x14ac:dyDescent="0.15">
      <c r="A49" t="s">
        <v>49</v>
      </c>
      <c r="B49" s="17">
        <f>IFERROR(SUMIFS('Full List'!B:B,'Full List'!A:A,GA!$A49,'Full List'!E:E,GA!$A$1),"")</f>
        <v>688867</v>
      </c>
      <c r="C49" s="18">
        <f t="shared" si="0"/>
        <v>0.14298034377533514</v>
      </c>
    </row>
    <row r="50" spans="1:3" x14ac:dyDescent="0.15">
      <c r="A50" t="s">
        <v>50</v>
      </c>
      <c r="B50" s="17">
        <f>IFERROR(SUMIFS('Full List'!B:B,'Full List'!A:A,GA!$A50,'Full List'!E:E,GA!$A$1),"")</f>
        <v>753466</v>
      </c>
      <c r="C50" s="18">
        <f t="shared" si="0"/>
        <v>0.15638842868511144</v>
      </c>
    </row>
    <row r="51" spans="1:3" x14ac:dyDescent="0.15">
      <c r="A51" t="s">
        <v>51</v>
      </c>
      <c r="B51" s="17">
        <f>IFERROR(SUMIFS('Full List'!B:B,'Full List'!A:A,GA!$A51,'Full List'!E:E,GA!$A$1),"")</f>
        <v>1316584</v>
      </c>
      <c r="C51" s="18">
        <f t="shared" si="0"/>
        <v>0.27326847262113851</v>
      </c>
    </row>
    <row r="52" spans="1:3" x14ac:dyDescent="0.15">
      <c r="A52" t="s">
        <v>52</v>
      </c>
      <c r="B52" s="17">
        <f>IFERROR(SUMIFS('Full List'!B:B,'Full List'!A:A,GA!$A52,'Full List'!E:E,GA!$A$1),"")</f>
        <v>601564</v>
      </c>
      <c r="C52" s="18">
        <f t="shared" si="0"/>
        <v>0.1248598459831371</v>
      </c>
    </row>
    <row r="53" spans="1:3" x14ac:dyDescent="0.15">
      <c r="A53" t="s">
        <v>53</v>
      </c>
      <c r="B53" s="17">
        <f>IFERROR(SUMIFS('Full List'!B:B,'Full List'!A:A,GA!$A53,'Full List'!E:E,GA!$A$1),"")</f>
        <v>409897</v>
      </c>
      <c r="C53" s="18">
        <f t="shared" si="0"/>
        <v>8.5077691299595637E-2</v>
      </c>
    </row>
    <row r="54" spans="1:3" x14ac:dyDescent="0.15">
      <c r="A54" t="s">
        <v>54</v>
      </c>
      <c r="B54" s="17">
        <f>IFERROR(SUMIFS('Full List'!B:B,'Full List'!A:A,GA!$A54,'Full List'!E:E,GA!$A$1),"")</f>
        <v>1712675</v>
      </c>
      <c r="C54" s="18">
        <f t="shared" si="0"/>
        <v>0.35548060841268647</v>
      </c>
    </row>
    <row r="55" spans="1:3" x14ac:dyDescent="0.15">
      <c r="A55" t="s">
        <v>55</v>
      </c>
      <c r="B55" s="17">
        <f>IFERROR(SUMIFS('Full List'!B:B,'Full List'!A:A,GA!$A55,'Full List'!E:E,GA!$A$1),"")</f>
        <v>1661036</v>
      </c>
      <c r="C55" s="18">
        <f t="shared" si="0"/>
        <v>0.34476248434488455</v>
      </c>
    </row>
    <row r="56" spans="1:3" x14ac:dyDescent="0.15">
      <c r="A56" t="s">
        <v>56</v>
      </c>
      <c r="B56" s="17">
        <f>IFERROR(SUMIFS('Full List'!B:B,'Full List'!A:A,GA!$A56,'Full List'!E:E,GA!$A$1),"")</f>
        <v>979488</v>
      </c>
      <c r="C56" s="18">
        <f t="shared" si="0"/>
        <v>0.20330126274566129</v>
      </c>
    </row>
    <row r="57" spans="1:3" x14ac:dyDescent="0.15">
      <c r="A57" t="s">
        <v>57</v>
      </c>
      <c r="B57" s="17">
        <f>IFERROR(SUMIFS('Full List'!B:B,'Full List'!A:A,GA!$A57,'Full List'!E:E,GA!$A$1),"")</f>
        <v>677440</v>
      </c>
      <c r="C57" s="18">
        <f t="shared" si="0"/>
        <v>0.14060857043110359</v>
      </c>
    </row>
    <row r="58" spans="1:3" x14ac:dyDescent="0.15">
      <c r="A58" t="s">
        <v>58</v>
      </c>
      <c r="B58" s="17">
        <f>IFERROR(SUMIFS('Full List'!B:B,'Full List'!A:A,GA!$A58,'Full List'!E:E,GA!$A$1),"")</f>
        <v>610194</v>
      </c>
      <c r="C58" s="18">
        <f t="shared" si="0"/>
        <v>0.12665107762405056</v>
      </c>
    </row>
    <row r="59" spans="1:3" x14ac:dyDescent="0.15">
      <c r="A59" t="s">
        <v>59</v>
      </c>
      <c r="B59" s="17">
        <f>IFERROR(SUMIFS('Full List'!B:B,'Full List'!A:A,GA!$A59,'Full List'!E:E,GA!$A$1),"")</f>
        <v>2455023</v>
      </c>
      <c r="C59" s="18">
        <f t="shared" si="0"/>
        <v>0.50956139939401157</v>
      </c>
    </row>
    <row r="60" spans="1:3" x14ac:dyDescent="0.15">
      <c r="A60" t="s">
        <v>60</v>
      </c>
      <c r="B60" s="17">
        <f>IFERROR(SUMIFS('Full List'!B:B,'Full List'!A:A,GA!$A60,'Full List'!E:E,GA!$A$1),"")</f>
        <v>863770</v>
      </c>
      <c r="C60" s="18">
        <f t="shared" si="0"/>
        <v>0.17928298429569312</v>
      </c>
    </row>
    <row r="61" spans="1:3" x14ac:dyDescent="0.15">
      <c r="A61" t="s">
        <v>61</v>
      </c>
      <c r="B61" s="17">
        <f>IFERROR(SUMIFS('Full List'!B:B,'Full List'!A:A,GA!$A61,'Full List'!E:E,GA!$A$1),"")</f>
        <v>1023376</v>
      </c>
      <c r="C61" s="18">
        <f t="shared" si="0"/>
        <v>0.21241059927595221</v>
      </c>
    </row>
    <row r="62" spans="1:3" x14ac:dyDescent="0.15">
      <c r="A62" t="s">
        <v>62</v>
      </c>
      <c r="B62" s="17">
        <f>IFERROR(SUMIFS('Full List'!B:B,'Full List'!A:A,GA!$A62,'Full List'!E:E,GA!$A$1),"")</f>
        <v>545230</v>
      </c>
      <c r="C62" s="18">
        <f t="shared" si="0"/>
        <v>0.11316723378624027</v>
      </c>
    </row>
    <row r="63" spans="1:3" x14ac:dyDescent="0.15">
      <c r="A63" t="s">
        <v>63</v>
      </c>
      <c r="B63" s="17">
        <f>IFERROR(SUMIFS('Full List'!B:B,'Full List'!A:A,GA!$A63,'Full List'!E:E,GA!$A$1),"")</f>
        <v>686458</v>
      </c>
      <c r="C63" s="18">
        <f t="shared" si="0"/>
        <v>0.14248033485031072</v>
      </c>
    </row>
    <row r="64" spans="1:3" x14ac:dyDescent="0.15">
      <c r="A64" t="s">
        <v>64</v>
      </c>
      <c r="B64" s="17">
        <f>IFERROR(SUMIFS('Full List'!B:B,'Full List'!A:A,GA!$A64,'Full List'!E:E,GA!$A$1),"")</f>
        <v>202421</v>
      </c>
      <c r="C64" s="18">
        <f t="shared" si="0"/>
        <v>4.2014241018000734E-2</v>
      </c>
    </row>
    <row r="65" spans="1:3" x14ac:dyDescent="0.15">
      <c r="A65" t="s">
        <v>65</v>
      </c>
      <c r="B65" s="17">
        <f>IFERROR(SUMIFS('Full List'!B:B,'Full List'!A:A,GA!$A65,'Full List'!E:E,GA!$A$1),"")</f>
        <v>686275</v>
      </c>
      <c r="C65" s="18">
        <f t="shared" si="0"/>
        <v>0.14244235160694027</v>
      </c>
    </row>
    <row r="66" spans="1:3" x14ac:dyDescent="0.15">
      <c r="A66" t="s">
        <v>66</v>
      </c>
      <c r="B66" s="17">
        <f>IFERROR(SUMIFS('Full List'!B:B,'Full List'!A:A,GA!$A66,'Full List'!E:E,GA!$A$1),"")</f>
        <v>324623</v>
      </c>
      <c r="C66" s="18">
        <f t="shared" si="0"/>
        <v>6.7378330123783858E-2</v>
      </c>
    </row>
    <row r="67" spans="1:3" x14ac:dyDescent="0.15">
      <c r="A67" t="s">
        <v>67</v>
      </c>
      <c r="B67" s="17">
        <f>IFERROR(SUMIFS('Full List'!B:B,'Full List'!A:A,GA!$A67,'Full List'!E:E,GA!$A$1),"")</f>
        <v>1329877</v>
      </c>
      <c r="C67" s="18">
        <f t="shared" ref="C67:C82" si="1">IFERROR(B67/$B$2,"")</f>
        <v>0.2760275505125247</v>
      </c>
    </row>
    <row r="68" spans="1:3" x14ac:dyDescent="0.15">
      <c r="A68" t="s">
        <v>68</v>
      </c>
      <c r="B68" s="17">
        <f>IFERROR(SUMIFS('Full List'!B:B,'Full List'!A:A,GA!$A68,'Full List'!E:E,GA!$A$1),"")</f>
        <v>1750156</v>
      </c>
      <c r="C68" s="18">
        <f t="shared" si="1"/>
        <v>0.36326011630759703</v>
      </c>
    </row>
    <row r="69" spans="1:3" x14ac:dyDescent="0.15">
      <c r="A69" t="s">
        <v>69</v>
      </c>
      <c r="B69" s="17">
        <f>IFERROR(SUMIFS('Full List'!B:B,'Full List'!A:A,GA!$A69,'Full List'!E:E,GA!$A$1),"")</f>
        <v>3165746</v>
      </c>
      <c r="C69" s="18">
        <f t="shared" si="1"/>
        <v>0.6570781462682812</v>
      </c>
    </row>
    <row r="70" spans="1:3" x14ac:dyDescent="0.15">
      <c r="A70" t="s">
        <v>70</v>
      </c>
      <c r="B70" s="17">
        <f>IFERROR(SUMIFS('Full List'!B:B,'Full List'!A:A,GA!$A70,'Full List'!E:E,GA!$A$1),"")</f>
        <v>759106</v>
      </c>
      <c r="C70" s="18">
        <f t="shared" si="1"/>
        <v>0.15755905979226695</v>
      </c>
    </row>
    <row r="71" spans="1:3" x14ac:dyDescent="0.15">
      <c r="A71" t="s">
        <v>71</v>
      </c>
      <c r="B71" s="17">
        <f>IFERROR(SUMIFS('Full List'!B:B,'Full List'!A:A,GA!$A71,'Full List'!E:E,GA!$A$1),"")</f>
        <v>367303</v>
      </c>
      <c r="C71" s="18">
        <f t="shared" si="1"/>
        <v>7.6236935736088279E-2</v>
      </c>
    </row>
    <row r="72" spans="1:3" x14ac:dyDescent="0.15">
      <c r="A72" t="s">
        <v>72</v>
      </c>
      <c r="B72" s="17">
        <f>IFERROR(SUMIFS('Full List'!B:B,'Full List'!A:A,GA!$A72,'Full List'!E:E,GA!$A$1),"")</f>
        <v>552217</v>
      </c>
      <c r="C72" s="18">
        <f t="shared" si="1"/>
        <v>0.11461744647164727</v>
      </c>
    </row>
    <row r="73" spans="1:3" x14ac:dyDescent="0.15">
      <c r="A73" t="s">
        <v>73</v>
      </c>
      <c r="B73" s="17">
        <f>IFERROR(SUMIFS('Full List'!B:B,'Full List'!A:A,GA!$A73,'Full List'!E:E,GA!$A$1),"")</f>
        <v>2919723</v>
      </c>
      <c r="C73" s="18">
        <f t="shared" si="1"/>
        <v>0.60601393051017516</v>
      </c>
    </row>
    <row r="74" spans="1:3" x14ac:dyDescent="0.15">
      <c r="A74" t="s">
        <v>74</v>
      </c>
      <c r="B74" s="17">
        <f>IFERROR(SUMIFS('Full List'!B:B,'Full List'!A:A,GA!$A74,'Full List'!E:E,GA!$A$1),"")</f>
        <v>1439991</v>
      </c>
      <c r="C74" s="18">
        <f t="shared" si="1"/>
        <v>0.29888266996878732</v>
      </c>
    </row>
    <row r="75" spans="1:3" x14ac:dyDescent="0.15">
      <c r="A75" t="s">
        <v>75</v>
      </c>
      <c r="B75" s="17">
        <f>IFERROR(SUMIFS('Full List'!B:B,'Full List'!A:A,GA!$A75,'Full List'!E:E,GA!$A$1),"")</f>
        <v>1072276</v>
      </c>
      <c r="C75" s="18">
        <f t="shared" si="1"/>
        <v>0.22256022004543874</v>
      </c>
    </row>
    <row r="76" spans="1:3" x14ac:dyDescent="0.15">
      <c r="A76" t="s">
        <v>76</v>
      </c>
      <c r="B76" s="17">
        <f>IFERROR(SUMIFS('Full List'!B:B,'Full List'!A:A,GA!$A76,'Full List'!E:E,GA!$A$1),"")</f>
        <v>550774</v>
      </c>
      <c r="C76" s="18">
        <f t="shared" si="1"/>
        <v>0.1143179392575293</v>
      </c>
    </row>
    <row r="77" spans="1:3" x14ac:dyDescent="0.15">
      <c r="A77" t="s">
        <v>77</v>
      </c>
      <c r="B77" s="17">
        <f>IFERROR(SUMIFS('Full List'!B:B,'Full List'!A:A,GA!$A77,'Full List'!E:E,GA!$A$1),"")</f>
        <v>462827</v>
      </c>
      <c r="C77" s="18">
        <f t="shared" si="1"/>
        <v>9.606377365806032E-2</v>
      </c>
    </row>
    <row r="78" spans="1:3" x14ac:dyDescent="0.15">
      <c r="A78" t="s">
        <v>78</v>
      </c>
      <c r="B78" s="17">
        <f>IFERROR(SUMIFS('Full List'!B:B,'Full List'!A:A,GA!$A78,'Full List'!E:E,GA!$A$1),"")</f>
        <v>528308</v>
      </c>
      <c r="C78" s="18">
        <f t="shared" si="1"/>
        <v>0.10965492534735988</v>
      </c>
    </row>
    <row r="79" spans="1:3" x14ac:dyDescent="0.15">
      <c r="A79" t="s">
        <v>79</v>
      </c>
      <c r="B79" s="17">
        <f>IFERROR(SUMIFS('Full List'!B:B,'Full List'!A:A,GA!$A79,'Full List'!E:E,GA!$A$1),"")</f>
        <v>830840</v>
      </c>
      <c r="C79" s="18">
        <f t="shared" si="1"/>
        <v>0.17244807607607773</v>
      </c>
    </row>
    <row r="80" spans="1:3" x14ac:dyDescent="0.15">
      <c r="A80" t="s">
        <v>80</v>
      </c>
      <c r="B80" s="17">
        <f>IFERROR(SUMIFS('Full List'!B:B,'Full List'!A:A,GA!$A80,'Full List'!E:E,GA!$A$1),"")</f>
        <v>743858</v>
      </c>
      <c r="C80" s="18">
        <f t="shared" si="1"/>
        <v>0.15439420462880823</v>
      </c>
    </row>
    <row r="81" spans="1:6" x14ac:dyDescent="0.15">
      <c r="A81" t="s">
        <v>81</v>
      </c>
      <c r="B81" s="17">
        <f>IFERROR(SUMIFS('Full List'!B:B,'Full List'!A:A,GA!$A81,'Full List'!E:E,GA!$A$1),"")</f>
        <v>1099259</v>
      </c>
      <c r="C81" s="18">
        <f t="shared" si="1"/>
        <v>0.22816077663486728</v>
      </c>
    </row>
    <row r="82" spans="1:6" x14ac:dyDescent="0.15">
      <c r="A82" t="s">
        <v>82</v>
      </c>
      <c r="B82" s="17">
        <f>IFERROR(SUMIFS('Full List'!B:B,'Full List'!A:A,GA!$A82,'Full List'!E:E,GA!$A$1),"")</f>
        <v>702797</v>
      </c>
      <c r="C82" s="18">
        <f t="shared" si="1"/>
        <v>0.14587163656304367</v>
      </c>
    </row>
    <row r="83" spans="1:6" x14ac:dyDescent="0.15">
      <c r="B83" s="17"/>
      <c r="C83" s="18"/>
      <c r="D83" t="s">
        <v>812</v>
      </c>
      <c r="E83" t="s">
        <v>860</v>
      </c>
      <c r="F83" t="s">
        <v>1349</v>
      </c>
    </row>
    <row r="84" spans="1:6" x14ac:dyDescent="0.15">
      <c r="A84" t="s">
        <v>862</v>
      </c>
      <c r="B84" s="17">
        <v>2686796</v>
      </c>
      <c r="C84" s="18">
        <f t="shared" ref="C84:C93" si="2">IFERROR(B84/$B$2,"")</f>
        <v>0.55766790357818752</v>
      </c>
      <c r="D84">
        <v>27</v>
      </c>
      <c r="E84" t="str">
        <f>VLOOKUP(D84,Validation!$A$2:$C$41,3,FALSE)</f>
        <v xml:space="preserve">NFL </v>
      </c>
      <c r="F84" t="s">
        <v>1350</v>
      </c>
    </row>
    <row r="85" spans="1:6" ht="15" customHeight="1" x14ac:dyDescent="0.15">
      <c r="A85" t="s">
        <v>861</v>
      </c>
      <c r="B85" s="17">
        <v>2455026</v>
      </c>
      <c r="C85" s="18">
        <f t="shared" si="2"/>
        <v>0.50956202207013246</v>
      </c>
      <c r="D85">
        <v>17</v>
      </c>
      <c r="E85" t="str">
        <f>VLOOKUP(D85,Validation!$A$2:$C$41,3,FALSE)</f>
        <v>MLB</v>
      </c>
      <c r="F85" t="s">
        <v>1350</v>
      </c>
    </row>
    <row r="86" spans="1:6" x14ac:dyDescent="0.15">
      <c r="A86" t="s">
        <v>1371</v>
      </c>
      <c r="B86" s="17">
        <v>1957737</v>
      </c>
      <c r="C86" s="18">
        <f t="shared" si="2"/>
        <v>0.40634536025342088</v>
      </c>
      <c r="D86">
        <v>4</v>
      </c>
      <c r="E86" t="str">
        <f>VLOOKUP(D86,Validation!$A$2:$C$41,3,FALSE)</f>
        <v>MCB</v>
      </c>
      <c r="F86" t="s">
        <v>1350</v>
      </c>
    </row>
    <row r="87" spans="1:6" x14ac:dyDescent="0.15">
      <c r="A87" t="s">
        <v>863</v>
      </c>
      <c r="B87" s="17">
        <v>1358572</v>
      </c>
      <c r="C87" s="18">
        <f t="shared" si="2"/>
        <v>0.28198344760823874</v>
      </c>
      <c r="D87">
        <v>26</v>
      </c>
      <c r="E87" t="str">
        <f>VLOOKUP(D87,Validation!$A$2:$C$41,3,FALSE)</f>
        <v xml:space="preserve">NBA </v>
      </c>
      <c r="F87" t="s">
        <v>1350</v>
      </c>
    </row>
    <row r="88" spans="1:6" x14ac:dyDescent="0.15">
      <c r="A88" t="s">
        <v>965</v>
      </c>
      <c r="B88" s="17">
        <v>1200676</v>
      </c>
      <c r="C88" s="18">
        <f t="shared" si="2"/>
        <v>0.24921075801685127</v>
      </c>
      <c r="D88">
        <v>5</v>
      </c>
      <c r="E88" t="str">
        <f>VLOOKUP(D88,Validation!$A$2:$C$41,3,FALSE)</f>
        <v>CFB</v>
      </c>
      <c r="F88" t="s">
        <v>1350</v>
      </c>
    </row>
    <row r="89" spans="1:6" x14ac:dyDescent="0.15">
      <c r="A89" t="s">
        <v>968</v>
      </c>
      <c r="B89" s="17">
        <v>709151</v>
      </c>
      <c r="C89" s="18">
        <f t="shared" si="2"/>
        <v>0.14719046458695609</v>
      </c>
      <c r="D89">
        <v>4</v>
      </c>
      <c r="E89" t="str">
        <f>VLOOKUP(D89,Validation!$A$2:$C$41,3,FALSE)</f>
        <v>MCB</v>
      </c>
      <c r="F89" t="s">
        <v>1350</v>
      </c>
    </row>
    <row r="90" spans="1:6" x14ac:dyDescent="0.15">
      <c r="A90" t="s">
        <v>1372</v>
      </c>
      <c r="B90" s="17">
        <v>689733</v>
      </c>
      <c r="C90" s="18">
        <f t="shared" si="2"/>
        <v>0.1431600896155473</v>
      </c>
      <c r="D90">
        <v>5</v>
      </c>
      <c r="E90" t="str">
        <f>VLOOKUP(D90,Validation!$A$2:$C$41,3,FALSE)</f>
        <v>CFB</v>
      </c>
      <c r="F90" t="s">
        <v>1350</v>
      </c>
    </row>
    <row r="91" spans="1:6" x14ac:dyDescent="0.15">
      <c r="A91" t="s">
        <v>964</v>
      </c>
      <c r="B91" s="17">
        <v>563022</v>
      </c>
      <c r="C91" s="18">
        <f t="shared" si="2"/>
        <v>0.1168601183001606</v>
      </c>
      <c r="D91">
        <v>4</v>
      </c>
      <c r="E91" t="str">
        <f>VLOOKUP(D91,Validation!$A$2:$C$41,3,FALSE)</f>
        <v>MCB</v>
      </c>
      <c r="F91" t="s">
        <v>1350</v>
      </c>
    </row>
    <row r="92" spans="1:6" x14ac:dyDescent="0.15">
      <c r="A92" t="s">
        <v>967</v>
      </c>
      <c r="B92" s="17">
        <v>216718</v>
      </c>
      <c r="C92" s="18">
        <f t="shared" si="2"/>
        <v>4.4981707851157161E-2</v>
      </c>
      <c r="D92">
        <v>5</v>
      </c>
      <c r="E92" t="str">
        <f>VLOOKUP(D92,Validation!$A$2:$C$41,3,FALSE)</f>
        <v>CFB</v>
      </c>
      <c r="F92" t="s">
        <v>1350</v>
      </c>
    </row>
    <row r="93" spans="1:6" x14ac:dyDescent="0.15">
      <c r="A93" t="s">
        <v>966</v>
      </c>
      <c r="B93" s="17">
        <v>206499</v>
      </c>
      <c r="C93" s="18">
        <f t="shared" si="2"/>
        <v>4.2860665424912112E-2</v>
      </c>
      <c r="D93">
        <v>4</v>
      </c>
      <c r="E93" t="str">
        <f>VLOOKUP(D93,Validation!$A$2:$C$41,3,FALSE)</f>
        <v>MCB</v>
      </c>
      <c r="F93" t="s">
        <v>1350</v>
      </c>
    </row>
    <row r="94" spans="1:6" x14ac:dyDescent="0.15">
      <c r="B94" s="17"/>
      <c r="C94" s="18"/>
    </row>
    <row r="95" spans="1:6" x14ac:dyDescent="0.15">
      <c r="B95" s="17"/>
      <c r="C95" s="18"/>
    </row>
    <row r="96" spans="1:6" x14ac:dyDescent="0.15">
      <c r="B96" s="17"/>
      <c r="C96" s="18"/>
    </row>
    <row r="97" spans="2:3" x14ac:dyDescent="0.15">
      <c r="B97" s="17"/>
      <c r="C97" s="18"/>
    </row>
    <row r="98" spans="2:3" x14ac:dyDescent="0.15">
      <c r="B98" s="17"/>
      <c r="C98" s="18"/>
    </row>
    <row r="99" spans="2:3" x14ac:dyDescent="0.15">
      <c r="B99" s="17"/>
      <c r="C99" s="18"/>
    </row>
  </sheetData>
  <pageMargins left="0.7" right="0.7" top="0.75" bottom="0.75" header="0.3" footer="0.3"/>
  <pageSetup orientation="portrait" verticalDpi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/>
  <dimension ref="A1:F96"/>
  <sheetViews>
    <sheetView topLeftCell="B66" workbookViewId="0">
      <selection activeCell="F84" sqref="F84"/>
    </sheetView>
  </sheetViews>
  <sheetFormatPr baseColWidth="10" defaultColWidth="8.83203125" defaultRowHeight="13" x14ac:dyDescent="0.15"/>
  <cols>
    <col min="1" max="1" width="33.33203125" bestFit="1" customWidth="1"/>
    <col min="2" max="2" width="10.5" bestFit="1" customWidth="1"/>
  </cols>
  <sheetData>
    <row r="1" spans="1:3" x14ac:dyDescent="0.15">
      <c r="A1" t="s">
        <v>559</v>
      </c>
      <c r="B1" t="s">
        <v>807</v>
      </c>
      <c r="C1" t="s">
        <v>811</v>
      </c>
    </row>
    <row r="2" spans="1:3" x14ac:dyDescent="0.15">
      <c r="A2" t="s">
        <v>0</v>
      </c>
      <c r="B2" s="17">
        <f>IFERROR(SUMIFS('Full List'!B:B,'Full List'!A:A,HI!$A2,'Full List'!E:E,HI!$A$1),"")</f>
        <v>1071528</v>
      </c>
      <c r="C2" s="18">
        <f>IFERROR(B2/$B$2,"")</f>
        <v>1</v>
      </c>
    </row>
    <row r="3" spans="1:3" x14ac:dyDescent="0.15">
      <c r="A3" t="s">
        <v>3</v>
      </c>
      <c r="B3" s="17">
        <f>IFERROR(SUMIFS('Full List'!B:B,'Full List'!A:A,HI!$A3,'Full List'!E:E,HI!$A$1),"")</f>
        <v>29000</v>
      </c>
      <c r="C3" s="18">
        <f t="shared" ref="C3:C66" si="0">IFERROR(B3/$B$2,"")</f>
        <v>2.7064155113072173E-2</v>
      </c>
    </row>
    <row r="4" spans="1:3" x14ac:dyDescent="0.15">
      <c r="A4" t="s">
        <v>4</v>
      </c>
      <c r="B4" s="17">
        <f>IFERROR(SUMIFS('Full List'!B:B,'Full List'!A:A,HI!$A4,'Full List'!E:E,HI!$A$1),"")</f>
        <v>23685</v>
      </c>
      <c r="C4" s="18">
        <f t="shared" si="0"/>
        <v>2.2103948753555671E-2</v>
      </c>
    </row>
    <row r="5" spans="1:3" x14ac:dyDescent="0.15">
      <c r="A5" t="s">
        <v>5</v>
      </c>
      <c r="B5" s="17">
        <f>IFERROR(SUMIFS('Full List'!B:B,'Full List'!A:A,HI!$A5,'Full List'!E:E,HI!$A$1),"")</f>
        <v>52563</v>
      </c>
      <c r="C5" s="18">
        <f t="shared" si="0"/>
        <v>4.9054247765807336E-2</v>
      </c>
    </row>
    <row r="6" spans="1:3" x14ac:dyDescent="0.15">
      <c r="A6" t="s">
        <v>6</v>
      </c>
      <c r="B6" s="17">
        <f>IFERROR(SUMIFS('Full List'!B:B,'Full List'!A:A,HI!$A6,'Full List'!E:E,HI!$A$1),"")</f>
        <v>67640</v>
      </c>
      <c r="C6" s="18">
        <f t="shared" si="0"/>
        <v>6.3124808684420747E-2</v>
      </c>
    </row>
    <row r="7" spans="1:3" x14ac:dyDescent="0.15">
      <c r="A7" t="s">
        <v>7</v>
      </c>
      <c r="B7" s="17">
        <f>IFERROR(SUMIFS('Full List'!B:B,'Full List'!A:A,HI!$A7,'Full List'!E:E,HI!$A$1),"")</f>
        <v>174738</v>
      </c>
      <c r="C7" s="18">
        <f t="shared" si="0"/>
        <v>0.16307366676372434</v>
      </c>
    </row>
    <row r="8" spans="1:3" x14ac:dyDescent="0.15">
      <c r="A8" t="s">
        <v>8</v>
      </c>
      <c r="B8" s="17">
        <f>IFERROR(SUMIFS('Full List'!B:B,'Full List'!A:A,HI!$A8,'Full List'!E:E,HI!$A$1),"")</f>
        <v>11624</v>
      </c>
      <c r="C8" s="18">
        <f t="shared" si="0"/>
        <v>1.0848059966701757E-2</v>
      </c>
    </row>
    <row r="9" spans="1:3" x14ac:dyDescent="0.15">
      <c r="A9" t="s">
        <v>9</v>
      </c>
      <c r="B9" s="17">
        <f>IFERROR(SUMIFS('Full List'!B:B,'Full List'!A:A,HI!$A9,'Full List'!E:E,HI!$A$1),"")</f>
        <v>18205</v>
      </c>
      <c r="C9" s="18">
        <f t="shared" si="0"/>
        <v>1.6989756683913067E-2</v>
      </c>
    </row>
    <row r="10" spans="1:3" x14ac:dyDescent="0.15">
      <c r="A10" t="s">
        <v>10</v>
      </c>
      <c r="B10" s="17">
        <f>IFERROR(SUMIFS('Full List'!B:B,'Full List'!A:A,HI!$A10,'Full List'!E:E,HI!$A$1),"")</f>
        <v>70887</v>
      </c>
      <c r="C10" s="18">
        <f t="shared" si="0"/>
        <v>6.6155060810356797E-2</v>
      </c>
    </row>
    <row r="11" spans="1:3" x14ac:dyDescent="0.15">
      <c r="A11" t="s">
        <v>11</v>
      </c>
      <c r="B11" s="17">
        <f>IFERROR(SUMIFS('Full List'!B:B,'Full List'!A:A,HI!$A11,'Full List'!E:E,HI!$A$1),"")</f>
        <v>64029</v>
      </c>
      <c r="C11" s="18">
        <f t="shared" si="0"/>
        <v>5.9754854749479246E-2</v>
      </c>
    </row>
    <row r="12" spans="1:3" x14ac:dyDescent="0.15">
      <c r="A12" t="s">
        <v>12</v>
      </c>
      <c r="B12" s="17">
        <f>IFERROR(SUMIFS('Full List'!B:B,'Full List'!A:A,HI!$A12,'Full List'!E:E,HI!$A$1),"")</f>
        <v>17423</v>
      </c>
      <c r="C12" s="18">
        <f t="shared" si="0"/>
        <v>1.6259957742588156E-2</v>
      </c>
    </row>
    <row r="13" spans="1:3" x14ac:dyDescent="0.15">
      <c r="A13" t="s">
        <v>13</v>
      </c>
      <c r="B13" s="17">
        <f>IFERROR(SUMIFS('Full List'!B:B,'Full List'!A:A,HI!$A13,'Full List'!E:E,HI!$A$1),"")</f>
        <v>10410</v>
      </c>
      <c r="C13" s="18">
        <f t="shared" si="0"/>
        <v>9.7150984388648734E-3</v>
      </c>
    </row>
    <row r="14" spans="1:3" x14ac:dyDescent="0.15">
      <c r="A14" t="s">
        <v>14</v>
      </c>
      <c r="B14" s="17">
        <f>IFERROR(SUMIFS('Full List'!B:B,'Full List'!A:A,HI!$A14,'Full List'!E:E,HI!$A$1),"")</f>
        <v>73220</v>
      </c>
      <c r="C14" s="18">
        <f t="shared" si="0"/>
        <v>6.8332325426867055E-2</v>
      </c>
    </row>
    <row r="15" spans="1:3" x14ac:dyDescent="0.15">
      <c r="A15" t="s">
        <v>15</v>
      </c>
      <c r="B15" s="17">
        <f>IFERROR(SUMIFS('Full List'!B:B,'Full List'!A:A,HI!$A15,'Full List'!E:E,HI!$A$1),"")</f>
        <v>81337</v>
      </c>
      <c r="C15" s="18">
        <f t="shared" si="0"/>
        <v>7.5907489118343149E-2</v>
      </c>
    </row>
    <row r="16" spans="1:3" x14ac:dyDescent="0.15">
      <c r="A16" t="s">
        <v>16</v>
      </c>
      <c r="B16" s="17">
        <f>IFERROR(SUMIFS('Full List'!B:B,'Full List'!A:A,HI!$A16,'Full List'!E:E,HI!$A$1),"")</f>
        <v>23141</v>
      </c>
      <c r="C16" s="18">
        <f t="shared" si="0"/>
        <v>2.1596262533503559E-2</v>
      </c>
    </row>
    <row r="17" spans="1:3" x14ac:dyDescent="0.15">
      <c r="A17" t="s">
        <v>17</v>
      </c>
      <c r="B17" s="17">
        <f>IFERROR(SUMIFS('Full List'!B:B,'Full List'!A:A,HI!$A17,'Full List'!E:E,HI!$A$1),"")</f>
        <v>14256</v>
      </c>
      <c r="C17" s="18">
        <f t="shared" si="0"/>
        <v>1.3304365354895065E-2</v>
      </c>
    </row>
    <row r="18" spans="1:3" x14ac:dyDescent="0.15">
      <c r="A18" t="s">
        <v>18</v>
      </c>
      <c r="B18" s="17">
        <f>IFERROR(SUMIFS('Full List'!B:B,'Full List'!A:A,HI!$A18,'Full List'!E:E,HI!$A$1),"")</f>
        <v>51105</v>
      </c>
      <c r="C18" s="18">
        <f t="shared" si="0"/>
        <v>4.7693574036329428E-2</v>
      </c>
    </row>
    <row r="19" spans="1:3" x14ac:dyDescent="0.15">
      <c r="A19" t="s">
        <v>19</v>
      </c>
      <c r="B19" s="17">
        <f>IFERROR(SUMIFS('Full List'!B:B,'Full List'!A:A,HI!$A19,'Full List'!E:E,HI!$A$1),"")</f>
        <v>100462</v>
      </c>
      <c r="C19" s="18">
        <f t="shared" si="0"/>
        <v>9.3755832792050228E-2</v>
      </c>
    </row>
    <row r="20" spans="1:3" x14ac:dyDescent="0.15">
      <c r="A20" t="s">
        <v>20</v>
      </c>
      <c r="B20" s="17">
        <f>IFERROR(SUMIFS('Full List'!B:B,'Full List'!A:A,HI!$A20,'Full List'!E:E,HI!$A$1),"")</f>
        <v>16220</v>
      </c>
      <c r="C20" s="18">
        <f t="shared" si="0"/>
        <v>1.5137261928759678E-2</v>
      </c>
    </row>
    <row r="21" spans="1:3" x14ac:dyDescent="0.15">
      <c r="A21" t="s">
        <v>21</v>
      </c>
      <c r="B21" s="17">
        <f>IFERROR(SUMIFS('Full List'!B:B,'Full List'!A:A,HI!$A21,'Full List'!E:E,HI!$A$1),"")</f>
        <v>33034</v>
      </c>
      <c r="C21" s="18">
        <f t="shared" si="0"/>
        <v>3.0828872413973318E-2</v>
      </c>
    </row>
    <row r="22" spans="1:3" x14ac:dyDescent="0.15">
      <c r="A22" t="s">
        <v>22</v>
      </c>
      <c r="B22" s="17">
        <f>IFERROR(SUMIFS('Full List'!B:B,'Full List'!A:A,HI!$A22,'Full List'!E:E,HI!$A$1),"")</f>
        <v>4728</v>
      </c>
      <c r="C22" s="18">
        <f t="shared" si="0"/>
        <v>4.4123905301588009E-3</v>
      </c>
    </row>
    <row r="23" spans="1:3" x14ac:dyDescent="0.15">
      <c r="A23" t="s">
        <v>23</v>
      </c>
      <c r="B23" s="17">
        <f>IFERROR(SUMIFS('Full List'!B:B,'Full List'!A:A,HI!$A23,'Full List'!E:E,HI!$A$1),"")</f>
        <v>17027</v>
      </c>
      <c r="C23" s="18">
        <f t="shared" si="0"/>
        <v>1.5890392038285513E-2</v>
      </c>
    </row>
    <row r="24" spans="1:3" x14ac:dyDescent="0.15">
      <c r="A24" t="s">
        <v>24</v>
      </c>
      <c r="B24" s="17">
        <f>IFERROR(SUMIFS('Full List'!B:B,'Full List'!A:A,HI!$A24,'Full List'!E:E,HI!$A$1),"")</f>
        <v>3834</v>
      </c>
      <c r="C24" s="18">
        <f t="shared" si="0"/>
        <v>3.5780679552937489E-3</v>
      </c>
    </row>
    <row r="25" spans="1:3" x14ac:dyDescent="0.15">
      <c r="A25" t="s">
        <v>25</v>
      </c>
      <c r="B25" s="17">
        <f>IFERROR(SUMIFS('Full List'!B:B,'Full List'!A:A,HI!$A25,'Full List'!E:E,HI!$A$1),"")</f>
        <v>32358</v>
      </c>
      <c r="C25" s="18">
        <f t="shared" si="0"/>
        <v>3.0197997625820323E-2</v>
      </c>
    </row>
    <row r="26" spans="1:3" x14ac:dyDescent="0.15">
      <c r="A26" t="s">
        <v>26</v>
      </c>
      <c r="B26" s="17">
        <f>IFERROR(SUMIFS('Full List'!B:B,'Full List'!A:A,HI!$A26,'Full List'!E:E,HI!$A$1),"")</f>
        <v>27028</v>
      </c>
      <c r="C26" s="18">
        <f t="shared" si="0"/>
        <v>2.5223792565383266E-2</v>
      </c>
    </row>
    <row r="27" spans="1:3" x14ac:dyDescent="0.15">
      <c r="A27" t="s">
        <v>27</v>
      </c>
      <c r="B27" s="17">
        <f>IFERROR(SUMIFS('Full List'!B:B,'Full List'!A:A,HI!$A27,'Full List'!E:E,HI!$A$1),"")</f>
        <v>24826</v>
      </c>
      <c r="C27" s="18">
        <f t="shared" si="0"/>
        <v>2.3168783270245855E-2</v>
      </c>
    </row>
    <row r="28" spans="1:3" x14ac:dyDescent="0.15">
      <c r="A28" t="s">
        <v>28</v>
      </c>
      <c r="B28" s="17">
        <f>IFERROR(SUMIFS('Full List'!B:B,'Full List'!A:A,HI!$A28,'Full List'!E:E,HI!$A$1),"")</f>
        <v>132201</v>
      </c>
      <c r="C28" s="18">
        <f t="shared" si="0"/>
        <v>0.12337615069321567</v>
      </c>
    </row>
    <row r="29" spans="1:3" x14ac:dyDescent="0.15">
      <c r="A29" t="s">
        <v>29</v>
      </c>
      <c r="B29" s="17">
        <f>IFERROR(SUMIFS('Full List'!B:B,'Full List'!A:A,HI!$A29,'Full List'!E:E,HI!$A$1),"")</f>
        <v>281468</v>
      </c>
      <c r="C29" s="18">
        <f t="shared" si="0"/>
        <v>0.26267909004711032</v>
      </c>
    </row>
    <row r="30" spans="1:3" x14ac:dyDescent="0.15">
      <c r="A30" t="s">
        <v>30</v>
      </c>
      <c r="B30" s="17">
        <f>IFERROR(SUMIFS('Full List'!B:B,'Full List'!A:A,HI!$A30,'Full List'!E:E,HI!$A$1),"")</f>
        <v>23393</v>
      </c>
      <c r="C30" s="18">
        <f t="shared" si="0"/>
        <v>2.1831440708968874E-2</v>
      </c>
    </row>
    <row r="31" spans="1:3" x14ac:dyDescent="0.15">
      <c r="A31" t="s">
        <v>31</v>
      </c>
      <c r="B31" s="17">
        <f>IFERROR(SUMIFS('Full List'!B:B,'Full List'!A:A,HI!$A31,'Full List'!E:E,HI!$A$1),"")</f>
        <v>24343</v>
      </c>
      <c r="C31" s="18">
        <f t="shared" si="0"/>
        <v>2.2718025100603997E-2</v>
      </c>
    </row>
    <row r="32" spans="1:3" x14ac:dyDescent="0.15">
      <c r="A32" t="s">
        <v>32</v>
      </c>
      <c r="B32" s="17">
        <f>IFERROR(SUMIFS('Full List'!B:B,'Full List'!A:A,HI!$A32,'Full List'!E:E,HI!$A$1),"")</f>
        <v>28853</v>
      </c>
      <c r="C32" s="18">
        <f t="shared" si="0"/>
        <v>2.6926967844050739E-2</v>
      </c>
    </row>
    <row r="33" spans="1:3" x14ac:dyDescent="0.15">
      <c r="A33" t="s">
        <v>33</v>
      </c>
      <c r="B33" s="17">
        <f>IFERROR(SUMIFS('Full List'!B:B,'Full List'!A:A,HI!$A33,'Full List'!E:E,HI!$A$1),"")</f>
        <v>339779</v>
      </c>
      <c r="C33" s="18">
        <f t="shared" si="0"/>
        <v>0.31709764000567414</v>
      </c>
    </row>
    <row r="34" spans="1:3" x14ac:dyDescent="0.15">
      <c r="A34" t="s">
        <v>34</v>
      </c>
      <c r="B34" s="17">
        <f>IFERROR(SUMIFS('Full List'!B:B,'Full List'!A:A,HI!$A34,'Full List'!E:E,HI!$A$1),"")</f>
        <v>86374</v>
      </c>
      <c r="C34" s="18">
        <f t="shared" si="0"/>
        <v>8.060825288746537E-2</v>
      </c>
    </row>
    <row r="35" spans="1:3" x14ac:dyDescent="0.15">
      <c r="A35" t="s">
        <v>35</v>
      </c>
      <c r="B35" s="17">
        <f>IFERROR(SUMIFS('Full List'!B:B,'Full List'!A:A,HI!$A35,'Full List'!E:E,HI!$A$1),"")</f>
        <v>77473</v>
      </c>
      <c r="C35" s="18">
        <f t="shared" si="0"/>
        <v>7.2301423761208294E-2</v>
      </c>
    </row>
    <row r="36" spans="1:3" x14ac:dyDescent="0.15">
      <c r="A36" t="s">
        <v>36</v>
      </c>
      <c r="B36" s="17">
        <f>IFERROR(SUMIFS('Full List'!B:B,'Full List'!A:A,HI!$A36,'Full List'!E:E,HI!$A$1),"")</f>
        <v>20188</v>
      </c>
      <c r="C36" s="18">
        <f t="shared" si="0"/>
        <v>1.884038494561038E-2</v>
      </c>
    </row>
    <row r="37" spans="1:3" x14ac:dyDescent="0.15">
      <c r="A37" t="s">
        <v>37</v>
      </c>
      <c r="B37" s="17">
        <f>IFERROR(SUMIFS('Full List'!B:B,'Full List'!A:A,HI!$A37,'Full List'!E:E,HI!$A$1),"")</f>
        <v>19870</v>
      </c>
      <c r="C37" s="18">
        <f t="shared" si="0"/>
        <v>1.8543612486094624E-2</v>
      </c>
    </row>
    <row r="38" spans="1:3" x14ac:dyDescent="0.15">
      <c r="A38" t="s">
        <v>38</v>
      </c>
      <c r="B38" s="17">
        <f>IFERROR(SUMIFS('Full List'!B:B,'Full List'!A:A,HI!$A38,'Full List'!E:E,HI!$A$1),"")</f>
        <v>39171</v>
      </c>
      <c r="C38" s="18">
        <f t="shared" si="0"/>
        <v>3.6556207583936212E-2</v>
      </c>
    </row>
    <row r="39" spans="1:3" x14ac:dyDescent="0.15">
      <c r="A39" t="s">
        <v>39</v>
      </c>
      <c r="B39" s="17">
        <f>IFERROR(SUMIFS('Full List'!B:B,'Full List'!A:A,HI!$A39,'Full List'!E:E,HI!$A$1),"")</f>
        <v>114062</v>
      </c>
      <c r="C39" s="18">
        <f t="shared" si="0"/>
        <v>0.10644798829335304</v>
      </c>
    </row>
    <row r="40" spans="1:3" x14ac:dyDescent="0.15">
      <c r="A40" t="s">
        <v>40</v>
      </c>
      <c r="B40" s="17">
        <f>IFERROR(SUMIFS('Full List'!B:B,'Full List'!A:A,HI!$A40,'Full List'!E:E,HI!$A$1),"")</f>
        <v>5456</v>
      </c>
      <c r="C40" s="18">
        <f t="shared" si="0"/>
        <v>5.0917941481697163E-3</v>
      </c>
    </row>
    <row r="41" spans="1:3" x14ac:dyDescent="0.15">
      <c r="A41" t="s">
        <v>41</v>
      </c>
      <c r="B41" s="17">
        <f>IFERROR(SUMIFS('Full List'!B:B,'Full List'!A:A,HI!$A41,'Full List'!E:E,HI!$A$1),"")</f>
        <v>32191</v>
      </c>
      <c r="C41" s="18">
        <f t="shared" si="0"/>
        <v>3.004214542223815E-2</v>
      </c>
    </row>
    <row r="42" spans="1:3" x14ac:dyDescent="0.15">
      <c r="A42" t="s">
        <v>42</v>
      </c>
      <c r="B42" s="17">
        <f>IFERROR(SUMIFS('Full List'!B:B,'Full List'!A:A,HI!$A42,'Full List'!E:E,HI!$A$1),"")</f>
        <v>42502</v>
      </c>
      <c r="C42" s="18">
        <f t="shared" si="0"/>
        <v>3.9664852435027362E-2</v>
      </c>
    </row>
    <row r="43" spans="1:3" x14ac:dyDescent="0.15">
      <c r="A43" t="s">
        <v>43</v>
      </c>
      <c r="B43" s="17">
        <f>IFERROR(SUMIFS('Full List'!B:B,'Full List'!A:A,HI!$A43,'Full List'!E:E,HI!$A$1),"")</f>
        <v>123840</v>
      </c>
      <c r="C43" s="18">
        <f t="shared" si="0"/>
        <v>0.11557327480009855</v>
      </c>
    </row>
    <row r="44" spans="1:3" x14ac:dyDescent="0.15">
      <c r="A44" t="s">
        <v>44</v>
      </c>
      <c r="B44" s="17">
        <f>IFERROR(SUMIFS('Full List'!B:B,'Full List'!A:A,HI!$A44,'Full List'!E:E,HI!$A$1),"")</f>
        <v>103138</v>
      </c>
      <c r="C44" s="18">
        <f t="shared" si="0"/>
        <v>9.6253201036277172E-2</v>
      </c>
    </row>
    <row r="45" spans="1:3" x14ac:dyDescent="0.15">
      <c r="A45" t="s">
        <v>45</v>
      </c>
      <c r="B45" s="17">
        <f>IFERROR(SUMIFS('Full List'!B:B,'Full List'!A:A,HI!$A45,'Full List'!E:E,HI!$A$1),"")</f>
        <v>234447</v>
      </c>
      <c r="C45" s="18">
        <f t="shared" si="0"/>
        <v>0.21879689564808386</v>
      </c>
    </row>
    <row r="46" spans="1:3" x14ac:dyDescent="0.15">
      <c r="A46" t="s">
        <v>46</v>
      </c>
      <c r="B46" s="17">
        <f>IFERROR(SUMIFS('Full List'!B:B,'Full List'!A:A,HI!$A46,'Full List'!E:E,HI!$A$1),"")</f>
        <v>336918</v>
      </c>
      <c r="C46" s="18">
        <f t="shared" si="0"/>
        <v>0.31442762111676037</v>
      </c>
    </row>
    <row r="47" spans="1:3" x14ac:dyDescent="0.15">
      <c r="A47" t="s">
        <v>47</v>
      </c>
      <c r="B47" s="17">
        <f>IFERROR(SUMIFS('Full List'!B:B,'Full List'!A:A,HI!$A47,'Full List'!E:E,HI!$A$1),"")</f>
        <v>502832</v>
      </c>
      <c r="C47" s="18">
        <f t="shared" si="0"/>
        <v>0.46926631875228647</v>
      </c>
    </row>
    <row r="48" spans="1:3" x14ac:dyDescent="0.15">
      <c r="A48" t="s">
        <v>48</v>
      </c>
      <c r="B48" s="17">
        <f>IFERROR(SUMIFS('Full List'!B:B,'Full List'!A:A,HI!$A48,'Full List'!E:E,HI!$A$1),"")</f>
        <v>94960</v>
      </c>
      <c r="C48" s="18">
        <f t="shared" si="0"/>
        <v>8.8621109294390821E-2</v>
      </c>
    </row>
    <row r="49" spans="1:3" x14ac:dyDescent="0.15">
      <c r="A49" t="s">
        <v>49</v>
      </c>
      <c r="B49" s="17">
        <f>IFERROR(SUMIFS('Full List'!B:B,'Full List'!A:A,HI!$A49,'Full List'!E:E,HI!$A$1),"")</f>
        <v>117433</v>
      </c>
      <c r="C49" s="18">
        <f t="shared" si="0"/>
        <v>0.10959396301356568</v>
      </c>
    </row>
    <row r="50" spans="1:3" x14ac:dyDescent="0.15">
      <c r="A50" t="s">
        <v>50</v>
      </c>
      <c r="B50" s="17">
        <f>IFERROR(SUMIFS('Full List'!B:B,'Full List'!A:A,HI!$A50,'Full List'!E:E,HI!$A$1),"")</f>
        <v>226897</v>
      </c>
      <c r="C50" s="18">
        <f t="shared" si="0"/>
        <v>0.21175088285140473</v>
      </c>
    </row>
    <row r="51" spans="1:3" x14ac:dyDescent="0.15">
      <c r="A51" t="s">
        <v>51</v>
      </c>
      <c r="B51" s="17">
        <f>IFERROR(SUMIFS('Full List'!B:B,'Full List'!A:A,HI!$A51,'Full List'!E:E,HI!$A$1),"")</f>
        <v>323267</v>
      </c>
      <c r="C51" s="18">
        <f t="shared" si="0"/>
        <v>0.30168787003232767</v>
      </c>
    </row>
    <row r="52" spans="1:3" x14ac:dyDescent="0.15">
      <c r="A52" t="s">
        <v>52</v>
      </c>
      <c r="B52" s="17">
        <f>IFERROR(SUMIFS('Full List'!B:B,'Full List'!A:A,HI!$A52,'Full List'!E:E,HI!$A$1),"")</f>
        <v>113976</v>
      </c>
      <c r="C52" s="18">
        <f t="shared" si="0"/>
        <v>0.10636772907474186</v>
      </c>
    </row>
    <row r="53" spans="1:3" x14ac:dyDescent="0.15">
      <c r="A53" t="s">
        <v>53</v>
      </c>
      <c r="B53" s="17">
        <f>IFERROR(SUMIFS('Full List'!B:B,'Full List'!A:A,HI!$A53,'Full List'!E:E,HI!$A$1),"")</f>
        <v>91264</v>
      </c>
      <c r="C53" s="18">
        <f t="shared" si="0"/>
        <v>8.5171829387566164E-2</v>
      </c>
    </row>
    <row r="54" spans="1:3" x14ac:dyDescent="0.15">
      <c r="A54" t="s">
        <v>54</v>
      </c>
      <c r="B54" s="17">
        <f>IFERROR(SUMIFS('Full List'!B:B,'Full List'!A:A,HI!$A54,'Full List'!E:E,HI!$A$1),"")</f>
        <v>403701</v>
      </c>
      <c r="C54" s="18">
        <f t="shared" si="0"/>
        <v>0.37675263735525344</v>
      </c>
    </row>
    <row r="55" spans="1:3" x14ac:dyDescent="0.15">
      <c r="A55" t="s">
        <v>55</v>
      </c>
      <c r="B55" s="17">
        <f>IFERROR(SUMIFS('Full List'!B:B,'Full List'!A:A,HI!$A55,'Full List'!E:E,HI!$A$1),"")</f>
        <v>380437</v>
      </c>
      <c r="C55" s="18">
        <f t="shared" si="0"/>
        <v>0.35504158547420134</v>
      </c>
    </row>
    <row r="56" spans="1:3" x14ac:dyDescent="0.15">
      <c r="A56" t="s">
        <v>56</v>
      </c>
      <c r="B56" s="17">
        <f>IFERROR(SUMIFS('Full List'!B:B,'Full List'!A:A,HI!$A56,'Full List'!E:E,HI!$A$1),"")</f>
        <v>178602</v>
      </c>
      <c r="C56" s="18">
        <f t="shared" si="0"/>
        <v>0.16667973212085918</v>
      </c>
    </row>
    <row r="57" spans="1:3" x14ac:dyDescent="0.15">
      <c r="A57" t="s">
        <v>57</v>
      </c>
      <c r="B57" s="17">
        <f>IFERROR(SUMIFS('Full List'!B:B,'Full List'!A:A,HI!$A57,'Full List'!E:E,HI!$A$1),"")</f>
        <v>123775</v>
      </c>
      <c r="C57" s="18">
        <f t="shared" si="0"/>
        <v>0.11551261376277615</v>
      </c>
    </row>
    <row r="58" spans="1:3" x14ac:dyDescent="0.15">
      <c r="A58" t="s">
        <v>58</v>
      </c>
      <c r="B58" s="17">
        <f>IFERROR(SUMIFS('Full List'!B:B,'Full List'!A:A,HI!$A58,'Full List'!E:E,HI!$A$1),"")</f>
        <v>239731</v>
      </c>
      <c r="C58" s="18">
        <f t="shared" si="0"/>
        <v>0.22372817135903122</v>
      </c>
    </row>
    <row r="59" spans="1:3" x14ac:dyDescent="0.15">
      <c r="A59" t="s">
        <v>59</v>
      </c>
      <c r="B59" s="17">
        <f>IFERROR(SUMIFS('Full List'!B:B,'Full List'!A:A,HI!$A59,'Full List'!E:E,HI!$A$1),"")</f>
        <v>406655</v>
      </c>
      <c r="C59" s="18">
        <f t="shared" si="0"/>
        <v>0.37950944818987464</v>
      </c>
    </row>
    <row r="60" spans="1:3" x14ac:dyDescent="0.15">
      <c r="A60" t="s">
        <v>60</v>
      </c>
      <c r="B60" s="17">
        <f>IFERROR(SUMIFS('Full List'!B:B,'Full List'!A:A,HI!$A60,'Full List'!E:E,HI!$A$1),"")</f>
        <v>168327</v>
      </c>
      <c r="C60" s="18">
        <f t="shared" si="0"/>
        <v>0.15709062199027929</v>
      </c>
    </row>
    <row r="61" spans="1:3" x14ac:dyDescent="0.15">
      <c r="A61" t="s">
        <v>61</v>
      </c>
      <c r="B61" s="17">
        <f>IFERROR(SUMIFS('Full List'!B:B,'Full List'!A:A,HI!$A61,'Full List'!E:E,HI!$A$1),"")</f>
        <v>194217</v>
      </c>
      <c r="C61" s="18">
        <f t="shared" si="0"/>
        <v>0.18125237977915648</v>
      </c>
    </row>
    <row r="62" spans="1:3" x14ac:dyDescent="0.15">
      <c r="A62" t="s">
        <v>62</v>
      </c>
      <c r="B62" s="17">
        <f>IFERROR(SUMIFS('Full List'!B:B,'Full List'!A:A,HI!$A62,'Full List'!E:E,HI!$A$1),"")</f>
        <v>60358</v>
      </c>
      <c r="C62" s="18">
        <f t="shared" si="0"/>
        <v>5.6328906010855523E-2</v>
      </c>
    </row>
    <row r="63" spans="1:3" x14ac:dyDescent="0.15">
      <c r="A63" t="s">
        <v>63</v>
      </c>
      <c r="B63" s="17">
        <f>IFERROR(SUMIFS('Full List'!B:B,'Full List'!A:A,HI!$A63,'Full List'!E:E,HI!$A$1),"")</f>
        <v>104574</v>
      </c>
      <c r="C63" s="18">
        <f t="shared" si="0"/>
        <v>9.7593343337738253E-2</v>
      </c>
    </row>
    <row r="64" spans="1:3" x14ac:dyDescent="0.15">
      <c r="A64" t="s">
        <v>64</v>
      </c>
      <c r="B64" s="17">
        <f>IFERROR(SUMIFS('Full List'!B:B,'Full List'!A:A,HI!$A64,'Full List'!E:E,HI!$A$1),"")</f>
        <v>46826</v>
      </c>
      <c r="C64" s="18">
        <f t="shared" si="0"/>
        <v>4.3700211287059226E-2</v>
      </c>
    </row>
    <row r="65" spans="1:3" x14ac:dyDescent="0.15">
      <c r="A65" t="s">
        <v>65</v>
      </c>
      <c r="B65" s="17">
        <f>IFERROR(SUMIFS('Full List'!B:B,'Full List'!A:A,HI!$A65,'Full List'!E:E,HI!$A$1),"")</f>
        <v>147186</v>
      </c>
      <c r="C65" s="18">
        <f t="shared" si="0"/>
        <v>0.13736085291284969</v>
      </c>
    </row>
    <row r="66" spans="1:3" x14ac:dyDescent="0.15">
      <c r="A66" t="s">
        <v>66</v>
      </c>
      <c r="B66" s="17">
        <f>IFERROR(SUMIFS('Full List'!B:B,'Full List'!A:A,HI!$A66,'Full List'!E:E,HI!$A$1),"")</f>
        <v>101464</v>
      </c>
      <c r="C66" s="18">
        <f t="shared" si="0"/>
        <v>9.4690946013543276E-2</v>
      </c>
    </row>
    <row r="67" spans="1:3" x14ac:dyDescent="0.15">
      <c r="A67" t="s">
        <v>67</v>
      </c>
      <c r="B67" s="17">
        <f>IFERROR(SUMIFS('Full List'!B:B,'Full List'!A:A,HI!$A67,'Full List'!E:E,HI!$A$1),"")</f>
        <v>153782</v>
      </c>
      <c r="C67" s="18">
        <f t="shared" ref="C67:C85" si="1">IFERROR(B67/$B$2,"")</f>
        <v>0.14351654833098154</v>
      </c>
    </row>
    <row r="68" spans="1:3" x14ac:dyDescent="0.15">
      <c r="A68" t="s">
        <v>68</v>
      </c>
      <c r="B68" s="17">
        <f>IFERROR(SUMIFS('Full List'!B:B,'Full List'!A:A,HI!$A68,'Full List'!E:E,HI!$A$1),"")</f>
        <v>428851</v>
      </c>
      <c r="C68" s="18">
        <f t="shared" si="1"/>
        <v>0.40022379256538326</v>
      </c>
    </row>
    <row r="69" spans="1:3" x14ac:dyDescent="0.15">
      <c r="A69" t="s">
        <v>69</v>
      </c>
      <c r="B69" s="17">
        <f>IFERROR(SUMIFS('Full List'!B:B,'Full List'!A:A,HI!$A69,'Full List'!E:E,HI!$A$1),"")</f>
        <v>621928</v>
      </c>
      <c r="C69" s="18">
        <f t="shared" si="1"/>
        <v>0.5804122710745776</v>
      </c>
    </row>
    <row r="70" spans="1:3" x14ac:dyDescent="0.15">
      <c r="A70" t="s">
        <v>70</v>
      </c>
      <c r="B70" s="17">
        <f>IFERROR(SUMIFS('Full List'!B:B,'Full List'!A:A,HI!$A70,'Full List'!E:E,HI!$A$1),"")</f>
        <v>161080</v>
      </c>
      <c r="C70" s="18">
        <f t="shared" si="1"/>
        <v>0.15032738295219536</v>
      </c>
    </row>
    <row r="71" spans="1:3" x14ac:dyDescent="0.15">
      <c r="A71" t="s">
        <v>71</v>
      </c>
      <c r="B71" s="17">
        <f>IFERROR(SUMIFS('Full List'!B:B,'Full List'!A:A,HI!$A71,'Full List'!E:E,HI!$A$1),"")</f>
        <v>80747</v>
      </c>
      <c r="C71" s="18">
        <f t="shared" si="1"/>
        <v>7.5356873548801342E-2</v>
      </c>
    </row>
    <row r="72" spans="1:3" x14ac:dyDescent="0.15">
      <c r="A72" t="s">
        <v>72</v>
      </c>
      <c r="B72" s="17">
        <f>IFERROR(SUMIFS('Full List'!B:B,'Full List'!A:A,HI!$A72,'Full List'!E:E,HI!$A$1),"")</f>
        <v>163124</v>
      </c>
      <c r="C72" s="18">
        <f t="shared" si="1"/>
        <v>0.15223493926430293</v>
      </c>
    </row>
    <row r="73" spans="1:3" x14ac:dyDescent="0.15">
      <c r="A73" t="s">
        <v>73</v>
      </c>
      <c r="B73" s="17">
        <f>IFERROR(SUMIFS('Full List'!B:B,'Full List'!A:A,HI!$A73,'Full List'!E:E,HI!$A$1),"")</f>
        <v>756837</v>
      </c>
      <c r="C73" s="18">
        <f t="shared" si="1"/>
        <v>0.70631565390731743</v>
      </c>
    </row>
    <row r="74" spans="1:3" x14ac:dyDescent="0.15">
      <c r="A74" t="s">
        <v>74</v>
      </c>
      <c r="B74" s="17">
        <f>IFERROR(SUMIFS('Full List'!B:B,'Full List'!A:A,HI!$A74,'Full List'!E:E,HI!$A$1),"")</f>
        <v>352149</v>
      </c>
      <c r="C74" s="18">
        <f t="shared" si="1"/>
        <v>0.32864190203149146</v>
      </c>
    </row>
    <row r="75" spans="1:3" x14ac:dyDescent="0.15">
      <c r="A75" t="s">
        <v>75</v>
      </c>
      <c r="B75" s="17">
        <f>IFERROR(SUMIFS('Full List'!B:B,'Full List'!A:A,HI!$A75,'Full List'!E:E,HI!$A$1),"")</f>
        <v>310848</v>
      </c>
      <c r="C75" s="18">
        <f t="shared" si="1"/>
        <v>0.29009787891683653</v>
      </c>
    </row>
    <row r="76" spans="1:3" x14ac:dyDescent="0.15">
      <c r="A76" t="s">
        <v>76</v>
      </c>
      <c r="B76" s="17">
        <f>IFERROR(SUMIFS('Full List'!B:B,'Full List'!A:A,HI!$A76,'Full List'!E:E,HI!$A$1),"")</f>
        <v>138378</v>
      </c>
      <c r="C76" s="18">
        <f t="shared" si="1"/>
        <v>0.12914081573230005</v>
      </c>
    </row>
    <row r="77" spans="1:3" x14ac:dyDescent="0.15">
      <c r="A77" t="s">
        <v>77</v>
      </c>
      <c r="B77" s="17">
        <f>IFERROR(SUMIFS('Full List'!B:B,'Full List'!A:A,HI!$A77,'Full List'!E:E,HI!$A$1),"")</f>
        <v>118816</v>
      </c>
      <c r="C77" s="18">
        <f t="shared" si="1"/>
        <v>0.1108846432384408</v>
      </c>
    </row>
    <row r="78" spans="1:3" x14ac:dyDescent="0.15">
      <c r="A78" t="s">
        <v>78</v>
      </c>
      <c r="B78" s="17">
        <f>IFERROR(SUMIFS('Full List'!B:B,'Full List'!A:A,HI!$A78,'Full List'!E:E,HI!$A$1),"")</f>
        <v>151177</v>
      </c>
      <c r="C78" s="18">
        <f t="shared" si="1"/>
        <v>0.14108544060444525</v>
      </c>
    </row>
    <row r="79" spans="1:3" x14ac:dyDescent="0.15">
      <c r="A79" t="s">
        <v>79</v>
      </c>
      <c r="B79" s="17">
        <f>IFERROR(SUMIFS('Full List'!B:B,'Full List'!A:A,HI!$A79,'Full List'!E:E,HI!$A$1),"")</f>
        <v>347640</v>
      </c>
      <c r="C79" s="18">
        <f t="shared" si="1"/>
        <v>0.32443389253477278</v>
      </c>
    </row>
    <row r="80" spans="1:3" x14ac:dyDescent="0.15">
      <c r="A80" t="s">
        <v>80</v>
      </c>
      <c r="B80" s="17">
        <f>IFERROR(SUMIFS('Full List'!B:B,'Full List'!A:A,HI!$A80,'Full List'!E:E,HI!$A$1),"")</f>
        <v>132617</v>
      </c>
      <c r="C80" s="18">
        <f t="shared" si="1"/>
        <v>0.12376438133207905</v>
      </c>
    </row>
    <row r="81" spans="1:6" x14ac:dyDescent="0.15">
      <c r="A81" t="s">
        <v>81</v>
      </c>
      <c r="B81" s="17">
        <f>IFERROR(SUMIFS('Full List'!B:B,'Full List'!A:A,HI!$A81,'Full List'!E:E,HI!$A$1),"")</f>
        <v>215419</v>
      </c>
      <c r="C81" s="18">
        <f t="shared" si="1"/>
        <v>0.20103907690699638</v>
      </c>
    </row>
    <row r="82" spans="1:6" x14ac:dyDescent="0.15">
      <c r="A82" t="s">
        <v>82</v>
      </c>
      <c r="B82" s="17">
        <f>IFERROR(SUMIFS('Full List'!B:B,'Full List'!A:A,HI!$A82,'Full List'!E:E,HI!$A$1),"")</f>
        <v>153126</v>
      </c>
      <c r="C82" s="18">
        <f t="shared" si="1"/>
        <v>0.14290433847738929</v>
      </c>
    </row>
    <row r="83" spans="1:6" x14ac:dyDescent="0.15">
      <c r="B83" s="17"/>
      <c r="C83" s="18"/>
      <c r="D83" t="s">
        <v>812</v>
      </c>
      <c r="E83" t="s">
        <v>860</v>
      </c>
      <c r="F83" t="s">
        <v>1349</v>
      </c>
    </row>
    <row r="84" spans="1:6" x14ac:dyDescent="0.15">
      <c r="A84" t="s">
        <v>969</v>
      </c>
      <c r="B84" s="17">
        <v>252185</v>
      </c>
      <c r="C84" s="18">
        <f t="shared" si="1"/>
        <v>0.23535082611000366</v>
      </c>
      <c r="D84">
        <v>4</v>
      </c>
      <c r="E84" t="str">
        <f>VLOOKUP(D84,Validation!$A$2:$C$41,3,FALSE)</f>
        <v>MCB</v>
      </c>
      <c r="F84" t="s">
        <v>1351</v>
      </c>
    </row>
    <row r="85" spans="1:6" x14ac:dyDescent="0.15">
      <c r="A85" t="s">
        <v>970</v>
      </c>
      <c r="B85" s="17">
        <v>384530</v>
      </c>
      <c r="C85" s="18">
        <f t="shared" si="1"/>
        <v>0.35886136433205668</v>
      </c>
      <c r="D85">
        <v>5</v>
      </c>
      <c r="E85" t="str">
        <f>VLOOKUP(D85,Validation!$A$2:$C$41,3,FALSE)</f>
        <v>CFB</v>
      </c>
      <c r="F85" t="s">
        <v>1351</v>
      </c>
    </row>
    <row r="86" spans="1:6" x14ac:dyDescent="0.15">
      <c r="B86" s="17"/>
      <c r="C86" s="18"/>
    </row>
    <row r="87" spans="1:6" x14ac:dyDescent="0.15">
      <c r="B87" s="17"/>
      <c r="C87" s="18"/>
    </row>
    <row r="88" spans="1:6" x14ac:dyDescent="0.15">
      <c r="B88" s="17"/>
      <c r="C88" s="18"/>
    </row>
    <row r="89" spans="1:6" x14ac:dyDescent="0.15">
      <c r="B89" s="17"/>
      <c r="C89" s="18"/>
    </row>
    <row r="90" spans="1:6" x14ac:dyDescent="0.15">
      <c r="B90" s="17"/>
      <c r="C90" s="18"/>
    </row>
    <row r="91" spans="1:6" x14ac:dyDescent="0.15">
      <c r="B91" s="17"/>
      <c r="C91" s="18"/>
    </row>
    <row r="92" spans="1:6" x14ac:dyDescent="0.15">
      <c r="B92" s="17"/>
      <c r="C92" s="18"/>
    </row>
    <row r="93" spans="1:6" x14ac:dyDescent="0.15">
      <c r="B93" s="17"/>
      <c r="C93" s="18"/>
    </row>
    <row r="94" spans="1:6" x14ac:dyDescent="0.15">
      <c r="B94" s="17"/>
      <c r="C94" s="18"/>
    </row>
    <row r="95" spans="1:6" x14ac:dyDescent="0.15">
      <c r="B95" s="17"/>
      <c r="C95" s="18"/>
    </row>
    <row r="96" spans="1:6" x14ac:dyDescent="0.15">
      <c r="B96" s="17"/>
      <c r="C96" s="18"/>
    </row>
  </sheetData>
  <pageMargins left="0.7" right="0.7" top="0.75" bottom="0.75" header="0.3" footer="0.3"/>
  <pageSetup orientation="portrait" verticalDpi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/>
  <dimension ref="A1:F96"/>
  <sheetViews>
    <sheetView topLeftCell="A64" zoomScale="85" zoomScaleNormal="85" zoomScalePageLayoutView="85" workbookViewId="0">
      <selection activeCell="F93" sqref="F93"/>
    </sheetView>
  </sheetViews>
  <sheetFormatPr baseColWidth="10" defaultColWidth="8.83203125" defaultRowHeight="13" x14ac:dyDescent="0.15"/>
  <cols>
    <col min="1" max="1" width="33.33203125" bestFit="1" customWidth="1"/>
    <col min="2" max="2" width="10.5" bestFit="1" customWidth="1"/>
  </cols>
  <sheetData>
    <row r="1" spans="1:3" x14ac:dyDescent="0.15">
      <c r="A1" t="s">
        <v>633</v>
      </c>
      <c r="B1" t="s">
        <v>807</v>
      </c>
      <c r="C1" t="s">
        <v>811</v>
      </c>
    </row>
    <row r="2" spans="1:3" x14ac:dyDescent="0.15">
      <c r="A2" t="s">
        <v>0</v>
      </c>
      <c r="B2" s="17">
        <f>IFERROR(SUMIFS('Full List'!B:B,'Full List'!A:A,IA!$A2,'Full List'!E:E,IA!$A$1),"")</f>
        <v>846101</v>
      </c>
      <c r="C2" s="18">
        <f>IFERROR(B2/$B$2,"")</f>
        <v>1</v>
      </c>
    </row>
    <row r="3" spans="1:3" x14ac:dyDescent="0.15">
      <c r="A3" t="s">
        <v>3</v>
      </c>
      <c r="B3" s="17">
        <f>IFERROR(SUMIFS('Full List'!B:B,'Full List'!A:A,IA!$A3,'Full List'!E:E,IA!$A$1),"")</f>
        <v>10663</v>
      </c>
      <c r="C3" s="18">
        <f t="shared" ref="C3:C66" si="0">IFERROR(B3/$B$2,"")</f>
        <v>1.2602514357033025E-2</v>
      </c>
    </row>
    <row r="4" spans="1:3" x14ac:dyDescent="0.15">
      <c r="A4" t="s">
        <v>4</v>
      </c>
      <c r="B4" s="17">
        <f>IFERROR(SUMIFS('Full List'!B:B,'Full List'!A:A,IA!$A4,'Full List'!E:E,IA!$A$1),"")</f>
        <v>15803</v>
      </c>
      <c r="C4" s="18">
        <f t="shared" si="0"/>
        <v>1.8677439218249357E-2</v>
      </c>
    </row>
    <row r="5" spans="1:3" x14ac:dyDescent="0.15">
      <c r="A5" t="s">
        <v>5</v>
      </c>
      <c r="B5" s="17">
        <f>IFERROR(SUMIFS('Full List'!B:B,'Full List'!A:A,IA!$A5,'Full List'!E:E,IA!$A$1),"")</f>
        <v>22525</v>
      </c>
      <c r="C5" s="18">
        <f t="shared" si="0"/>
        <v>2.6622117217684413E-2</v>
      </c>
    </row>
    <row r="6" spans="1:3" x14ac:dyDescent="0.15">
      <c r="A6" t="s">
        <v>6</v>
      </c>
      <c r="B6" s="17">
        <f>IFERROR(SUMIFS('Full List'!B:B,'Full List'!A:A,IA!$A6,'Full List'!E:E,IA!$A$1),"")</f>
        <v>142153</v>
      </c>
      <c r="C6" s="18">
        <f t="shared" si="0"/>
        <v>0.16800949295651466</v>
      </c>
    </row>
    <row r="7" spans="1:3" x14ac:dyDescent="0.15">
      <c r="A7" t="s">
        <v>7</v>
      </c>
      <c r="B7" s="17">
        <f>IFERROR(SUMIFS('Full List'!B:B,'Full List'!A:A,IA!$A7,'Full List'!E:E,IA!$A$1),"")</f>
        <v>252091</v>
      </c>
      <c r="C7" s="18">
        <f t="shared" si="0"/>
        <v>0.29794433525075614</v>
      </c>
    </row>
    <row r="8" spans="1:3" x14ac:dyDescent="0.15">
      <c r="A8" t="s">
        <v>8</v>
      </c>
      <c r="B8" s="17">
        <f>IFERROR(SUMIFS('Full List'!B:B,'Full List'!A:A,IA!$A8,'Full List'!E:E,IA!$A$1),"")</f>
        <v>4074</v>
      </c>
      <c r="C8" s="18">
        <f t="shared" si="0"/>
        <v>4.8150279931119333E-3</v>
      </c>
    </row>
    <row r="9" spans="1:3" x14ac:dyDescent="0.15">
      <c r="A9" t="s">
        <v>9</v>
      </c>
      <c r="B9" s="17">
        <f>IFERROR(SUMIFS('Full List'!B:B,'Full List'!A:A,IA!$A9,'Full List'!E:E,IA!$A$1),"")</f>
        <v>13017</v>
      </c>
      <c r="C9" s="18">
        <f t="shared" si="0"/>
        <v>1.5384688116430545E-2</v>
      </c>
    </row>
    <row r="10" spans="1:3" x14ac:dyDescent="0.15">
      <c r="A10" t="s">
        <v>10</v>
      </c>
      <c r="B10" s="17">
        <f>IFERROR(SUMIFS('Full List'!B:B,'Full List'!A:A,IA!$A10,'Full List'!E:E,IA!$A$1),"")</f>
        <v>20785</v>
      </c>
      <c r="C10" s="18">
        <f t="shared" si="0"/>
        <v>2.4565625144043087E-2</v>
      </c>
    </row>
    <row r="11" spans="1:3" x14ac:dyDescent="0.15">
      <c r="A11" t="s">
        <v>11</v>
      </c>
      <c r="B11" s="17">
        <f>IFERROR(SUMIFS('Full List'!B:B,'Full List'!A:A,IA!$A11,'Full List'!E:E,IA!$A$1),"")</f>
        <v>38598</v>
      </c>
      <c r="C11" s="18">
        <f t="shared" si="0"/>
        <v>4.5618667274947081E-2</v>
      </c>
    </row>
    <row r="12" spans="1:3" x14ac:dyDescent="0.15">
      <c r="A12" t="s">
        <v>12</v>
      </c>
      <c r="B12" s="17">
        <f>IFERROR(SUMIFS('Full List'!B:B,'Full List'!A:A,IA!$A12,'Full List'!E:E,IA!$A$1),"")</f>
        <v>12940</v>
      </c>
      <c r="C12" s="18">
        <f t="shared" si="0"/>
        <v>1.5293682432711933E-2</v>
      </c>
    </row>
    <row r="13" spans="1:3" x14ac:dyDescent="0.15">
      <c r="A13" t="s">
        <v>13</v>
      </c>
      <c r="B13" s="17">
        <f>IFERROR(SUMIFS('Full List'!B:B,'Full List'!A:A,IA!$A13,'Full List'!E:E,IA!$A$1),"")</f>
        <v>5203</v>
      </c>
      <c r="C13" s="18">
        <f t="shared" si="0"/>
        <v>6.1493840569861041E-3</v>
      </c>
    </row>
    <row r="14" spans="1:3" x14ac:dyDescent="0.15">
      <c r="A14" t="s">
        <v>14</v>
      </c>
      <c r="B14" s="17">
        <f>IFERROR(SUMIFS('Full List'!B:B,'Full List'!A:A,IA!$A14,'Full List'!E:E,IA!$A$1),"")</f>
        <v>61084</v>
      </c>
      <c r="C14" s="18">
        <f t="shared" si="0"/>
        <v>7.2194690704774023E-2</v>
      </c>
    </row>
    <row r="15" spans="1:3" x14ac:dyDescent="0.15">
      <c r="A15" t="s">
        <v>15</v>
      </c>
      <c r="B15" s="17">
        <f>IFERROR(SUMIFS('Full List'!B:B,'Full List'!A:A,IA!$A15,'Full List'!E:E,IA!$A$1),"")</f>
        <v>90248</v>
      </c>
      <c r="C15" s="18">
        <f t="shared" si="0"/>
        <v>0.10666338888619681</v>
      </c>
    </row>
    <row r="16" spans="1:3" x14ac:dyDescent="0.15">
      <c r="A16" t="s">
        <v>16</v>
      </c>
      <c r="B16" s="17">
        <f>IFERROR(SUMIFS('Full List'!B:B,'Full List'!A:A,IA!$A16,'Full List'!E:E,IA!$A$1),"")</f>
        <v>25828</v>
      </c>
      <c r="C16" s="18">
        <f t="shared" si="0"/>
        <v>3.0525906481613897E-2</v>
      </c>
    </row>
    <row r="17" spans="1:3" x14ac:dyDescent="0.15">
      <c r="A17" t="s">
        <v>17</v>
      </c>
      <c r="B17" s="17">
        <f>IFERROR(SUMIFS('Full List'!B:B,'Full List'!A:A,IA!$A17,'Full List'!E:E,IA!$A$1),"")</f>
        <v>30051</v>
      </c>
      <c r="C17" s="18">
        <f t="shared" si="0"/>
        <v>3.5517036382181323E-2</v>
      </c>
    </row>
    <row r="18" spans="1:3" x14ac:dyDescent="0.15">
      <c r="A18" t="s">
        <v>18</v>
      </c>
      <c r="B18" s="17">
        <f>IFERROR(SUMIFS('Full List'!B:B,'Full List'!A:A,IA!$A18,'Full List'!E:E,IA!$A$1),"")</f>
        <v>18834</v>
      </c>
      <c r="C18" s="18">
        <f t="shared" si="0"/>
        <v>2.2259753859172841E-2</v>
      </c>
    </row>
    <row r="19" spans="1:3" x14ac:dyDescent="0.15">
      <c r="A19" t="s">
        <v>19</v>
      </c>
      <c r="B19" s="17">
        <f>IFERROR(SUMIFS('Full List'!B:B,'Full List'!A:A,IA!$A19,'Full List'!E:E,IA!$A$1),"")</f>
        <v>93593</v>
      </c>
      <c r="C19" s="18">
        <f t="shared" si="0"/>
        <v>0.1106168176139728</v>
      </c>
    </row>
    <row r="20" spans="1:3" x14ac:dyDescent="0.15">
      <c r="A20" t="s">
        <v>20</v>
      </c>
      <c r="B20" s="17">
        <f>IFERROR(SUMIFS('Full List'!B:B,'Full List'!A:A,IA!$A20,'Full List'!E:E,IA!$A$1),"")</f>
        <v>11431</v>
      </c>
      <c r="C20" s="18">
        <f t="shared" si="0"/>
        <v>1.3510207410226439E-2</v>
      </c>
    </row>
    <row r="21" spans="1:3" x14ac:dyDescent="0.15">
      <c r="A21" t="s">
        <v>21</v>
      </c>
      <c r="B21" s="17">
        <f>IFERROR(SUMIFS('Full List'!B:B,'Full List'!A:A,IA!$A21,'Full List'!E:E,IA!$A$1),"")</f>
        <v>8098</v>
      </c>
      <c r="C21" s="18">
        <f t="shared" si="0"/>
        <v>9.5709613864065866E-3</v>
      </c>
    </row>
    <row r="22" spans="1:3" x14ac:dyDescent="0.15">
      <c r="A22" t="s">
        <v>22</v>
      </c>
      <c r="B22" s="17">
        <f>IFERROR(SUMIFS('Full List'!B:B,'Full List'!A:A,IA!$A22,'Full List'!E:E,IA!$A$1),"")</f>
        <v>7497</v>
      </c>
      <c r="C22" s="18">
        <f t="shared" si="0"/>
        <v>8.8606442966028872E-3</v>
      </c>
    </row>
    <row r="23" spans="1:3" x14ac:dyDescent="0.15">
      <c r="A23" t="s">
        <v>23</v>
      </c>
      <c r="B23" s="17">
        <f>IFERROR(SUMIFS('Full List'!B:B,'Full List'!A:A,IA!$A23,'Full List'!E:E,IA!$A$1),"")</f>
        <v>24176</v>
      </c>
      <c r="C23" s="18">
        <f t="shared" si="0"/>
        <v>2.8573420903650983E-2</v>
      </c>
    </row>
    <row r="24" spans="1:3" x14ac:dyDescent="0.15">
      <c r="A24" t="s">
        <v>24</v>
      </c>
      <c r="B24" s="17">
        <f>IFERROR(SUMIFS('Full List'!B:B,'Full List'!A:A,IA!$A24,'Full List'!E:E,IA!$A$1),"")</f>
        <v>9474</v>
      </c>
      <c r="C24" s="18">
        <f t="shared" si="0"/>
        <v>1.1197244773378119E-2</v>
      </c>
    </row>
    <row r="25" spans="1:3" x14ac:dyDescent="0.15">
      <c r="A25" t="s">
        <v>25</v>
      </c>
      <c r="B25" s="17">
        <f>IFERROR(SUMIFS('Full List'!B:B,'Full List'!A:A,IA!$A25,'Full List'!E:E,IA!$A$1),"")</f>
        <v>28834</v>
      </c>
      <c r="C25" s="18">
        <f t="shared" si="0"/>
        <v>3.407867382262874E-2</v>
      </c>
    </row>
    <row r="26" spans="1:3" x14ac:dyDescent="0.15">
      <c r="A26" t="s">
        <v>26</v>
      </c>
      <c r="B26" s="17">
        <f>IFERROR(SUMIFS('Full List'!B:B,'Full List'!A:A,IA!$A26,'Full List'!E:E,IA!$A$1),"")</f>
        <v>6128</v>
      </c>
      <c r="C26" s="18">
        <f t="shared" si="0"/>
        <v>7.2426341536057752E-3</v>
      </c>
    </row>
    <row r="27" spans="1:3" x14ac:dyDescent="0.15">
      <c r="A27" t="s">
        <v>27</v>
      </c>
      <c r="B27" s="17">
        <f>IFERROR(SUMIFS('Full List'!B:B,'Full List'!A:A,IA!$A27,'Full List'!E:E,IA!$A$1),"")</f>
        <v>99740</v>
      </c>
      <c r="C27" s="18">
        <f t="shared" si="0"/>
        <v>0.11788190771550915</v>
      </c>
    </row>
    <row r="28" spans="1:3" x14ac:dyDescent="0.15">
      <c r="A28" t="s">
        <v>28</v>
      </c>
      <c r="B28" s="17">
        <f>IFERROR(SUMIFS('Full List'!B:B,'Full List'!A:A,IA!$A28,'Full List'!E:E,IA!$A$1),"")</f>
        <v>29898</v>
      </c>
      <c r="C28" s="18">
        <f t="shared" si="0"/>
        <v>3.5336206906740449E-2</v>
      </c>
    </row>
    <row r="29" spans="1:3" x14ac:dyDescent="0.15">
      <c r="A29" t="s">
        <v>29</v>
      </c>
      <c r="B29" s="17">
        <f>IFERROR(SUMIFS('Full List'!B:B,'Full List'!A:A,IA!$A29,'Full List'!E:E,IA!$A$1),"")</f>
        <v>217372</v>
      </c>
      <c r="C29" s="18">
        <f t="shared" si="0"/>
        <v>0.25691022702963356</v>
      </c>
    </row>
    <row r="30" spans="1:3" x14ac:dyDescent="0.15">
      <c r="A30" t="s">
        <v>30</v>
      </c>
      <c r="B30" s="17">
        <f>IFERROR(SUMIFS('Full List'!B:B,'Full List'!A:A,IA!$A30,'Full List'!E:E,IA!$A$1),"")</f>
        <v>31283</v>
      </c>
      <c r="C30" s="18">
        <f t="shared" si="0"/>
        <v>3.6973127321679088E-2</v>
      </c>
    </row>
    <row r="31" spans="1:3" x14ac:dyDescent="0.15">
      <c r="A31" t="s">
        <v>31</v>
      </c>
      <c r="B31" s="17">
        <f>IFERROR(SUMIFS('Full List'!B:B,'Full List'!A:A,IA!$A31,'Full List'!E:E,IA!$A$1),"")</f>
        <v>1090</v>
      </c>
      <c r="C31" s="18">
        <f t="shared" si="0"/>
        <v>1.2882622760166931E-3</v>
      </c>
    </row>
    <row r="32" spans="1:3" x14ac:dyDescent="0.15">
      <c r="A32" t="s">
        <v>32</v>
      </c>
      <c r="B32" s="17">
        <f>IFERROR(SUMIFS('Full List'!B:B,'Full List'!A:A,IA!$A32,'Full List'!E:E,IA!$A$1),"")</f>
        <v>25252</v>
      </c>
      <c r="C32" s="18">
        <f t="shared" si="0"/>
        <v>2.9845136691718836E-2</v>
      </c>
    </row>
    <row r="33" spans="1:3" x14ac:dyDescent="0.15">
      <c r="A33" t="s">
        <v>33</v>
      </c>
      <c r="B33" s="17">
        <f>IFERROR(SUMIFS('Full List'!B:B,'Full List'!A:A,IA!$A33,'Full List'!E:E,IA!$A$1),"")</f>
        <v>228312</v>
      </c>
      <c r="C33" s="18">
        <f t="shared" si="0"/>
        <v>0.26984012546965436</v>
      </c>
    </row>
    <row r="34" spans="1:3" x14ac:dyDescent="0.15">
      <c r="A34" t="s">
        <v>34</v>
      </c>
      <c r="B34" s="17">
        <f>IFERROR(SUMIFS('Full List'!B:B,'Full List'!A:A,IA!$A34,'Full List'!E:E,IA!$A$1),"")</f>
        <v>60748</v>
      </c>
      <c r="C34" s="18">
        <f t="shared" si="0"/>
        <v>7.1797574994001898E-2</v>
      </c>
    </row>
    <row r="35" spans="1:3" x14ac:dyDescent="0.15">
      <c r="A35" t="s">
        <v>35</v>
      </c>
      <c r="B35" s="17">
        <f>IFERROR(SUMIFS('Full List'!B:B,'Full List'!A:A,IA!$A35,'Full List'!E:E,IA!$A$1),"")</f>
        <v>24898</v>
      </c>
      <c r="C35" s="18">
        <f t="shared" si="0"/>
        <v>2.9426746925012497E-2</v>
      </c>
    </row>
    <row r="36" spans="1:3" x14ac:dyDescent="0.15">
      <c r="A36" t="s">
        <v>36</v>
      </c>
      <c r="B36" s="17">
        <f>IFERROR(SUMIFS('Full List'!B:B,'Full List'!A:A,IA!$A36,'Full List'!E:E,IA!$A$1),"")</f>
        <v>22494</v>
      </c>
      <c r="C36" s="18">
        <f t="shared" si="0"/>
        <v>2.65854785657977E-2</v>
      </c>
    </row>
    <row r="37" spans="1:3" x14ac:dyDescent="0.15">
      <c r="A37" t="s">
        <v>37</v>
      </c>
      <c r="B37" s="17">
        <f>IFERROR(SUMIFS('Full List'!B:B,'Full List'!A:A,IA!$A37,'Full List'!E:E,IA!$A$1),"")</f>
        <v>24936</v>
      </c>
      <c r="C37" s="18">
        <f t="shared" si="0"/>
        <v>2.9471658820873631E-2</v>
      </c>
    </row>
    <row r="38" spans="1:3" x14ac:dyDescent="0.15">
      <c r="A38" t="s">
        <v>38</v>
      </c>
      <c r="B38" s="17">
        <f>IFERROR(SUMIFS('Full List'!B:B,'Full List'!A:A,IA!$A38,'Full List'!E:E,IA!$A$1),"")</f>
        <v>14774</v>
      </c>
      <c r="C38" s="18">
        <f t="shared" si="0"/>
        <v>1.7461272354009745E-2</v>
      </c>
    </row>
    <row r="39" spans="1:3" x14ac:dyDescent="0.15">
      <c r="A39" t="s">
        <v>39</v>
      </c>
      <c r="B39" s="17">
        <f>IFERROR(SUMIFS('Full List'!B:B,'Full List'!A:A,IA!$A39,'Full List'!E:E,IA!$A$1),"")</f>
        <v>41917</v>
      </c>
      <c r="C39" s="18">
        <f t="shared" si="0"/>
        <v>4.9541366810818097E-2</v>
      </c>
    </row>
    <row r="40" spans="1:3" x14ac:dyDescent="0.15">
      <c r="A40" t="s">
        <v>40</v>
      </c>
      <c r="B40" s="17">
        <f>IFERROR(SUMIFS('Full List'!B:B,'Full List'!A:A,IA!$A40,'Full List'!E:E,IA!$A$1),"")</f>
        <v>3102</v>
      </c>
      <c r="C40" s="18">
        <f t="shared" si="0"/>
        <v>3.6662289726640202E-3</v>
      </c>
    </row>
    <row r="41" spans="1:3" x14ac:dyDescent="0.15">
      <c r="A41" t="s">
        <v>41</v>
      </c>
      <c r="B41" s="17">
        <f>IFERROR(SUMIFS('Full List'!B:B,'Full List'!A:A,IA!$A41,'Full List'!E:E,IA!$A$1),"")</f>
        <v>11988</v>
      </c>
      <c r="C41" s="18">
        <f t="shared" si="0"/>
        <v>1.4168521252190933E-2</v>
      </c>
    </row>
    <row r="42" spans="1:3" x14ac:dyDescent="0.15">
      <c r="A42" t="s">
        <v>42</v>
      </c>
      <c r="B42" s="17">
        <f>IFERROR(SUMIFS('Full List'!B:B,'Full List'!A:A,IA!$A42,'Full List'!E:E,IA!$A$1),"")</f>
        <v>31680</v>
      </c>
      <c r="C42" s="18">
        <f t="shared" si="0"/>
        <v>3.7442338444228292E-2</v>
      </c>
    </row>
    <row r="43" spans="1:3" x14ac:dyDescent="0.15">
      <c r="A43" t="s">
        <v>43</v>
      </c>
      <c r="B43" s="17">
        <f>IFERROR(SUMIFS('Full List'!B:B,'Full List'!A:A,IA!$A43,'Full List'!E:E,IA!$A$1),"")</f>
        <v>95662</v>
      </c>
      <c r="C43" s="18">
        <f t="shared" si="0"/>
        <v>0.11306215215441183</v>
      </c>
    </row>
    <row r="44" spans="1:3" x14ac:dyDescent="0.15">
      <c r="A44" t="s">
        <v>44</v>
      </c>
      <c r="B44" s="17">
        <f>IFERROR(SUMIFS('Full List'!B:B,'Full List'!A:A,IA!$A44,'Full List'!E:E,IA!$A$1),"")</f>
        <v>190177</v>
      </c>
      <c r="C44" s="18">
        <f t="shared" si="0"/>
        <v>0.22476867418901525</v>
      </c>
    </row>
    <row r="45" spans="1:3" x14ac:dyDescent="0.15">
      <c r="A45" t="s">
        <v>45</v>
      </c>
      <c r="B45" s="17">
        <f>IFERROR(SUMIFS('Full List'!B:B,'Full List'!A:A,IA!$A45,'Full List'!E:E,IA!$A$1),"")</f>
        <v>180231</v>
      </c>
      <c r="C45" s="18">
        <f t="shared" si="0"/>
        <v>0.21301357639336202</v>
      </c>
    </row>
    <row r="46" spans="1:3" x14ac:dyDescent="0.15">
      <c r="A46" t="s">
        <v>46</v>
      </c>
      <c r="B46" s="17">
        <f>IFERROR(SUMIFS('Full List'!B:B,'Full List'!A:A,IA!$A46,'Full List'!E:E,IA!$A$1),"")</f>
        <v>389355</v>
      </c>
      <c r="C46" s="18">
        <f t="shared" si="0"/>
        <v>0.46017555823713718</v>
      </c>
    </row>
    <row r="47" spans="1:3" x14ac:dyDescent="0.15">
      <c r="A47" t="s">
        <v>47</v>
      </c>
      <c r="B47" s="17">
        <f>IFERROR(SUMIFS('Full List'!B:B,'Full List'!A:A,IA!$A47,'Full List'!E:E,IA!$A$1),"")</f>
        <v>505873</v>
      </c>
      <c r="C47" s="18">
        <f t="shared" si="0"/>
        <v>0.59788724986733266</v>
      </c>
    </row>
    <row r="48" spans="1:3" x14ac:dyDescent="0.15">
      <c r="A48" t="s">
        <v>48</v>
      </c>
      <c r="B48" s="17">
        <f>IFERROR(SUMIFS('Full List'!B:B,'Full List'!A:A,IA!$A48,'Full List'!E:E,IA!$A$1),"")</f>
        <v>87778</v>
      </c>
      <c r="C48" s="18">
        <f t="shared" si="0"/>
        <v>0.10374411565522319</v>
      </c>
    </row>
    <row r="49" spans="1:3" x14ac:dyDescent="0.15">
      <c r="A49" t="s">
        <v>49</v>
      </c>
      <c r="B49" s="17">
        <f>IFERROR(SUMIFS('Full List'!B:B,'Full List'!A:A,IA!$A49,'Full List'!E:E,IA!$A$1),"")</f>
        <v>68060</v>
      </c>
      <c r="C49" s="18">
        <f t="shared" si="0"/>
        <v>8.0439569271280847E-2</v>
      </c>
    </row>
    <row r="50" spans="1:3" x14ac:dyDescent="0.15">
      <c r="A50" t="s">
        <v>50</v>
      </c>
      <c r="B50" s="17">
        <f>IFERROR(SUMIFS('Full List'!B:B,'Full List'!A:A,IA!$A50,'Full List'!E:E,IA!$A$1),"")</f>
        <v>142960</v>
      </c>
      <c r="C50" s="18">
        <f t="shared" si="0"/>
        <v>0.16896327979756554</v>
      </c>
    </row>
    <row r="51" spans="1:3" x14ac:dyDescent="0.15">
      <c r="A51" t="s">
        <v>51</v>
      </c>
      <c r="B51" s="17">
        <f>IFERROR(SUMIFS('Full List'!B:B,'Full List'!A:A,IA!$A51,'Full List'!E:E,IA!$A$1),"")</f>
        <v>275783</v>
      </c>
      <c r="C51" s="18">
        <f t="shared" si="0"/>
        <v>0.32594572042817582</v>
      </c>
    </row>
    <row r="52" spans="1:3" x14ac:dyDescent="0.15">
      <c r="A52" t="s">
        <v>52</v>
      </c>
      <c r="B52" s="17">
        <f>IFERROR(SUMIFS('Full List'!B:B,'Full List'!A:A,IA!$A52,'Full List'!E:E,IA!$A$1),"")</f>
        <v>120208</v>
      </c>
      <c r="C52" s="18">
        <f t="shared" si="0"/>
        <v>0.14207287309671068</v>
      </c>
    </row>
    <row r="53" spans="1:3" x14ac:dyDescent="0.15">
      <c r="A53" t="s">
        <v>53</v>
      </c>
      <c r="B53" s="17">
        <f>IFERROR(SUMIFS('Full List'!B:B,'Full List'!A:A,IA!$A53,'Full List'!E:E,IA!$A$1),"")</f>
        <v>79823</v>
      </c>
      <c r="C53" s="18">
        <f t="shared" si="0"/>
        <v>9.4342164824294028E-2</v>
      </c>
    </row>
    <row r="54" spans="1:3" x14ac:dyDescent="0.15">
      <c r="A54" t="s">
        <v>54</v>
      </c>
      <c r="B54" s="17">
        <f>IFERROR(SUMIFS('Full List'!B:B,'Full List'!A:A,IA!$A54,'Full List'!E:E,IA!$A$1),"")</f>
        <v>333334</v>
      </c>
      <c r="C54" s="18">
        <f t="shared" si="0"/>
        <v>0.3939647867098609</v>
      </c>
    </row>
    <row r="55" spans="1:3" x14ac:dyDescent="0.15">
      <c r="A55" t="s">
        <v>55</v>
      </c>
      <c r="B55" s="17">
        <f>IFERROR(SUMIFS('Full List'!B:B,'Full List'!A:A,IA!$A55,'Full List'!E:E,IA!$A$1),"")</f>
        <v>367904</v>
      </c>
      <c r="C55" s="18">
        <f t="shared" si="0"/>
        <v>0.43482279302352794</v>
      </c>
    </row>
    <row r="56" spans="1:3" x14ac:dyDescent="0.15">
      <c r="A56" t="s">
        <v>56</v>
      </c>
      <c r="B56" s="17">
        <f>IFERROR(SUMIFS('Full List'!B:B,'Full List'!A:A,IA!$A56,'Full List'!E:E,IA!$A$1),"")</f>
        <v>219147</v>
      </c>
      <c r="C56" s="18">
        <f t="shared" si="0"/>
        <v>0.25900808532314701</v>
      </c>
    </row>
    <row r="57" spans="1:3" x14ac:dyDescent="0.15">
      <c r="A57" t="s">
        <v>57</v>
      </c>
      <c r="B57" s="17">
        <f>IFERROR(SUMIFS('Full List'!B:B,'Full List'!A:A,IA!$A57,'Full List'!E:E,IA!$A$1),"")</f>
        <v>183559</v>
      </c>
      <c r="C57" s="18">
        <f t="shared" si="0"/>
        <v>0.21694691295720014</v>
      </c>
    </row>
    <row r="58" spans="1:3" x14ac:dyDescent="0.15">
      <c r="A58" t="s">
        <v>58</v>
      </c>
      <c r="B58" s="17">
        <f>IFERROR(SUMIFS('Full List'!B:B,'Full List'!A:A,IA!$A58,'Full List'!E:E,IA!$A$1),"")</f>
        <v>114525</v>
      </c>
      <c r="C58" s="18">
        <f t="shared" si="0"/>
        <v>0.13535618088147869</v>
      </c>
    </row>
    <row r="59" spans="1:3" x14ac:dyDescent="0.15">
      <c r="A59" t="s">
        <v>59</v>
      </c>
      <c r="B59" s="17">
        <f>IFERROR(SUMIFS('Full List'!B:B,'Full List'!A:A,IA!$A59,'Full List'!E:E,IA!$A$1),"")</f>
        <v>375185</v>
      </c>
      <c r="C59" s="18">
        <f t="shared" si="0"/>
        <v>0.44342814864892016</v>
      </c>
    </row>
    <row r="60" spans="1:3" x14ac:dyDescent="0.15">
      <c r="A60" t="s">
        <v>60</v>
      </c>
      <c r="B60" s="17">
        <f>IFERROR(SUMIFS('Full List'!B:B,'Full List'!A:A,IA!$A60,'Full List'!E:E,IA!$A$1),"")</f>
        <v>82123</v>
      </c>
      <c r="C60" s="18">
        <f t="shared" si="0"/>
        <v>9.7060516415888878E-2</v>
      </c>
    </row>
    <row r="61" spans="1:3" x14ac:dyDescent="0.15">
      <c r="A61" t="s">
        <v>61</v>
      </c>
      <c r="B61" s="17">
        <f>IFERROR(SUMIFS('Full List'!B:B,'Full List'!A:A,IA!$A61,'Full List'!E:E,IA!$A$1),"")</f>
        <v>127914</v>
      </c>
      <c r="C61" s="18">
        <f t="shared" si="0"/>
        <v>0.1511805328205498</v>
      </c>
    </row>
    <row r="62" spans="1:3" x14ac:dyDescent="0.15">
      <c r="A62" t="s">
        <v>62</v>
      </c>
      <c r="B62" s="17">
        <f>IFERROR(SUMIFS('Full List'!B:B,'Full List'!A:A,IA!$A62,'Full List'!E:E,IA!$A$1),"")</f>
        <v>47485</v>
      </c>
      <c r="C62" s="18">
        <f t="shared" si="0"/>
        <v>5.612214144647034E-2</v>
      </c>
    </row>
    <row r="63" spans="1:3" x14ac:dyDescent="0.15">
      <c r="A63" t="s">
        <v>63</v>
      </c>
      <c r="B63" s="17">
        <f>IFERROR(SUMIFS('Full List'!B:B,'Full List'!A:A,IA!$A63,'Full List'!E:E,IA!$A$1),"")</f>
        <v>215668</v>
      </c>
      <c r="C63" s="18">
        <f t="shared" si="0"/>
        <v>0.25489628306786072</v>
      </c>
    </row>
    <row r="64" spans="1:3" x14ac:dyDescent="0.15">
      <c r="A64" t="s">
        <v>64</v>
      </c>
      <c r="B64" s="17">
        <f>IFERROR(SUMIFS('Full List'!B:B,'Full List'!A:A,IA!$A64,'Full List'!E:E,IA!$A$1),"")</f>
        <v>84078</v>
      </c>
      <c r="C64" s="18">
        <f t="shared" si="0"/>
        <v>9.9371115268744509E-2</v>
      </c>
    </row>
    <row r="65" spans="1:3" x14ac:dyDescent="0.15">
      <c r="A65" t="s">
        <v>65</v>
      </c>
      <c r="B65" s="17">
        <f>IFERROR(SUMIFS('Full List'!B:B,'Full List'!A:A,IA!$A65,'Full List'!E:E,IA!$A$1),"")</f>
        <v>151325</v>
      </c>
      <c r="C65" s="18">
        <f t="shared" si="0"/>
        <v>0.1788498063469964</v>
      </c>
    </row>
    <row r="66" spans="1:3" x14ac:dyDescent="0.15">
      <c r="A66" t="s">
        <v>66</v>
      </c>
      <c r="B66" s="17">
        <f>IFERROR(SUMIFS('Full List'!B:B,'Full List'!A:A,IA!$A66,'Full List'!E:E,IA!$A$1),"")</f>
        <v>83855</v>
      </c>
      <c r="C66" s="18">
        <f t="shared" si="0"/>
        <v>9.9107553353559447E-2</v>
      </c>
    </row>
    <row r="67" spans="1:3" x14ac:dyDescent="0.15">
      <c r="A67" t="s">
        <v>67</v>
      </c>
      <c r="B67" s="17">
        <f>IFERROR(SUMIFS('Full List'!B:B,'Full List'!A:A,IA!$A67,'Full List'!E:E,IA!$A$1),"")</f>
        <v>295071</v>
      </c>
      <c r="C67" s="18">
        <f t="shared" ref="C67:C82" si="1">IFERROR(B67/$B$2,"")</f>
        <v>0.34874205325368957</v>
      </c>
    </row>
    <row r="68" spans="1:3" x14ac:dyDescent="0.15">
      <c r="A68" t="s">
        <v>68</v>
      </c>
      <c r="B68" s="17">
        <f>IFERROR(SUMIFS('Full List'!B:B,'Full List'!A:A,IA!$A68,'Full List'!E:E,IA!$A$1),"")</f>
        <v>241839</v>
      </c>
      <c r="C68" s="18">
        <f t="shared" si="1"/>
        <v>0.28582757850422114</v>
      </c>
    </row>
    <row r="69" spans="1:3" x14ac:dyDescent="0.15">
      <c r="A69" t="s">
        <v>69</v>
      </c>
      <c r="B69" s="17">
        <f>IFERROR(SUMIFS('Full List'!B:B,'Full List'!A:A,IA!$A69,'Full List'!E:E,IA!$A$1),"")</f>
        <v>514457</v>
      </c>
      <c r="C69" s="18">
        <f t="shared" si="1"/>
        <v>0.6080326107639632</v>
      </c>
    </row>
    <row r="70" spans="1:3" x14ac:dyDescent="0.15">
      <c r="A70" t="s">
        <v>70</v>
      </c>
      <c r="B70" s="17">
        <f>IFERROR(SUMIFS('Full List'!B:B,'Full List'!A:A,IA!$A70,'Full List'!E:E,IA!$A$1),"")</f>
        <v>153129</v>
      </c>
      <c r="C70" s="18">
        <f t="shared" si="1"/>
        <v>0.18098193950840386</v>
      </c>
    </row>
    <row r="71" spans="1:3" x14ac:dyDescent="0.15">
      <c r="A71" t="s">
        <v>71</v>
      </c>
      <c r="B71" s="17">
        <f>IFERROR(SUMIFS('Full List'!B:B,'Full List'!A:A,IA!$A71,'Full List'!E:E,IA!$A$1),"")</f>
        <v>71922</v>
      </c>
      <c r="C71" s="18">
        <f t="shared" si="1"/>
        <v>8.5004036161167515E-2</v>
      </c>
    </row>
    <row r="72" spans="1:3" x14ac:dyDescent="0.15">
      <c r="A72" t="s">
        <v>72</v>
      </c>
      <c r="B72" s="17">
        <f>IFERROR(SUMIFS('Full List'!B:B,'Full List'!A:A,IA!$A72,'Full List'!E:E,IA!$A$1),"")</f>
        <v>161232</v>
      </c>
      <c r="C72" s="18">
        <f t="shared" si="1"/>
        <v>0.19055881035479216</v>
      </c>
    </row>
    <row r="73" spans="1:3" x14ac:dyDescent="0.15">
      <c r="A73" t="s">
        <v>73</v>
      </c>
      <c r="B73" s="17">
        <f>IFERROR(SUMIFS('Full List'!B:B,'Full List'!A:A,IA!$A73,'Full List'!E:E,IA!$A$1),"")</f>
        <v>538945</v>
      </c>
      <c r="C73" s="18">
        <f t="shared" si="1"/>
        <v>0.63697478197047397</v>
      </c>
    </row>
    <row r="74" spans="1:3" x14ac:dyDescent="0.15">
      <c r="A74" t="s">
        <v>74</v>
      </c>
      <c r="B74" s="17">
        <f>IFERROR(SUMIFS('Full List'!B:B,'Full List'!A:A,IA!$A74,'Full List'!E:E,IA!$A$1),"")</f>
        <v>259526</v>
      </c>
      <c r="C74" s="18">
        <f t="shared" si="1"/>
        <v>0.30673170224358559</v>
      </c>
    </row>
    <row r="75" spans="1:3" x14ac:dyDescent="0.15">
      <c r="A75" t="s">
        <v>75</v>
      </c>
      <c r="B75" s="17">
        <f>IFERROR(SUMIFS('Full List'!B:B,'Full List'!A:A,IA!$A75,'Full List'!E:E,IA!$A$1),"")</f>
        <v>139676</v>
      </c>
      <c r="C75" s="18">
        <f t="shared" si="1"/>
        <v>0.16508194648156663</v>
      </c>
    </row>
    <row r="76" spans="1:3" x14ac:dyDescent="0.15">
      <c r="A76" t="s">
        <v>76</v>
      </c>
      <c r="B76" s="17">
        <f>IFERROR(SUMIFS('Full List'!B:B,'Full List'!A:A,IA!$A76,'Full List'!E:E,IA!$A$1),"")</f>
        <v>169873</v>
      </c>
      <c r="C76" s="18">
        <f t="shared" si="1"/>
        <v>0.20077153909521439</v>
      </c>
    </row>
    <row r="77" spans="1:3" x14ac:dyDescent="0.15">
      <c r="A77" t="s">
        <v>77</v>
      </c>
      <c r="B77" s="17">
        <f>IFERROR(SUMIFS('Full List'!B:B,'Full List'!A:A,IA!$A77,'Full List'!E:E,IA!$A$1),"")</f>
        <v>149957</v>
      </c>
      <c r="C77" s="18">
        <f t="shared" si="1"/>
        <v>0.17723297809599564</v>
      </c>
    </row>
    <row r="78" spans="1:3" x14ac:dyDescent="0.15">
      <c r="A78" t="s">
        <v>78</v>
      </c>
      <c r="B78" s="17">
        <f>IFERROR(SUMIFS('Full List'!B:B,'Full List'!A:A,IA!$A78,'Full List'!E:E,IA!$A$1),"")</f>
        <v>113277</v>
      </c>
      <c r="C78" s="18">
        <f t="shared" si="1"/>
        <v>0.1338811796700394</v>
      </c>
    </row>
    <row r="79" spans="1:3" x14ac:dyDescent="0.15">
      <c r="A79" t="s">
        <v>79</v>
      </c>
      <c r="B79" s="17">
        <f>IFERROR(SUMIFS('Full List'!B:B,'Full List'!A:A,IA!$A79,'Full List'!E:E,IA!$A$1),"")</f>
        <v>144737</v>
      </c>
      <c r="C79" s="18">
        <f t="shared" si="1"/>
        <v>0.17106350187507166</v>
      </c>
    </row>
    <row r="80" spans="1:3" x14ac:dyDescent="0.15">
      <c r="A80" t="s">
        <v>80</v>
      </c>
      <c r="B80" s="17">
        <f>IFERROR(SUMIFS('Full List'!B:B,'Full List'!A:A,IA!$A80,'Full List'!E:E,IA!$A$1),"")</f>
        <v>80984</v>
      </c>
      <c r="C80" s="18">
        <f t="shared" si="1"/>
        <v>9.571434143205125E-2</v>
      </c>
    </row>
    <row r="81" spans="1:6" x14ac:dyDescent="0.15">
      <c r="A81" t="s">
        <v>81</v>
      </c>
      <c r="B81" s="17">
        <f>IFERROR(SUMIFS('Full List'!B:B,'Full List'!A:A,IA!$A81,'Full List'!E:E,IA!$A$1),"")</f>
        <v>108429</v>
      </c>
      <c r="C81" s="18">
        <f t="shared" si="1"/>
        <v>0.12815136727175597</v>
      </c>
    </row>
    <row r="82" spans="1:6" x14ac:dyDescent="0.15">
      <c r="A82" t="s">
        <v>82</v>
      </c>
      <c r="B82" s="17">
        <f>IFERROR(SUMIFS('Full List'!B:B,'Full List'!A:A,IA!$A82,'Full List'!E:E,IA!$A$1),"")</f>
        <v>99827</v>
      </c>
      <c r="C82" s="18">
        <f t="shared" si="1"/>
        <v>0.11798473231919121</v>
      </c>
    </row>
    <row r="83" spans="1:6" x14ac:dyDescent="0.15">
      <c r="B83" s="17"/>
      <c r="C83" s="18"/>
      <c r="D83" t="s">
        <v>812</v>
      </c>
      <c r="E83" t="s">
        <v>860</v>
      </c>
      <c r="F83" t="s">
        <v>1349</v>
      </c>
    </row>
    <row r="84" spans="1:6" x14ac:dyDescent="0.15">
      <c r="A84" t="s">
        <v>1357</v>
      </c>
      <c r="B84" s="17">
        <v>442046</v>
      </c>
      <c r="C84" s="18">
        <f t="shared" ref="C84:C94" si="2">IFERROR(B84/$B$2,"")</f>
        <v>0.5224506294165826</v>
      </c>
      <c r="D84">
        <v>5</v>
      </c>
      <c r="E84" t="str">
        <f>VLOOKUP(D84,Validation!$A$2:$C$41,3,FALSE)</f>
        <v>CFB</v>
      </c>
      <c r="F84" t="s">
        <v>1350</v>
      </c>
    </row>
    <row r="85" spans="1:6" x14ac:dyDescent="0.15">
      <c r="A85" t="s">
        <v>1358</v>
      </c>
      <c r="B85" s="17">
        <v>436474</v>
      </c>
      <c r="C85" s="18">
        <f t="shared" si="2"/>
        <v>0.51586512721294497</v>
      </c>
      <c r="D85">
        <v>5</v>
      </c>
      <c r="E85" t="str">
        <f>VLOOKUP(D85,Validation!$A$2:$C$41,3,FALSE)</f>
        <v>CFB</v>
      </c>
      <c r="F85" t="s">
        <v>1350</v>
      </c>
    </row>
    <row r="86" spans="1:6" x14ac:dyDescent="0.15">
      <c r="A86" t="s">
        <v>1359</v>
      </c>
      <c r="B86" s="17">
        <v>281737</v>
      </c>
      <c r="C86" s="18">
        <f t="shared" si="2"/>
        <v>0.33298270537441749</v>
      </c>
      <c r="D86">
        <v>4</v>
      </c>
      <c r="E86" t="str">
        <f>VLOOKUP(D86,Validation!$A$2:$C$41,3,FALSE)</f>
        <v>MCB</v>
      </c>
      <c r="F86" t="s">
        <v>1350</v>
      </c>
    </row>
    <row r="87" spans="1:6" x14ac:dyDescent="0.15">
      <c r="A87" t="s">
        <v>974</v>
      </c>
      <c r="B87" s="17">
        <v>257530</v>
      </c>
      <c r="C87" s="18">
        <f t="shared" si="2"/>
        <v>0.30437264581887979</v>
      </c>
      <c r="D87">
        <v>27</v>
      </c>
      <c r="E87" t="str">
        <f>VLOOKUP(D87,Validation!$A$2:$C$41,3,FALSE)</f>
        <v xml:space="preserve">NFL </v>
      </c>
      <c r="F87" t="s">
        <v>1351</v>
      </c>
    </row>
    <row r="88" spans="1:6" x14ac:dyDescent="0.15">
      <c r="A88" t="s">
        <v>1360</v>
      </c>
      <c r="B88" s="17">
        <v>227188</v>
      </c>
      <c r="C88" s="18">
        <f t="shared" si="2"/>
        <v>0.26851167886576188</v>
      </c>
      <c r="D88">
        <v>4</v>
      </c>
      <c r="E88" t="str">
        <f>VLOOKUP(D88,Validation!$A$2:$C$41,3,FALSE)</f>
        <v>MCB</v>
      </c>
      <c r="F88" t="s">
        <v>1350</v>
      </c>
    </row>
    <row r="89" spans="1:6" x14ac:dyDescent="0.15">
      <c r="A89" t="s">
        <v>971</v>
      </c>
      <c r="B89" s="17">
        <v>206002</v>
      </c>
      <c r="C89" s="18">
        <f t="shared" si="2"/>
        <v>0.24347211503118421</v>
      </c>
      <c r="D89">
        <v>17</v>
      </c>
      <c r="E89" t="str">
        <f>VLOOKUP(D89,Validation!$A$2:$C$41,3,FALSE)</f>
        <v>MLB</v>
      </c>
      <c r="F89" t="s">
        <v>1351</v>
      </c>
    </row>
    <row r="90" spans="1:6" x14ac:dyDescent="0.15">
      <c r="A90" t="s">
        <v>972</v>
      </c>
      <c r="B90" s="17">
        <v>184738</v>
      </c>
      <c r="C90" s="18">
        <f t="shared" si="2"/>
        <v>0.2183403636208916</v>
      </c>
      <c r="D90">
        <v>27</v>
      </c>
      <c r="E90" t="str">
        <f>VLOOKUP(D90,Validation!$A$2:$C$41,3,FALSE)</f>
        <v xml:space="preserve">NFL </v>
      </c>
      <c r="F90" t="s">
        <v>1350</v>
      </c>
    </row>
    <row r="91" spans="1:6" x14ac:dyDescent="0.15">
      <c r="A91" t="s">
        <v>1374</v>
      </c>
      <c r="B91" s="17">
        <v>109959</v>
      </c>
      <c r="C91" s="18">
        <f t="shared" si="2"/>
        <v>0.12995966202616471</v>
      </c>
      <c r="D91">
        <v>5</v>
      </c>
      <c r="E91" t="str">
        <f>VLOOKUP(D91,Validation!$A$2:$C$41,3,FALSE)</f>
        <v>CFB</v>
      </c>
      <c r="F91" t="s">
        <v>1351</v>
      </c>
    </row>
    <row r="92" spans="1:6" x14ac:dyDescent="0.15">
      <c r="A92" t="s">
        <v>1375</v>
      </c>
      <c r="B92" s="17">
        <v>66347</v>
      </c>
      <c r="C92" s="18">
        <f t="shared" si="2"/>
        <v>7.8414988281540851E-2</v>
      </c>
      <c r="D92">
        <v>4</v>
      </c>
      <c r="E92" t="str">
        <f>VLOOKUP(D92,Validation!$A$2:$C$41,3,FALSE)</f>
        <v>MCB</v>
      </c>
      <c r="F92" t="s">
        <v>1351</v>
      </c>
    </row>
    <row r="93" spans="1:6" x14ac:dyDescent="0.15">
      <c r="A93" t="s">
        <v>975</v>
      </c>
      <c r="B93" s="17">
        <v>64966</v>
      </c>
      <c r="C93" s="18">
        <f t="shared" si="2"/>
        <v>7.6782795434587603E-2</v>
      </c>
      <c r="D93">
        <v>4</v>
      </c>
      <c r="E93" t="str">
        <f>VLOOKUP(D93,Validation!$A$2:$C$41,3,FALSE)</f>
        <v>MCB</v>
      </c>
    </row>
    <row r="94" spans="1:6" x14ac:dyDescent="0.15">
      <c r="A94" t="s">
        <v>973</v>
      </c>
      <c r="B94" s="17">
        <v>58725</v>
      </c>
      <c r="C94" s="18">
        <f t="shared" si="2"/>
        <v>6.9406607485394775E-2</v>
      </c>
      <c r="D94">
        <v>17</v>
      </c>
      <c r="E94" t="str">
        <f>VLOOKUP(D94,Validation!$A$2:$C$41,3,FALSE)</f>
        <v>MLB</v>
      </c>
      <c r="F94" t="s">
        <v>1351</v>
      </c>
    </row>
    <row r="95" spans="1:6" x14ac:dyDescent="0.15">
      <c r="B95" s="17"/>
      <c r="C95" s="18"/>
    </row>
    <row r="96" spans="1:6" x14ac:dyDescent="0.15">
      <c r="B96" s="17"/>
      <c r="C96" s="18"/>
    </row>
  </sheetData>
  <pageMargins left="0.7" right="0.7" top="0.75" bottom="0.75" header="0.3" footer="0.3"/>
  <pageSetup orientation="portrait" verticalDpi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/>
  <dimension ref="A1:F107"/>
  <sheetViews>
    <sheetView topLeftCell="A72" zoomScale="85" zoomScaleNormal="85" zoomScalePageLayoutView="85" workbookViewId="0">
      <selection activeCell="A84" sqref="A84"/>
    </sheetView>
  </sheetViews>
  <sheetFormatPr baseColWidth="10" defaultColWidth="8.83203125" defaultRowHeight="13" x14ac:dyDescent="0.15"/>
  <cols>
    <col min="1" max="1" width="33.33203125" bestFit="1" customWidth="1"/>
    <col min="2" max="2" width="10.5" bestFit="1" customWidth="1"/>
  </cols>
  <sheetData>
    <row r="1" spans="1:3" x14ac:dyDescent="0.15">
      <c r="A1" t="s">
        <v>220</v>
      </c>
      <c r="B1" t="s">
        <v>807</v>
      </c>
      <c r="C1" t="s">
        <v>811</v>
      </c>
    </row>
    <row r="2" spans="1:3" x14ac:dyDescent="0.15">
      <c r="A2" t="s">
        <v>0</v>
      </c>
      <c r="B2" s="17">
        <f>IFERROR(SUMIFS('Full List'!B:B,'Full List'!A:A,IL!$A2,'Full List'!E:E,IL!$A$1),"")</f>
        <v>8079742</v>
      </c>
      <c r="C2" s="18">
        <f>IFERROR(B2/$B$2,"")</f>
        <v>1</v>
      </c>
    </row>
    <row r="3" spans="1:3" x14ac:dyDescent="0.15">
      <c r="A3" t="s">
        <v>3</v>
      </c>
      <c r="B3" s="17">
        <f>IFERROR(SUMIFS('Full List'!B:B,'Full List'!A:A,IL!$A3,'Full List'!E:E,IL!$A$1),"")</f>
        <v>74804</v>
      </c>
      <c r="C3" s="18">
        <f t="shared" ref="C3:C66" si="0">IFERROR(B3/$B$2,"")</f>
        <v>9.2582164133458711E-3</v>
      </c>
    </row>
    <row r="4" spans="1:3" x14ac:dyDescent="0.15">
      <c r="A4" t="s">
        <v>4</v>
      </c>
      <c r="B4" s="17">
        <f>IFERROR(SUMIFS('Full List'!B:B,'Full List'!A:A,IL!$A4,'Full List'!E:E,IL!$A$1),"")</f>
        <v>45910</v>
      </c>
      <c r="C4" s="18">
        <f t="shared" si="0"/>
        <v>5.6821121268476145E-3</v>
      </c>
    </row>
    <row r="5" spans="1:3" x14ac:dyDescent="0.15">
      <c r="A5" t="s">
        <v>5</v>
      </c>
      <c r="B5" s="17">
        <f>IFERROR(SUMIFS('Full List'!B:B,'Full List'!A:A,IL!$A5,'Full List'!E:E,IL!$A$1),"")</f>
        <v>140697</v>
      </c>
      <c r="C5" s="18">
        <f t="shared" si="0"/>
        <v>1.7413551076259613E-2</v>
      </c>
    </row>
    <row r="6" spans="1:3" x14ac:dyDescent="0.15">
      <c r="A6" t="s">
        <v>6</v>
      </c>
      <c r="B6" s="17">
        <f>IFERROR(SUMIFS('Full List'!B:B,'Full List'!A:A,IL!$A6,'Full List'!E:E,IL!$A$1),"")</f>
        <v>651176</v>
      </c>
      <c r="C6" s="18">
        <f t="shared" si="0"/>
        <v>8.0593662520412168E-2</v>
      </c>
    </row>
    <row r="7" spans="1:3" x14ac:dyDescent="0.15">
      <c r="A7" t="s">
        <v>7</v>
      </c>
      <c r="B7" s="17">
        <f>IFERROR(SUMIFS('Full List'!B:B,'Full List'!A:A,IL!$A7,'Full List'!E:E,IL!$A$1),"")</f>
        <v>981952</v>
      </c>
      <c r="C7" s="18">
        <f t="shared" si="0"/>
        <v>0.12153259349122782</v>
      </c>
    </row>
    <row r="8" spans="1:3" x14ac:dyDescent="0.15">
      <c r="A8" t="s">
        <v>8</v>
      </c>
      <c r="B8" s="17">
        <f>IFERROR(SUMIFS('Full List'!B:B,'Full List'!A:A,IL!$A8,'Full List'!E:E,IL!$A$1),"")</f>
        <v>68046</v>
      </c>
      <c r="C8" s="18">
        <f t="shared" si="0"/>
        <v>8.4218035674901506E-3</v>
      </c>
    </row>
    <row r="9" spans="1:3" x14ac:dyDescent="0.15">
      <c r="A9" t="s">
        <v>9</v>
      </c>
      <c r="B9" s="17">
        <f>IFERROR(SUMIFS('Full List'!B:B,'Full List'!A:A,IL!$A9,'Full List'!E:E,IL!$A$1),"")</f>
        <v>210839</v>
      </c>
      <c r="C9" s="18">
        <f t="shared" si="0"/>
        <v>2.6094768867619782E-2</v>
      </c>
    </row>
    <row r="10" spans="1:3" x14ac:dyDescent="0.15">
      <c r="A10" t="s">
        <v>10</v>
      </c>
      <c r="B10" s="17">
        <f>IFERROR(SUMIFS('Full List'!B:B,'Full List'!A:A,IL!$A10,'Full List'!E:E,IL!$A$1),"")</f>
        <v>118505</v>
      </c>
      <c r="C10" s="18">
        <f t="shared" si="0"/>
        <v>1.4666928721238872E-2</v>
      </c>
    </row>
    <row r="11" spans="1:3" x14ac:dyDescent="0.15">
      <c r="A11" t="s">
        <v>11</v>
      </c>
      <c r="B11" s="17">
        <f>IFERROR(SUMIFS('Full List'!B:B,'Full List'!A:A,IL!$A11,'Full List'!E:E,IL!$A$1),"")</f>
        <v>411342</v>
      </c>
      <c r="C11" s="18">
        <f t="shared" si="0"/>
        <v>5.0910288967147714E-2</v>
      </c>
    </row>
    <row r="12" spans="1:3" x14ac:dyDescent="0.15">
      <c r="A12" t="s">
        <v>12</v>
      </c>
      <c r="B12" s="17">
        <f>IFERROR(SUMIFS('Full List'!B:B,'Full List'!A:A,IL!$A12,'Full List'!E:E,IL!$A$1),"")</f>
        <v>119834</v>
      </c>
      <c r="C12" s="18">
        <f t="shared" si="0"/>
        <v>1.4831414171393097E-2</v>
      </c>
    </row>
    <row r="13" spans="1:3" x14ac:dyDescent="0.15">
      <c r="A13" t="s">
        <v>13</v>
      </c>
      <c r="B13" s="17">
        <f>IFERROR(SUMIFS('Full List'!B:B,'Full List'!A:A,IL!$A13,'Full List'!E:E,IL!$A$1),"")</f>
        <v>55792</v>
      </c>
      <c r="C13" s="18">
        <f t="shared" si="0"/>
        <v>6.9051709819447204E-3</v>
      </c>
    </row>
    <row r="14" spans="1:3" x14ac:dyDescent="0.15">
      <c r="A14" t="s">
        <v>14</v>
      </c>
      <c r="B14" s="17">
        <f>IFERROR(SUMIFS('Full List'!B:B,'Full List'!A:A,IL!$A14,'Full List'!E:E,IL!$A$1),"")</f>
        <v>497853</v>
      </c>
      <c r="C14" s="18">
        <f t="shared" si="0"/>
        <v>6.1617437784523318E-2</v>
      </c>
    </row>
    <row r="15" spans="1:3" x14ac:dyDescent="0.15">
      <c r="A15" t="s">
        <v>15</v>
      </c>
      <c r="B15" s="17">
        <f>IFERROR(SUMIFS('Full List'!B:B,'Full List'!A:A,IL!$A15,'Full List'!E:E,IL!$A$1),"")</f>
        <v>418436</v>
      </c>
      <c r="C15" s="18">
        <f t="shared" si="0"/>
        <v>5.1788287299272671E-2</v>
      </c>
    </row>
    <row r="16" spans="1:3" x14ac:dyDescent="0.15">
      <c r="A16" t="s">
        <v>16</v>
      </c>
      <c r="B16" s="17">
        <f>IFERROR(SUMIFS('Full List'!B:B,'Full List'!A:A,IL!$A16,'Full List'!E:E,IL!$A$1),"")</f>
        <v>202884</v>
      </c>
      <c r="C16" s="18">
        <f t="shared" si="0"/>
        <v>2.5110207726929894E-2</v>
      </c>
    </row>
    <row r="17" spans="1:3" x14ac:dyDescent="0.15">
      <c r="A17" t="s">
        <v>17</v>
      </c>
      <c r="B17" s="17">
        <f>IFERROR(SUMIFS('Full List'!B:B,'Full List'!A:A,IL!$A17,'Full List'!E:E,IL!$A$1),"")</f>
        <v>147148</v>
      </c>
      <c r="C17" s="18">
        <f t="shared" si="0"/>
        <v>1.8211967659363382E-2</v>
      </c>
    </row>
    <row r="18" spans="1:3" x14ac:dyDescent="0.15">
      <c r="A18" t="s">
        <v>18</v>
      </c>
      <c r="B18" s="17">
        <f>IFERROR(SUMIFS('Full List'!B:B,'Full List'!A:A,IL!$A18,'Full List'!E:E,IL!$A$1),"")</f>
        <v>73802</v>
      </c>
      <c r="C18" s="18">
        <f t="shared" si="0"/>
        <v>9.1342025525072458E-3</v>
      </c>
    </row>
    <row r="19" spans="1:3" x14ac:dyDescent="0.15">
      <c r="A19" t="s">
        <v>19</v>
      </c>
      <c r="B19" s="17">
        <f>IFERROR(SUMIFS('Full List'!B:B,'Full List'!A:A,IL!$A19,'Full List'!E:E,IL!$A$1),"")</f>
        <v>1459945</v>
      </c>
      <c r="C19" s="18">
        <f t="shared" si="0"/>
        <v>0.18069203199805142</v>
      </c>
    </row>
    <row r="20" spans="1:3" x14ac:dyDescent="0.15">
      <c r="A20" t="s">
        <v>20</v>
      </c>
      <c r="B20" s="17">
        <f>IFERROR(SUMIFS('Full List'!B:B,'Full List'!A:A,IL!$A20,'Full List'!E:E,IL!$A$1),"")</f>
        <v>211146</v>
      </c>
      <c r="C20" s="18">
        <f t="shared" si="0"/>
        <v>2.6132765130371736E-2</v>
      </c>
    </row>
    <row r="21" spans="1:3" x14ac:dyDescent="0.15">
      <c r="A21" t="s">
        <v>21</v>
      </c>
      <c r="B21" s="17">
        <f>IFERROR(SUMIFS('Full List'!B:B,'Full List'!A:A,IL!$A21,'Full List'!E:E,IL!$A$1),"")</f>
        <v>160154</v>
      </c>
      <c r="C21" s="18">
        <f t="shared" si="0"/>
        <v>1.9821672523701872E-2</v>
      </c>
    </row>
    <row r="22" spans="1:3" x14ac:dyDescent="0.15">
      <c r="A22" t="s">
        <v>22</v>
      </c>
      <c r="B22" s="17">
        <f>IFERROR(SUMIFS('Full List'!B:B,'Full List'!A:A,IL!$A22,'Full List'!E:E,IL!$A$1),"")</f>
        <v>285688</v>
      </c>
      <c r="C22" s="18">
        <f t="shared" si="0"/>
        <v>3.5358554765733859E-2</v>
      </c>
    </row>
    <row r="23" spans="1:3" x14ac:dyDescent="0.15">
      <c r="A23" t="s">
        <v>23</v>
      </c>
      <c r="B23" s="17">
        <f>IFERROR(SUMIFS('Full List'!B:B,'Full List'!A:A,IL!$A23,'Full List'!E:E,IL!$A$1),"")</f>
        <v>61723</v>
      </c>
      <c r="C23" s="18">
        <f t="shared" si="0"/>
        <v>7.6392290743937117E-3</v>
      </c>
    </row>
    <row r="24" spans="1:3" x14ac:dyDescent="0.15">
      <c r="A24" t="s">
        <v>24</v>
      </c>
      <c r="B24" s="17">
        <f>IFERROR(SUMIFS('Full List'!B:B,'Full List'!A:A,IL!$A24,'Full List'!E:E,IL!$A$1),"")</f>
        <v>46087</v>
      </c>
      <c r="C24" s="18">
        <f t="shared" si="0"/>
        <v>5.704018766935875E-3</v>
      </c>
    </row>
    <row r="25" spans="1:3" x14ac:dyDescent="0.15">
      <c r="A25" t="s">
        <v>25</v>
      </c>
      <c r="B25" s="17">
        <f>IFERROR(SUMIFS('Full List'!B:B,'Full List'!A:A,IL!$A25,'Full List'!E:E,IL!$A$1),"")</f>
        <v>132170</v>
      </c>
      <c r="C25" s="18">
        <f t="shared" si="0"/>
        <v>1.6358195595849473E-2</v>
      </c>
    </row>
    <row r="26" spans="1:3" x14ac:dyDescent="0.15">
      <c r="A26" t="s">
        <v>26</v>
      </c>
      <c r="B26" s="17">
        <f>IFERROR(SUMIFS('Full List'!B:B,'Full List'!A:A,IL!$A26,'Full List'!E:E,IL!$A$1),"")</f>
        <v>91293</v>
      </c>
      <c r="C26" s="18">
        <f t="shared" si="0"/>
        <v>1.1298999398743178E-2</v>
      </c>
    </row>
    <row r="27" spans="1:3" x14ac:dyDescent="0.15">
      <c r="A27" t="s">
        <v>27</v>
      </c>
      <c r="B27" s="17">
        <f>IFERROR(SUMIFS('Full List'!B:B,'Full List'!A:A,IL!$A27,'Full List'!E:E,IL!$A$1),"")</f>
        <v>349713</v>
      </c>
      <c r="C27" s="18">
        <f t="shared" si="0"/>
        <v>4.3282693927603137E-2</v>
      </c>
    </row>
    <row r="28" spans="1:3" x14ac:dyDescent="0.15">
      <c r="A28" t="s">
        <v>28</v>
      </c>
      <c r="B28" s="17">
        <f>IFERROR(SUMIFS('Full List'!B:B,'Full List'!A:A,IL!$A28,'Full List'!E:E,IL!$A$1),"")</f>
        <v>1178238</v>
      </c>
      <c r="C28" s="18">
        <f t="shared" si="0"/>
        <v>0.14582619098481114</v>
      </c>
    </row>
    <row r="29" spans="1:3" x14ac:dyDescent="0.15">
      <c r="A29" t="s">
        <v>29</v>
      </c>
      <c r="B29" s="17">
        <f>IFERROR(SUMIFS('Full List'!B:B,'Full List'!A:A,IL!$A29,'Full List'!E:E,IL!$A$1),"")</f>
        <v>2486775</v>
      </c>
      <c r="C29" s="18">
        <f t="shared" si="0"/>
        <v>0.30777901076544278</v>
      </c>
    </row>
    <row r="30" spans="1:3" x14ac:dyDescent="0.15">
      <c r="A30" t="s">
        <v>30</v>
      </c>
      <c r="B30" s="17">
        <f>IFERROR(SUMIFS('Full List'!B:B,'Full List'!A:A,IL!$A30,'Full List'!E:E,IL!$A$1),"")</f>
        <v>998143</v>
      </c>
      <c r="C30" s="18">
        <f t="shared" si="0"/>
        <v>0.1235364941108268</v>
      </c>
    </row>
    <row r="31" spans="1:3" x14ac:dyDescent="0.15">
      <c r="A31" t="s">
        <v>31</v>
      </c>
      <c r="B31" s="17">
        <f>IFERROR(SUMIFS('Full List'!B:B,'Full List'!A:A,IL!$A31,'Full List'!E:E,IL!$A$1),"")</f>
        <v>57273</v>
      </c>
      <c r="C31" s="18">
        <f t="shared" si="0"/>
        <v>7.0884689139826497E-3</v>
      </c>
    </row>
    <row r="32" spans="1:3" x14ac:dyDescent="0.15">
      <c r="A32" t="s">
        <v>32</v>
      </c>
      <c r="B32" s="17">
        <f>IFERROR(SUMIFS('Full List'!B:B,'Full List'!A:A,IL!$A32,'Full List'!E:E,IL!$A$1),"")</f>
        <v>247498</v>
      </c>
      <c r="C32" s="18">
        <f t="shared" si="0"/>
        <v>3.0631918692453297E-2</v>
      </c>
    </row>
    <row r="33" spans="1:3" x14ac:dyDescent="0.15">
      <c r="A33" t="s">
        <v>33</v>
      </c>
      <c r="B33" s="17">
        <f>IFERROR(SUMIFS('Full List'!B:B,'Full List'!A:A,IL!$A33,'Full List'!E:E,IL!$A$1),"")</f>
        <v>2003029</v>
      </c>
      <c r="C33" s="18">
        <f t="shared" si="0"/>
        <v>0.2479075445725866</v>
      </c>
    </row>
    <row r="34" spans="1:3" x14ac:dyDescent="0.15">
      <c r="A34" t="s">
        <v>34</v>
      </c>
      <c r="B34" s="17">
        <f>IFERROR(SUMIFS('Full List'!B:B,'Full List'!A:A,IL!$A34,'Full List'!E:E,IL!$A$1),"")</f>
        <v>516410</v>
      </c>
      <c r="C34" s="18">
        <f t="shared" si="0"/>
        <v>6.3914169536601534E-2</v>
      </c>
    </row>
    <row r="35" spans="1:3" x14ac:dyDescent="0.15">
      <c r="A35" t="s">
        <v>35</v>
      </c>
      <c r="B35" s="17">
        <f>IFERROR(SUMIFS('Full List'!B:B,'Full List'!A:A,IL!$A35,'Full List'!E:E,IL!$A$1),"")</f>
        <v>469013</v>
      </c>
      <c r="C35" s="18">
        <f t="shared" si="0"/>
        <v>5.8048016879746901E-2</v>
      </c>
    </row>
    <row r="36" spans="1:3" x14ac:dyDescent="0.15">
      <c r="A36" t="s">
        <v>36</v>
      </c>
      <c r="B36" s="17">
        <f>IFERROR(SUMIFS('Full List'!B:B,'Full List'!A:A,IL!$A36,'Full List'!E:E,IL!$A$1),"")</f>
        <v>47334</v>
      </c>
      <c r="C36" s="18">
        <f t="shared" si="0"/>
        <v>5.8583553781791546E-3</v>
      </c>
    </row>
    <row r="37" spans="1:3" x14ac:dyDescent="0.15">
      <c r="A37" t="s">
        <v>37</v>
      </c>
      <c r="B37" s="17">
        <f>IFERROR(SUMIFS('Full List'!B:B,'Full List'!A:A,IL!$A37,'Full List'!E:E,IL!$A$1),"")</f>
        <v>66073</v>
      </c>
      <c r="C37" s="18">
        <f t="shared" si="0"/>
        <v>8.1776126019865482E-3</v>
      </c>
    </row>
    <row r="38" spans="1:3" x14ac:dyDescent="0.15">
      <c r="A38" t="s">
        <v>38</v>
      </c>
      <c r="B38" s="17">
        <f>IFERROR(SUMIFS('Full List'!B:B,'Full List'!A:A,IL!$A38,'Full List'!E:E,IL!$A$1),"")</f>
        <v>101826</v>
      </c>
      <c r="C38" s="18">
        <f t="shared" si="0"/>
        <v>1.2602630133486935E-2</v>
      </c>
    </row>
    <row r="39" spans="1:3" x14ac:dyDescent="0.15">
      <c r="A39" t="s">
        <v>39</v>
      </c>
      <c r="B39" s="17">
        <f>IFERROR(SUMIFS('Full List'!B:B,'Full List'!A:A,IL!$A39,'Full List'!E:E,IL!$A$1),"")</f>
        <v>320828</v>
      </c>
      <c r="C39" s="18">
        <f t="shared" si="0"/>
        <v>3.9707703538058518E-2</v>
      </c>
    </row>
    <row r="40" spans="1:3" x14ac:dyDescent="0.15">
      <c r="A40" t="s">
        <v>40</v>
      </c>
      <c r="B40" s="17">
        <f>IFERROR(SUMIFS('Full List'!B:B,'Full List'!A:A,IL!$A40,'Full List'!E:E,IL!$A$1),"")</f>
        <v>99216</v>
      </c>
      <c r="C40" s="18">
        <f t="shared" si="0"/>
        <v>1.2279600016931234E-2</v>
      </c>
    </row>
    <row r="41" spans="1:3" x14ac:dyDescent="0.15">
      <c r="A41" t="s">
        <v>41</v>
      </c>
      <c r="B41" s="17">
        <f>IFERROR(SUMIFS('Full List'!B:B,'Full List'!A:A,IL!$A41,'Full List'!E:E,IL!$A$1),"")</f>
        <v>177800</v>
      </c>
      <c r="C41" s="18">
        <f t="shared" si="0"/>
        <v>2.2005653150806052E-2</v>
      </c>
    </row>
    <row r="42" spans="1:3" x14ac:dyDescent="0.15">
      <c r="A42" t="s">
        <v>42</v>
      </c>
      <c r="B42" s="17">
        <f>IFERROR(SUMIFS('Full List'!B:B,'Full List'!A:A,IL!$A42,'Full List'!E:E,IL!$A$1),"")</f>
        <v>240567</v>
      </c>
      <c r="C42" s="18">
        <f t="shared" si="0"/>
        <v>2.9774094271822045E-2</v>
      </c>
    </row>
    <row r="43" spans="1:3" x14ac:dyDescent="0.15">
      <c r="A43" t="s">
        <v>43</v>
      </c>
      <c r="B43" s="17">
        <f>IFERROR(SUMIFS('Full List'!B:B,'Full List'!A:A,IL!$A43,'Full List'!E:E,IL!$A$1),"")</f>
        <v>522627</v>
      </c>
      <c r="C43" s="18">
        <f t="shared" si="0"/>
        <v>6.4683624798910655E-2</v>
      </c>
    </row>
    <row r="44" spans="1:3" x14ac:dyDescent="0.15">
      <c r="A44" t="s">
        <v>44</v>
      </c>
      <c r="B44" s="17">
        <f>IFERROR(SUMIFS('Full List'!B:B,'Full List'!A:A,IL!$A44,'Full List'!E:E,IL!$A$1),"")</f>
        <v>743003</v>
      </c>
      <c r="C44" s="18">
        <f t="shared" si="0"/>
        <v>9.1958753138404667E-2</v>
      </c>
    </row>
    <row r="45" spans="1:3" x14ac:dyDescent="0.15">
      <c r="A45" t="s">
        <v>45</v>
      </c>
      <c r="B45" s="17">
        <f>IFERROR(SUMIFS('Full List'!B:B,'Full List'!A:A,IL!$A45,'Full List'!E:E,IL!$A$1),"")</f>
        <v>992438</v>
      </c>
      <c r="C45" s="18">
        <f t="shared" si="0"/>
        <v>0.122830407208547</v>
      </c>
    </row>
    <row r="46" spans="1:3" x14ac:dyDescent="0.15">
      <c r="A46" t="s">
        <v>46</v>
      </c>
      <c r="B46" s="17">
        <f>IFERROR(SUMIFS('Full List'!B:B,'Full List'!A:A,IL!$A46,'Full List'!E:E,IL!$A$1),"")</f>
        <v>2294043</v>
      </c>
      <c r="C46" s="18">
        <f t="shared" si="0"/>
        <v>0.28392527880221918</v>
      </c>
    </row>
    <row r="47" spans="1:3" x14ac:dyDescent="0.15">
      <c r="A47" t="s">
        <v>47</v>
      </c>
      <c r="B47" s="17">
        <f>IFERROR(SUMIFS('Full List'!B:B,'Full List'!A:A,IL!$A47,'Full List'!E:E,IL!$A$1),"")</f>
        <v>2877315</v>
      </c>
      <c r="C47" s="18">
        <f t="shared" si="0"/>
        <v>0.35611471257374305</v>
      </c>
    </row>
    <row r="48" spans="1:3" x14ac:dyDescent="0.15">
      <c r="A48" t="s">
        <v>48</v>
      </c>
      <c r="B48" s="17">
        <f>IFERROR(SUMIFS('Full List'!B:B,'Full List'!A:A,IL!$A48,'Full List'!E:E,IL!$A$1),"")</f>
        <v>848268</v>
      </c>
      <c r="C48" s="18">
        <f t="shared" si="0"/>
        <v>0.10498701567451039</v>
      </c>
    </row>
    <row r="49" spans="1:3" x14ac:dyDescent="0.15">
      <c r="A49" t="s">
        <v>49</v>
      </c>
      <c r="B49" s="17">
        <f>IFERROR(SUMIFS('Full List'!B:B,'Full List'!A:A,IL!$A49,'Full List'!E:E,IL!$A$1),"")</f>
        <v>1140919</v>
      </c>
      <c r="C49" s="18">
        <f t="shared" si="0"/>
        <v>0.14120735538337734</v>
      </c>
    </row>
    <row r="50" spans="1:3" x14ac:dyDescent="0.15">
      <c r="A50" t="s">
        <v>50</v>
      </c>
      <c r="B50" s="17">
        <f>IFERROR(SUMIFS('Full List'!B:B,'Full List'!A:A,IL!$A50,'Full List'!E:E,IL!$A$1),"")</f>
        <v>1070497</v>
      </c>
      <c r="C50" s="18">
        <f t="shared" si="0"/>
        <v>0.13249148302012614</v>
      </c>
    </row>
    <row r="51" spans="1:3" x14ac:dyDescent="0.15">
      <c r="A51" t="s">
        <v>51</v>
      </c>
      <c r="B51" s="17">
        <f>IFERROR(SUMIFS('Full List'!B:B,'Full List'!A:A,IL!$A51,'Full List'!E:E,IL!$A$1),"")</f>
        <v>2254571</v>
      </c>
      <c r="C51" s="18">
        <f t="shared" si="0"/>
        <v>0.27903997429620897</v>
      </c>
    </row>
    <row r="52" spans="1:3" x14ac:dyDescent="0.15">
      <c r="A52" t="s">
        <v>52</v>
      </c>
      <c r="B52" s="17">
        <f>IFERROR(SUMIFS('Full List'!B:B,'Full List'!A:A,IL!$A52,'Full List'!E:E,IL!$A$1),"")</f>
        <v>945154</v>
      </c>
      <c r="C52" s="18">
        <f t="shared" si="0"/>
        <v>0.11697824014677696</v>
      </c>
    </row>
    <row r="53" spans="1:3" x14ac:dyDescent="0.15">
      <c r="A53" t="s">
        <v>53</v>
      </c>
      <c r="B53" s="17">
        <f>IFERROR(SUMIFS('Full List'!B:B,'Full List'!A:A,IL!$A53,'Full List'!E:E,IL!$A$1),"")</f>
        <v>618050</v>
      </c>
      <c r="C53" s="18">
        <f t="shared" si="0"/>
        <v>7.6493779133046572E-2</v>
      </c>
    </row>
    <row r="54" spans="1:3" x14ac:dyDescent="0.15">
      <c r="A54" t="s">
        <v>54</v>
      </c>
      <c r="B54" s="17">
        <f>IFERROR(SUMIFS('Full List'!B:B,'Full List'!A:A,IL!$A54,'Full List'!E:E,IL!$A$1),"")</f>
        <v>2580929</v>
      </c>
      <c r="C54" s="18">
        <f t="shared" si="0"/>
        <v>0.31943210562911539</v>
      </c>
    </row>
    <row r="55" spans="1:3" x14ac:dyDescent="0.15">
      <c r="A55" t="s">
        <v>55</v>
      </c>
      <c r="B55" s="17">
        <f>IFERROR(SUMIFS('Full List'!B:B,'Full List'!A:A,IL!$A55,'Full List'!E:E,IL!$A$1),"")</f>
        <v>1822463</v>
      </c>
      <c r="C55" s="18">
        <f t="shared" si="0"/>
        <v>0.22555955375802841</v>
      </c>
    </row>
    <row r="56" spans="1:3" x14ac:dyDescent="0.15">
      <c r="A56" t="s">
        <v>56</v>
      </c>
      <c r="B56" s="17">
        <f>IFERROR(SUMIFS('Full List'!B:B,'Full List'!A:A,IL!$A56,'Full List'!E:E,IL!$A$1),"")</f>
        <v>1737216</v>
      </c>
      <c r="C56" s="18">
        <f t="shared" si="0"/>
        <v>0.21500884557947519</v>
      </c>
    </row>
    <row r="57" spans="1:3" x14ac:dyDescent="0.15">
      <c r="A57" t="s">
        <v>57</v>
      </c>
      <c r="B57" s="17">
        <f>IFERROR(SUMIFS('Full List'!B:B,'Full List'!A:A,IL!$A57,'Full List'!E:E,IL!$A$1),"")</f>
        <v>1097336</v>
      </c>
      <c r="C57" s="18">
        <f t="shared" si="0"/>
        <v>0.13581324750220986</v>
      </c>
    </row>
    <row r="58" spans="1:3" x14ac:dyDescent="0.15">
      <c r="A58" t="s">
        <v>58</v>
      </c>
      <c r="B58" s="17">
        <f>IFERROR(SUMIFS('Full List'!B:B,'Full List'!A:A,IL!$A58,'Full List'!E:E,IL!$A$1),"")</f>
        <v>777844</v>
      </c>
      <c r="C58" s="18">
        <f t="shared" si="0"/>
        <v>9.627089577860283E-2</v>
      </c>
    </row>
    <row r="59" spans="1:3" x14ac:dyDescent="0.15">
      <c r="A59" t="s">
        <v>59</v>
      </c>
      <c r="B59" s="17">
        <f>IFERROR(SUMIFS('Full List'!B:B,'Full List'!A:A,IL!$A59,'Full List'!E:E,IL!$A$1),"")</f>
        <v>4612475</v>
      </c>
      <c r="C59" s="18">
        <f t="shared" si="0"/>
        <v>0.57086909458247548</v>
      </c>
    </row>
    <row r="60" spans="1:3" x14ac:dyDescent="0.15">
      <c r="A60" t="s">
        <v>60</v>
      </c>
      <c r="B60" s="17">
        <f>IFERROR(SUMIFS('Full List'!B:B,'Full List'!A:A,IL!$A60,'Full List'!E:E,IL!$A$1),"")</f>
        <v>1407362</v>
      </c>
      <c r="C60" s="18">
        <f t="shared" si="0"/>
        <v>0.17418402716324358</v>
      </c>
    </row>
    <row r="61" spans="1:3" x14ac:dyDescent="0.15">
      <c r="A61" t="s">
        <v>61</v>
      </c>
      <c r="B61" s="17">
        <f>IFERROR(SUMIFS('Full List'!B:B,'Full List'!A:A,IL!$A61,'Full List'!E:E,IL!$A$1),"")</f>
        <v>1257171</v>
      </c>
      <c r="C61" s="18">
        <f t="shared" si="0"/>
        <v>0.15559543856722158</v>
      </c>
    </row>
    <row r="62" spans="1:3" x14ac:dyDescent="0.15">
      <c r="A62" t="s">
        <v>62</v>
      </c>
      <c r="B62" s="17">
        <f>IFERROR(SUMIFS('Full List'!B:B,'Full List'!A:A,IL!$A62,'Full List'!E:E,IL!$A$1),"")</f>
        <v>824489</v>
      </c>
      <c r="C62" s="18">
        <f t="shared" si="0"/>
        <v>0.10204397615666441</v>
      </c>
    </row>
    <row r="63" spans="1:3" x14ac:dyDescent="0.15">
      <c r="A63" t="s">
        <v>63</v>
      </c>
      <c r="B63" s="17">
        <f>IFERROR(SUMIFS('Full List'!B:B,'Full List'!A:A,IL!$A63,'Full List'!E:E,IL!$A$1),"")</f>
        <v>914564</v>
      </c>
      <c r="C63" s="18">
        <f t="shared" si="0"/>
        <v>0.1131922281676816</v>
      </c>
    </row>
    <row r="64" spans="1:3" x14ac:dyDescent="0.15">
      <c r="A64" t="s">
        <v>64</v>
      </c>
      <c r="B64" s="17">
        <f>IFERROR(SUMIFS('Full List'!B:B,'Full List'!A:A,IL!$A64,'Full List'!E:E,IL!$A$1),"")</f>
        <v>648905</v>
      </c>
      <c r="C64" s="18">
        <f t="shared" si="0"/>
        <v>8.0312589189110245E-2</v>
      </c>
    </row>
    <row r="65" spans="1:3" x14ac:dyDescent="0.15">
      <c r="A65" t="s">
        <v>65</v>
      </c>
      <c r="B65" s="17">
        <f>IFERROR(SUMIFS('Full List'!B:B,'Full List'!A:A,IL!$A65,'Full List'!E:E,IL!$A$1),"")</f>
        <v>995370</v>
      </c>
      <c r="C65" s="18">
        <f t="shared" si="0"/>
        <v>0.12319329008277739</v>
      </c>
    </row>
    <row r="66" spans="1:3" x14ac:dyDescent="0.15">
      <c r="A66" t="s">
        <v>66</v>
      </c>
      <c r="B66" s="17">
        <f>IFERROR(SUMIFS('Full List'!B:B,'Full List'!A:A,IL!$A66,'Full List'!E:E,IL!$A$1),"")</f>
        <v>516569</v>
      </c>
      <c r="C66" s="18">
        <f t="shared" si="0"/>
        <v>6.3933848382782515E-2</v>
      </c>
    </row>
    <row r="67" spans="1:3" x14ac:dyDescent="0.15">
      <c r="A67" t="s">
        <v>67</v>
      </c>
      <c r="B67" s="17">
        <f>IFERROR(SUMIFS('Full List'!B:B,'Full List'!A:A,IL!$A67,'Full List'!E:E,IL!$A$1),"")</f>
        <v>1564691</v>
      </c>
      <c r="C67" s="18">
        <f t="shared" ref="C67:C82" si="1">IFERROR(B67/$B$2,"")</f>
        <v>0.19365605980983056</v>
      </c>
    </row>
    <row r="68" spans="1:3" x14ac:dyDescent="0.15">
      <c r="A68" t="s">
        <v>68</v>
      </c>
      <c r="B68" s="17">
        <f>IFERROR(SUMIFS('Full List'!B:B,'Full List'!A:A,IL!$A68,'Full List'!E:E,IL!$A$1),"")</f>
        <v>3488456</v>
      </c>
      <c r="C68" s="18">
        <f t="shared" si="1"/>
        <v>0.43175339014537839</v>
      </c>
    </row>
    <row r="69" spans="1:3" x14ac:dyDescent="0.15">
      <c r="A69" t="s">
        <v>69</v>
      </c>
      <c r="B69" s="17">
        <f>IFERROR(SUMIFS('Full List'!B:B,'Full List'!A:A,IL!$A69,'Full List'!E:E,IL!$A$1),"")</f>
        <v>5176836</v>
      </c>
      <c r="C69" s="18">
        <f t="shared" si="1"/>
        <v>0.64071798332174468</v>
      </c>
    </row>
    <row r="70" spans="1:3" x14ac:dyDescent="0.15">
      <c r="A70" t="s">
        <v>70</v>
      </c>
      <c r="B70" s="17">
        <f>IFERROR(SUMIFS('Full List'!B:B,'Full List'!A:A,IL!$A70,'Full List'!E:E,IL!$A$1),"")</f>
        <v>3122475</v>
      </c>
      <c r="C70" s="18">
        <f t="shared" si="1"/>
        <v>0.38645726559090626</v>
      </c>
    </row>
    <row r="71" spans="1:3" x14ac:dyDescent="0.15">
      <c r="A71" t="s">
        <v>71</v>
      </c>
      <c r="B71" s="17">
        <f>IFERROR(SUMIFS('Full List'!B:B,'Full List'!A:A,IL!$A71,'Full List'!E:E,IL!$A$1),"")</f>
        <v>485402</v>
      </c>
      <c r="C71" s="18">
        <f t="shared" si="1"/>
        <v>6.0076423232325982E-2</v>
      </c>
    </row>
    <row r="72" spans="1:3" x14ac:dyDescent="0.15">
      <c r="A72" t="s">
        <v>72</v>
      </c>
      <c r="B72" s="17">
        <f>IFERROR(SUMIFS('Full List'!B:B,'Full List'!A:A,IL!$A72,'Full List'!E:E,IL!$A$1),"")</f>
        <v>903074</v>
      </c>
      <c r="C72" s="18">
        <f t="shared" si="1"/>
        <v>0.11177015305686741</v>
      </c>
    </row>
    <row r="73" spans="1:3" x14ac:dyDescent="0.15">
      <c r="A73" t="s">
        <v>73</v>
      </c>
      <c r="B73" s="17">
        <f>IFERROR(SUMIFS('Full List'!B:B,'Full List'!A:A,IL!$A73,'Full List'!E:E,IL!$A$1),"")</f>
        <v>4743400</v>
      </c>
      <c r="C73" s="18">
        <f t="shared" si="1"/>
        <v>0.58707320109973804</v>
      </c>
    </row>
    <row r="74" spans="1:3" x14ac:dyDescent="0.15">
      <c r="A74" t="s">
        <v>74</v>
      </c>
      <c r="B74" s="17">
        <f>IFERROR(SUMIFS('Full List'!B:B,'Full List'!A:A,IL!$A74,'Full List'!E:E,IL!$A$1),"")</f>
        <v>2024190</v>
      </c>
      <c r="C74" s="18">
        <f t="shared" si="1"/>
        <v>0.25052656384325145</v>
      </c>
    </row>
    <row r="75" spans="1:3" x14ac:dyDescent="0.15">
      <c r="A75" t="s">
        <v>75</v>
      </c>
      <c r="B75" s="17">
        <f>IFERROR(SUMIFS('Full List'!B:B,'Full List'!A:A,IL!$A75,'Full List'!E:E,IL!$A$1),"")</f>
        <v>1618046</v>
      </c>
      <c r="C75" s="18">
        <f t="shared" si="1"/>
        <v>0.20025961224999511</v>
      </c>
    </row>
    <row r="76" spans="1:3" x14ac:dyDescent="0.15">
      <c r="A76" t="s">
        <v>76</v>
      </c>
      <c r="B76" s="17">
        <f>IFERROR(SUMIFS('Full List'!B:B,'Full List'!A:A,IL!$A76,'Full List'!E:E,IL!$A$1),"")</f>
        <v>774993</v>
      </c>
      <c r="C76" s="18">
        <f t="shared" si="1"/>
        <v>9.5918037976955209E-2</v>
      </c>
    </row>
    <row r="77" spans="1:3" x14ac:dyDescent="0.15">
      <c r="A77" t="s">
        <v>77</v>
      </c>
      <c r="B77" s="17">
        <f>IFERROR(SUMIFS('Full List'!B:B,'Full List'!A:A,IL!$A77,'Full List'!E:E,IL!$A$1),"")</f>
        <v>634229</v>
      </c>
      <c r="C77" s="18">
        <f t="shared" si="1"/>
        <v>7.849619455670738E-2</v>
      </c>
    </row>
    <row r="78" spans="1:3" x14ac:dyDescent="0.15">
      <c r="A78" t="s">
        <v>78</v>
      </c>
      <c r="B78" s="17">
        <f>IFERROR(SUMIFS('Full List'!B:B,'Full List'!A:A,IL!$A78,'Full List'!E:E,IL!$A$1),"")</f>
        <v>660412</v>
      </c>
      <c r="C78" s="18">
        <f t="shared" si="1"/>
        <v>8.1736768327503526E-2</v>
      </c>
    </row>
    <row r="79" spans="1:3" x14ac:dyDescent="0.15">
      <c r="A79" t="s">
        <v>79</v>
      </c>
      <c r="B79" s="17">
        <f>IFERROR(SUMIFS('Full List'!B:B,'Full List'!A:A,IL!$A79,'Full List'!E:E,IL!$A$1),"")</f>
        <v>1358939</v>
      </c>
      <c r="C79" s="18">
        <f t="shared" si="1"/>
        <v>0.16819089025367395</v>
      </c>
    </row>
    <row r="80" spans="1:3" x14ac:dyDescent="0.15">
      <c r="A80" t="s">
        <v>80</v>
      </c>
      <c r="B80" s="17">
        <f>IFERROR(SUMIFS('Full List'!B:B,'Full List'!A:A,IL!$A80,'Full List'!E:E,IL!$A$1),"")</f>
        <v>968272</v>
      </c>
      <c r="C80" s="18">
        <f t="shared" si="1"/>
        <v>0.11983947012169448</v>
      </c>
    </row>
    <row r="81" spans="1:6" x14ac:dyDescent="0.15">
      <c r="A81" t="s">
        <v>81</v>
      </c>
      <c r="B81" s="17">
        <f>IFERROR(SUMIFS('Full List'!B:B,'Full List'!A:A,IL!$A81,'Full List'!E:E,IL!$A$1),"")</f>
        <v>1365276</v>
      </c>
      <c r="C81" s="18">
        <f t="shared" si="1"/>
        <v>0.16897519747536494</v>
      </c>
    </row>
    <row r="82" spans="1:6" x14ac:dyDescent="0.15">
      <c r="A82" t="s">
        <v>82</v>
      </c>
      <c r="B82" s="17">
        <f>IFERROR(SUMIFS('Full List'!B:B,'Full List'!A:A,IL!$A82,'Full List'!E:E,IL!$A$1),"")</f>
        <v>1012135</v>
      </c>
      <c r="C82" s="18">
        <f t="shared" si="1"/>
        <v>0.125268232574753</v>
      </c>
    </row>
    <row r="83" spans="1:6" x14ac:dyDescent="0.15">
      <c r="B83" s="17"/>
      <c r="C83" s="18"/>
      <c r="D83" t="s">
        <v>812</v>
      </c>
      <c r="E83" t="s">
        <v>860</v>
      </c>
    </row>
    <row r="84" spans="1:6" x14ac:dyDescent="0.15">
      <c r="A84" t="s">
        <v>985</v>
      </c>
      <c r="B84" s="17">
        <v>4398890</v>
      </c>
      <c r="C84" s="18">
        <f t="shared" ref="C84:C107" si="2">IFERROR(B84/$B$2,"")</f>
        <v>0.54443446337766721</v>
      </c>
      <c r="D84">
        <v>27</v>
      </c>
      <c r="E84" t="str">
        <f>VLOOKUP(D84,Validation!$A$2:$C$41,3,FALSE)</f>
        <v xml:space="preserve">NFL </v>
      </c>
      <c r="F84" t="s">
        <v>1373</v>
      </c>
    </row>
    <row r="85" spans="1:6" x14ac:dyDescent="0.15">
      <c r="A85" t="s">
        <v>971</v>
      </c>
      <c r="B85" s="17">
        <v>3319597</v>
      </c>
      <c r="C85" s="18">
        <f t="shared" si="2"/>
        <v>0.41085433173484998</v>
      </c>
      <c r="D85">
        <v>17</v>
      </c>
      <c r="E85" t="str">
        <f>VLOOKUP(D85,Validation!$A$2:$C$41,3,FALSE)</f>
        <v>MLB</v>
      </c>
      <c r="F85" t="s">
        <v>1351</v>
      </c>
    </row>
    <row r="86" spans="1:6" x14ac:dyDescent="0.15">
      <c r="A86" t="s">
        <v>984</v>
      </c>
      <c r="B86" s="17">
        <v>3308993</v>
      </c>
      <c r="C86" s="18">
        <f t="shared" si="2"/>
        <v>0.40954191359080527</v>
      </c>
      <c r="D86">
        <v>26</v>
      </c>
      <c r="E86" t="str">
        <f>VLOOKUP(D86,Validation!$A$2:$C$41,3,FALSE)</f>
        <v xml:space="preserve">NBA </v>
      </c>
      <c r="F86" t="s">
        <v>1350</v>
      </c>
    </row>
    <row r="87" spans="1:6" x14ac:dyDescent="0.15">
      <c r="A87" t="s">
        <v>982</v>
      </c>
      <c r="B87" s="17">
        <v>2920430</v>
      </c>
      <c r="C87" s="18">
        <f t="shared" si="2"/>
        <v>0.36145089781332129</v>
      </c>
      <c r="D87">
        <v>17</v>
      </c>
      <c r="E87" t="str">
        <f>VLOOKUP(D87,Validation!$A$2:$C$41,3,FALSE)</f>
        <v>MLB</v>
      </c>
      <c r="F87" t="s">
        <v>1351</v>
      </c>
    </row>
    <row r="88" spans="1:6" x14ac:dyDescent="0.15">
      <c r="A88" t="s">
        <v>986</v>
      </c>
      <c r="B88" s="17">
        <v>2377651</v>
      </c>
      <c r="C88" s="18">
        <f t="shared" si="2"/>
        <v>0.29427313396888166</v>
      </c>
      <c r="D88">
        <v>28</v>
      </c>
      <c r="E88" t="str">
        <f>VLOOKUP(D88,Validation!$A$2:$C$41,3,FALSE)</f>
        <v xml:space="preserve">NHL </v>
      </c>
      <c r="F88" t="s">
        <v>1350</v>
      </c>
    </row>
    <row r="89" spans="1:6" x14ac:dyDescent="0.15">
      <c r="A89" t="s">
        <v>993</v>
      </c>
      <c r="B89" s="17">
        <v>1039296</v>
      </c>
      <c r="C89" s="18">
        <f t="shared" si="2"/>
        <v>0.12862984981451139</v>
      </c>
      <c r="D89">
        <v>5</v>
      </c>
      <c r="E89" t="str">
        <f>VLOOKUP(D89,Validation!$A$2:$C$41,3,FALSE)</f>
        <v>CFB</v>
      </c>
      <c r="F89" t="s">
        <v>1350</v>
      </c>
    </row>
    <row r="90" spans="1:6" x14ac:dyDescent="0.15">
      <c r="A90" t="s">
        <v>1081</v>
      </c>
      <c r="B90" s="17">
        <v>924706</v>
      </c>
      <c r="C90" s="18">
        <f t="shared" si="2"/>
        <v>0.11444746626810609</v>
      </c>
      <c r="D90">
        <v>5</v>
      </c>
      <c r="E90" t="str">
        <f>VLOOKUP(D90,Validation!$A$2:$C$41,3,FALSE)</f>
        <v>CFB</v>
      </c>
      <c r="F90" t="s">
        <v>1350</v>
      </c>
    </row>
    <row r="91" spans="1:6" x14ac:dyDescent="0.15">
      <c r="A91" t="s">
        <v>1080</v>
      </c>
      <c r="B91" s="17">
        <v>867681</v>
      </c>
      <c r="C91" s="18">
        <f t="shared" si="2"/>
        <v>0.10738969140351264</v>
      </c>
      <c r="D91">
        <v>4</v>
      </c>
      <c r="E91" t="str">
        <f>VLOOKUP(D91,Validation!$A$2:$C$41,3,FALSE)</f>
        <v>MCB</v>
      </c>
      <c r="F91" t="s">
        <v>1350</v>
      </c>
    </row>
    <row r="92" spans="1:6" x14ac:dyDescent="0.15">
      <c r="A92" t="s">
        <v>991</v>
      </c>
      <c r="B92" s="17">
        <v>773153</v>
      </c>
      <c r="C92" s="18">
        <f t="shared" si="2"/>
        <v>9.569030793309985E-2</v>
      </c>
      <c r="D92">
        <v>5</v>
      </c>
      <c r="E92" t="str">
        <f>VLOOKUP(D92,Validation!$A$2:$C$41,3,FALSE)</f>
        <v>CFB</v>
      </c>
      <c r="F92" t="s">
        <v>1350</v>
      </c>
    </row>
    <row r="93" spans="1:6" x14ac:dyDescent="0.15">
      <c r="A93" t="s">
        <v>992</v>
      </c>
      <c r="B93" s="17">
        <v>655540</v>
      </c>
      <c r="C93" s="18">
        <f t="shared" si="2"/>
        <v>8.1133778776599552E-2</v>
      </c>
      <c r="D93">
        <v>4</v>
      </c>
      <c r="E93" t="str">
        <f>VLOOKUP(D93,Validation!$A$2:$C$41,3,FALSE)</f>
        <v>MCB</v>
      </c>
      <c r="F93" t="s">
        <v>1350</v>
      </c>
    </row>
    <row r="94" spans="1:6" x14ac:dyDescent="0.15">
      <c r="A94" t="s">
        <v>983</v>
      </c>
      <c r="B94" s="17">
        <v>588487</v>
      </c>
      <c r="C94" s="18">
        <f t="shared" si="2"/>
        <v>7.283487517299439E-2</v>
      </c>
      <c r="D94">
        <v>18</v>
      </c>
      <c r="E94" t="str">
        <f>VLOOKUP(D94,Validation!$A$2:$C$41,3,FALSE)</f>
        <v>MLS</v>
      </c>
    </row>
    <row r="95" spans="1:6" x14ac:dyDescent="0.15">
      <c r="A95" t="s">
        <v>990</v>
      </c>
      <c r="B95" s="17">
        <v>581353</v>
      </c>
      <c r="C95" s="18">
        <f t="shared" si="2"/>
        <v>7.1951926187742127E-2</v>
      </c>
      <c r="D95">
        <v>4</v>
      </c>
      <c r="E95" t="str">
        <f>VLOOKUP(D95,Validation!$A$2:$C$41,3,FALSE)</f>
        <v>MCB</v>
      </c>
      <c r="F95" t="s">
        <v>1350</v>
      </c>
    </row>
    <row r="96" spans="1:6" x14ac:dyDescent="0.15">
      <c r="A96" t="s">
        <v>976</v>
      </c>
      <c r="B96" s="17">
        <v>487595</v>
      </c>
      <c r="C96" s="18">
        <f t="shared" si="2"/>
        <v>6.0347842790029679E-2</v>
      </c>
      <c r="D96">
        <v>17</v>
      </c>
      <c r="E96" t="str">
        <f>VLOOKUP(D96,Validation!$A$2:$C$41,3,FALSE)</f>
        <v>MLB</v>
      </c>
      <c r="F96" t="s">
        <v>1350</v>
      </c>
    </row>
    <row r="97" spans="1:6" x14ac:dyDescent="0.15">
      <c r="A97" t="s">
        <v>989</v>
      </c>
      <c r="B97" s="17">
        <v>428817</v>
      </c>
      <c r="C97" s="18">
        <f t="shared" si="2"/>
        <v>5.3073105552132731E-2</v>
      </c>
      <c r="D97">
        <v>5</v>
      </c>
      <c r="E97" t="str">
        <f>VLOOKUP(D97,Validation!$A$2:$C$41,3,FALSE)</f>
        <v>CFB</v>
      </c>
      <c r="F97" t="s">
        <v>1351</v>
      </c>
    </row>
    <row r="98" spans="1:6" x14ac:dyDescent="0.15">
      <c r="A98" t="s">
        <v>987</v>
      </c>
      <c r="B98" s="17">
        <v>417870</v>
      </c>
      <c r="C98" s="18">
        <f t="shared" si="2"/>
        <v>5.1718235557521516E-2</v>
      </c>
      <c r="D98">
        <v>4</v>
      </c>
      <c r="E98" t="str">
        <f>VLOOKUP(D98,Validation!$A$2:$C$41,3,FALSE)</f>
        <v>MCB</v>
      </c>
      <c r="F98" t="s">
        <v>1351</v>
      </c>
    </row>
    <row r="99" spans="1:6" x14ac:dyDescent="0.15">
      <c r="A99" t="s">
        <v>977</v>
      </c>
      <c r="B99" s="17">
        <v>319641</v>
      </c>
      <c r="C99" s="18">
        <f t="shared" si="2"/>
        <v>3.9560792906506173E-2</v>
      </c>
      <c r="D99">
        <v>27</v>
      </c>
      <c r="E99" t="str">
        <f>VLOOKUP(D99,Validation!$A$2:$C$41,3,FALSE)</f>
        <v xml:space="preserve">NFL </v>
      </c>
      <c r="F99" t="s">
        <v>1351</v>
      </c>
    </row>
    <row r="100" spans="1:6" x14ac:dyDescent="0.15">
      <c r="A100" t="s">
        <v>988</v>
      </c>
      <c r="B100" s="17">
        <v>284418</v>
      </c>
      <c r="C100" s="18">
        <f t="shared" si="2"/>
        <v>3.5201371528942385E-2</v>
      </c>
      <c r="D100">
        <v>4</v>
      </c>
      <c r="E100" t="str">
        <f>VLOOKUP(D100,Validation!$A$2:$C$41,3,FALSE)</f>
        <v>MCB</v>
      </c>
      <c r="F100" t="s">
        <v>1351</v>
      </c>
    </row>
    <row r="101" spans="1:6" x14ac:dyDescent="0.15">
      <c r="A101" t="s">
        <v>978</v>
      </c>
      <c r="B101" s="17">
        <v>197213</v>
      </c>
      <c r="C101" s="18">
        <f t="shared" si="2"/>
        <v>2.4408328879808292E-2</v>
      </c>
      <c r="D101">
        <v>28</v>
      </c>
      <c r="E101" t="str">
        <f>VLOOKUP(D101,Validation!$A$2:$C$41,3,FALSE)</f>
        <v xml:space="preserve">NHL </v>
      </c>
      <c r="F101" t="s">
        <v>1351</v>
      </c>
    </row>
    <row r="102" spans="1:6" x14ac:dyDescent="0.15">
      <c r="A102" t="s">
        <v>980</v>
      </c>
      <c r="B102" s="17">
        <v>117397</v>
      </c>
      <c r="C102" s="18">
        <f t="shared" si="2"/>
        <v>1.4529795629612926E-2</v>
      </c>
      <c r="D102">
        <v>5</v>
      </c>
      <c r="E102" t="str">
        <f>VLOOKUP(D102,Validation!$A$2:$C$41,3,FALSE)</f>
        <v>CFB</v>
      </c>
      <c r="F102" t="s">
        <v>1350</v>
      </c>
    </row>
    <row r="103" spans="1:6" x14ac:dyDescent="0.15">
      <c r="A103" t="s">
        <v>979</v>
      </c>
      <c r="B103" s="17">
        <v>74175</v>
      </c>
      <c r="C103" s="18">
        <f t="shared" si="2"/>
        <v>9.1803673929192302E-3</v>
      </c>
      <c r="D103">
        <v>4</v>
      </c>
      <c r="E103" t="str">
        <f>VLOOKUP(D103,Validation!$A$2:$C$41,3,FALSE)</f>
        <v>MCB</v>
      </c>
      <c r="F103" t="s">
        <v>1350</v>
      </c>
    </row>
    <row r="104" spans="1:6" x14ac:dyDescent="0.15">
      <c r="A104" t="s">
        <v>995</v>
      </c>
      <c r="B104" s="17">
        <v>42607</v>
      </c>
      <c r="C104" s="18">
        <f t="shared" si="2"/>
        <v>5.2733119448616058E-3</v>
      </c>
      <c r="D104">
        <v>4</v>
      </c>
      <c r="E104" t="str">
        <f>VLOOKUP(D104,Validation!$A$2:$C$41,3,FALSE)</f>
        <v>MCB</v>
      </c>
      <c r="F104" t="s">
        <v>1351</v>
      </c>
    </row>
    <row r="105" spans="1:6" x14ac:dyDescent="0.15">
      <c r="A105" t="s">
        <v>981</v>
      </c>
      <c r="B105" s="17">
        <v>40992</v>
      </c>
      <c r="C105" s="18">
        <f t="shared" si="2"/>
        <v>5.0734293248472541E-3</v>
      </c>
      <c r="D105">
        <v>5</v>
      </c>
      <c r="E105" t="str">
        <f>VLOOKUP(D105,Validation!$A$2:$C$41,3,FALSE)</f>
        <v>CFB</v>
      </c>
      <c r="F105" t="s">
        <v>1351</v>
      </c>
    </row>
    <row r="106" spans="1:6" x14ac:dyDescent="0.15">
      <c r="A106" t="s">
        <v>972</v>
      </c>
      <c r="B106" s="17">
        <v>37036</v>
      </c>
      <c r="C106" s="18">
        <f t="shared" si="2"/>
        <v>4.5838097305582279E-3</v>
      </c>
      <c r="D106">
        <v>27</v>
      </c>
      <c r="E106" t="str">
        <f>VLOOKUP(D106,Validation!$A$2:$C$41,3,FALSE)</f>
        <v xml:space="preserve">NFL </v>
      </c>
      <c r="F106" t="s">
        <v>1350</v>
      </c>
    </row>
    <row r="107" spans="1:6" x14ac:dyDescent="0.15">
      <c r="A107" t="s">
        <v>994</v>
      </c>
      <c r="B107" s="17">
        <v>29236</v>
      </c>
      <c r="C107" s="18">
        <f t="shared" si="2"/>
        <v>3.6184323707365903E-3</v>
      </c>
      <c r="D107">
        <v>4</v>
      </c>
      <c r="E107" t="str">
        <f>VLOOKUP(D107,Validation!$A$2:$C$41,3,FALSE)</f>
        <v>MCB</v>
      </c>
      <c r="F107" t="s">
        <v>1351</v>
      </c>
    </row>
  </sheetData>
  <pageMargins left="0.7" right="0.7" top="0.75" bottom="0.75" header="0.3" footer="0.3"/>
  <pageSetup orientation="portrait" verticalDpi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 enableFormatConditionsCalculation="0"/>
  <dimension ref="A1:F95"/>
  <sheetViews>
    <sheetView topLeftCell="A66" zoomScale="85" zoomScaleNormal="85" zoomScalePageLayoutView="85" workbookViewId="0">
      <selection activeCell="F91" sqref="F91"/>
    </sheetView>
  </sheetViews>
  <sheetFormatPr baseColWidth="10" defaultColWidth="8.83203125" defaultRowHeight="13" x14ac:dyDescent="0.15"/>
  <cols>
    <col min="1" max="1" width="33.33203125" bestFit="1" customWidth="1"/>
    <col min="2" max="2" width="10.5" bestFit="1" customWidth="1"/>
  </cols>
  <sheetData>
    <row r="1" spans="1:3" x14ac:dyDescent="0.15">
      <c r="A1" t="s">
        <v>533</v>
      </c>
      <c r="B1" t="s">
        <v>807</v>
      </c>
      <c r="C1" t="s">
        <v>811</v>
      </c>
    </row>
    <row r="2" spans="1:3" x14ac:dyDescent="0.15">
      <c r="A2" t="s">
        <v>0</v>
      </c>
      <c r="B2" s="17">
        <f>IFERROR(SUMIFS('Full List'!B:B,'Full List'!A:A,IN!$A2,'Full List'!E:E,IN!$A$1),"")</f>
        <v>2212730</v>
      </c>
      <c r="C2" s="18">
        <f>IFERROR(B2/$B$2,"")</f>
        <v>1</v>
      </c>
    </row>
    <row r="3" spans="1:3" x14ac:dyDescent="0.15">
      <c r="A3" t="s">
        <v>3</v>
      </c>
      <c r="B3" s="17">
        <f>IFERROR(SUMIFS('Full List'!B:B,'Full List'!A:A,IN!$A3,'Full List'!E:E,IN!$A$1),"")</f>
        <v>17459</v>
      </c>
      <c r="C3" s="18">
        <f t="shared" ref="C3:C66" si="0">IFERROR(B3/$B$2,"")</f>
        <v>7.8902532166147694E-3</v>
      </c>
    </row>
    <row r="4" spans="1:3" x14ac:dyDescent="0.15">
      <c r="A4" t="s">
        <v>4</v>
      </c>
      <c r="B4" s="17">
        <f>IFERROR(SUMIFS('Full List'!B:B,'Full List'!A:A,IN!$A4,'Full List'!E:E,IN!$A$1),"")</f>
        <v>25303</v>
      </c>
      <c r="C4" s="18">
        <f t="shared" si="0"/>
        <v>1.1435195437310471E-2</v>
      </c>
    </row>
    <row r="5" spans="1:3" x14ac:dyDescent="0.15">
      <c r="A5" t="s">
        <v>5</v>
      </c>
      <c r="B5" s="17">
        <f>IFERROR(SUMIFS('Full List'!B:B,'Full List'!A:A,IN!$A5,'Full List'!E:E,IN!$A$1),"")</f>
        <v>71871</v>
      </c>
      <c r="C5" s="18">
        <f t="shared" si="0"/>
        <v>3.2480691272771645E-2</v>
      </c>
    </row>
    <row r="6" spans="1:3" x14ac:dyDescent="0.15">
      <c r="A6" t="s">
        <v>6</v>
      </c>
      <c r="B6" s="17">
        <f>IFERROR(SUMIFS('Full List'!B:B,'Full List'!A:A,IN!$A6,'Full List'!E:E,IN!$A$1),"")</f>
        <v>414966</v>
      </c>
      <c r="C6" s="18">
        <f t="shared" si="0"/>
        <v>0.18753575899454519</v>
      </c>
    </row>
    <row r="7" spans="1:3" x14ac:dyDescent="0.15">
      <c r="A7" t="s">
        <v>7</v>
      </c>
      <c r="B7" s="17">
        <f>IFERROR(SUMIFS('Full List'!B:B,'Full List'!A:A,IN!$A7,'Full List'!E:E,IN!$A$1),"")</f>
        <v>426041</v>
      </c>
      <c r="C7" s="18">
        <f t="shared" si="0"/>
        <v>0.1925408884048212</v>
      </c>
    </row>
    <row r="8" spans="1:3" x14ac:dyDescent="0.15">
      <c r="A8" t="s">
        <v>8</v>
      </c>
      <c r="B8" s="17">
        <f>IFERROR(SUMIFS('Full List'!B:B,'Full List'!A:A,IN!$A8,'Full List'!E:E,IN!$A$1),"")</f>
        <v>24303</v>
      </c>
      <c r="C8" s="18">
        <f t="shared" si="0"/>
        <v>1.0983265016518057E-2</v>
      </c>
    </row>
    <row r="9" spans="1:3" x14ac:dyDescent="0.15">
      <c r="A9" t="s">
        <v>9</v>
      </c>
      <c r="B9" s="17">
        <f>IFERROR(SUMIFS('Full List'!B:B,'Full List'!A:A,IN!$A9,'Full List'!E:E,IN!$A$1),"")</f>
        <v>32387</v>
      </c>
      <c r="C9" s="18">
        <f t="shared" si="0"/>
        <v>1.4636670538203939E-2</v>
      </c>
    </row>
    <row r="10" spans="1:3" x14ac:dyDescent="0.15">
      <c r="A10" t="s">
        <v>10</v>
      </c>
      <c r="B10" s="17">
        <f>IFERROR(SUMIFS('Full List'!B:B,'Full List'!A:A,IN!$A10,'Full List'!E:E,IN!$A$1),"")</f>
        <v>28890</v>
      </c>
      <c r="C10" s="18">
        <f t="shared" si="0"/>
        <v>1.3056269856692863E-2</v>
      </c>
    </row>
    <row r="11" spans="1:3" x14ac:dyDescent="0.15">
      <c r="A11" t="s">
        <v>11</v>
      </c>
      <c r="B11" s="17">
        <f>IFERROR(SUMIFS('Full List'!B:B,'Full List'!A:A,IN!$A11,'Full List'!E:E,IN!$A$1),"")</f>
        <v>120434</v>
      </c>
      <c r="C11" s="18">
        <f t="shared" si="0"/>
        <v>5.4427788297713685E-2</v>
      </c>
    </row>
    <row r="12" spans="1:3" x14ac:dyDescent="0.15">
      <c r="A12" t="s">
        <v>12</v>
      </c>
      <c r="B12" s="17">
        <f>IFERROR(SUMIFS('Full List'!B:B,'Full List'!A:A,IN!$A12,'Full List'!E:E,IN!$A$1),"")</f>
        <v>35326</v>
      </c>
      <c r="C12" s="18">
        <f t="shared" si="0"/>
        <v>1.5964894044912845E-2</v>
      </c>
    </row>
    <row r="13" spans="1:3" x14ac:dyDescent="0.15">
      <c r="A13" t="s">
        <v>13</v>
      </c>
      <c r="B13" s="17">
        <f>IFERROR(SUMIFS('Full List'!B:B,'Full List'!A:A,IN!$A13,'Full List'!E:E,IN!$A$1),"")</f>
        <v>20996</v>
      </c>
      <c r="C13" s="18">
        <f t="shared" si="0"/>
        <v>9.488731114957542E-3</v>
      </c>
    </row>
    <row r="14" spans="1:3" x14ac:dyDescent="0.15">
      <c r="A14" t="s">
        <v>14</v>
      </c>
      <c r="B14" s="17">
        <f>IFERROR(SUMIFS('Full List'!B:B,'Full List'!A:A,IN!$A14,'Full List'!E:E,IN!$A$1),"")</f>
        <v>123379</v>
      </c>
      <c r="C14" s="18">
        <f t="shared" si="0"/>
        <v>5.5758723386947345E-2</v>
      </c>
    </row>
    <row r="15" spans="1:3" x14ac:dyDescent="0.15">
      <c r="A15" t="s">
        <v>15</v>
      </c>
      <c r="B15" s="17">
        <f>IFERROR(SUMIFS('Full List'!B:B,'Full List'!A:A,IN!$A15,'Full List'!E:E,IN!$A$1),"")</f>
        <v>144331</v>
      </c>
      <c r="C15" s="18">
        <f t="shared" si="0"/>
        <v>6.5227569563390014E-2</v>
      </c>
    </row>
    <row r="16" spans="1:3" x14ac:dyDescent="0.15">
      <c r="A16" t="s">
        <v>16</v>
      </c>
      <c r="B16" s="17">
        <f>IFERROR(SUMIFS('Full List'!B:B,'Full List'!A:A,IN!$A16,'Full List'!E:E,IN!$A$1),"")</f>
        <v>54484</v>
      </c>
      <c r="C16" s="18">
        <f t="shared" si="0"/>
        <v>2.4622977046453928E-2</v>
      </c>
    </row>
    <row r="17" spans="1:3" x14ac:dyDescent="0.15">
      <c r="A17" t="s">
        <v>17</v>
      </c>
      <c r="B17" s="17">
        <f>IFERROR(SUMIFS('Full List'!B:B,'Full List'!A:A,IN!$A17,'Full List'!E:E,IN!$A$1),"")</f>
        <v>184586</v>
      </c>
      <c r="C17" s="18">
        <f t="shared" si="0"/>
        <v>8.3420028652388678E-2</v>
      </c>
    </row>
    <row r="18" spans="1:3" x14ac:dyDescent="0.15">
      <c r="A18" t="s">
        <v>18</v>
      </c>
      <c r="B18" s="17">
        <f>IFERROR(SUMIFS('Full List'!B:B,'Full List'!A:A,IN!$A18,'Full List'!E:E,IN!$A$1),"")</f>
        <v>24469</v>
      </c>
      <c r="C18" s="18">
        <f t="shared" si="0"/>
        <v>1.1058285466369598E-2</v>
      </c>
    </row>
    <row r="19" spans="1:3" x14ac:dyDescent="0.15">
      <c r="A19" t="s">
        <v>19</v>
      </c>
      <c r="B19" s="17">
        <f>IFERROR(SUMIFS('Full List'!B:B,'Full List'!A:A,IN!$A19,'Full List'!E:E,IN!$A$1),"")</f>
        <v>199104</v>
      </c>
      <c r="C19" s="18">
        <f t="shared" si="0"/>
        <v>8.9981154501452956E-2</v>
      </c>
    </row>
    <row r="20" spans="1:3" x14ac:dyDescent="0.15">
      <c r="A20" t="s">
        <v>20</v>
      </c>
      <c r="B20" s="17">
        <f>IFERROR(SUMIFS('Full List'!B:B,'Full List'!A:A,IN!$A20,'Full List'!E:E,IN!$A$1),"")</f>
        <v>29136</v>
      </c>
      <c r="C20" s="18">
        <f t="shared" si="0"/>
        <v>1.3167444740207798E-2</v>
      </c>
    </row>
    <row r="21" spans="1:3" x14ac:dyDescent="0.15">
      <c r="A21" t="s">
        <v>21</v>
      </c>
      <c r="B21" s="17">
        <f>IFERROR(SUMIFS('Full List'!B:B,'Full List'!A:A,IN!$A21,'Full List'!E:E,IN!$A$1),"")</f>
        <v>47832</v>
      </c>
      <c r="C21" s="18">
        <f t="shared" si="0"/>
        <v>2.1616735887342784E-2</v>
      </c>
    </row>
    <row r="22" spans="1:3" x14ac:dyDescent="0.15">
      <c r="A22" t="s">
        <v>22</v>
      </c>
      <c r="B22" s="17">
        <f>IFERROR(SUMIFS('Full List'!B:B,'Full List'!A:A,IN!$A22,'Full List'!E:E,IN!$A$1),"")</f>
        <v>17198</v>
      </c>
      <c r="C22" s="18">
        <f t="shared" si="0"/>
        <v>7.7722993767879497E-3</v>
      </c>
    </row>
    <row r="23" spans="1:3" x14ac:dyDescent="0.15">
      <c r="A23" t="s">
        <v>23</v>
      </c>
      <c r="B23" s="17">
        <f>IFERROR(SUMIFS('Full List'!B:B,'Full List'!A:A,IN!$A23,'Full List'!E:E,IN!$A$1),"")</f>
        <v>37920</v>
      </c>
      <c r="C23" s="18">
        <f t="shared" si="0"/>
        <v>1.7137201556448368E-2</v>
      </c>
    </row>
    <row r="24" spans="1:3" x14ac:dyDescent="0.15">
      <c r="A24" t="s">
        <v>24</v>
      </c>
      <c r="B24" s="17">
        <f>IFERROR(SUMIFS('Full List'!B:B,'Full List'!A:A,IN!$A24,'Full List'!E:E,IN!$A$1),"")</f>
        <v>6702</v>
      </c>
      <c r="C24" s="18">
        <f t="shared" si="0"/>
        <v>3.0288376801507642E-3</v>
      </c>
    </row>
    <row r="25" spans="1:3" x14ac:dyDescent="0.15">
      <c r="A25" t="s">
        <v>25</v>
      </c>
      <c r="B25" s="17">
        <f>IFERROR(SUMIFS('Full List'!B:B,'Full List'!A:A,IN!$A25,'Full List'!E:E,IN!$A$1),"")</f>
        <v>74277</v>
      </c>
      <c r="C25" s="18">
        <f t="shared" si="0"/>
        <v>3.3568035865198194E-2</v>
      </c>
    </row>
    <row r="26" spans="1:3" x14ac:dyDescent="0.15">
      <c r="A26" t="s">
        <v>26</v>
      </c>
      <c r="B26" s="17">
        <f>IFERROR(SUMIFS('Full List'!B:B,'Full List'!A:A,IN!$A26,'Full List'!E:E,IN!$A$1),"")</f>
        <v>34563</v>
      </c>
      <c r="C26" s="18">
        <f t="shared" si="0"/>
        <v>1.5620071133848232E-2</v>
      </c>
    </row>
    <row r="27" spans="1:3" x14ac:dyDescent="0.15">
      <c r="A27" t="s">
        <v>27</v>
      </c>
      <c r="B27" s="17">
        <f>IFERROR(SUMIFS('Full List'!B:B,'Full List'!A:A,IN!$A27,'Full List'!E:E,IN!$A$1),"")</f>
        <v>329784</v>
      </c>
      <c r="C27" s="18">
        <f t="shared" si="0"/>
        <v>0.14903942189060573</v>
      </c>
    </row>
    <row r="28" spans="1:3" x14ac:dyDescent="0.15">
      <c r="A28" t="s">
        <v>28</v>
      </c>
      <c r="B28" s="17">
        <f>IFERROR(SUMIFS('Full List'!B:B,'Full List'!A:A,IN!$A28,'Full List'!E:E,IN!$A$1),"")</f>
        <v>187365</v>
      </c>
      <c r="C28" s="18">
        <f t="shared" si="0"/>
        <v>8.4675943291770805E-2</v>
      </c>
    </row>
    <row r="29" spans="1:3" x14ac:dyDescent="0.15">
      <c r="A29" t="s">
        <v>29</v>
      </c>
      <c r="B29" s="17">
        <f>IFERROR(SUMIFS('Full List'!B:B,'Full List'!A:A,IN!$A29,'Full List'!E:E,IN!$A$1),"")</f>
        <v>766745</v>
      </c>
      <c r="C29" s="18">
        <f t="shared" si="0"/>
        <v>0.34651539049048008</v>
      </c>
    </row>
    <row r="30" spans="1:3" x14ac:dyDescent="0.15">
      <c r="A30" t="s">
        <v>30</v>
      </c>
      <c r="B30" s="17">
        <f>IFERROR(SUMIFS('Full List'!B:B,'Full List'!A:A,IN!$A30,'Full List'!E:E,IN!$A$1),"")</f>
        <v>52153</v>
      </c>
      <c r="C30" s="18">
        <f t="shared" si="0"/>
        <v>2.356952723558681E-2</v>
      </c>
    </row>
    <row r="31" spans="1:3" x14ac:dyDescent="0.15">
      <c r="A31" t="s">
        <v>31</v>
      </c>
      <c r="B31" s="17">
        <f>IFERROR(SUMIFS('Full List'!B:B,'Full List'!A:A,IN!$A31,'Full List'!E:E,IN!$A$1),"")</f>
        <v>13871</v>
      </c>
      <c r="C31" s="18">
        <f t="shared" si="0"/>
        <v>6.2687268668115857E-3</v>
      </c>
    </row>
    <row r="32" spans="1:3" x14ac:dyDescent="0.15">
      <c r="A32" t="s">
        <v>32</v>
      </c>
      <c r="B32" s="17">
        <f>IFERROR(SUMIFS('Full List'!B:B,'Full List'!A:A,IN!$A32,'Full List'!E:E,IN!$A$1),"")</f>
        <v>96555</v>
      </c>
      <c r="C32" s="18">
        <f t="shared" si="0"/>
        <v>4.3636141779611608E-2</v>
      </c>
    </row>
    <row r="33" spans="1:3" x14ac:dyDescent="0.15">
      <c r="A33" t="s">
        <v>33</v>
      </c>
      <c r="B33" s="17">
        <f>IFERROR(SUMIFS('Full List'!B:B,'Full List'!A:A,IN!$A33,'Full List'!E:E,IN!$A$1),"")</f>
        <v>533715</v>
      </c>
      <c r="C33" s="18">
        <f t="shared" si="0"/>
        <v>0.24120204453322366</v>
      </c>
    </row>
    <row r="34" spans="1:3" x14ac:dyDescent="0.15">
      <c r="A34" t="s">
        <v>34</v>
      </c>
      <c r="B34" s="17">
        <f>IFERROR(SUMIFS('Full List'!B:B,'Full List'!A:A,IN!$A34,'Full List'!E:E,IN!$A$1),"")</f>
        <v>146760</v>
      </c>
      <c r="C34" s="18">
        <f t="shared" si="0"/>
        <v>6.6325308555494802E-2</v>
      </c>
    </row>
    <row r="35" spans="1:3" x14ac:dyDescent="0.15">
      <c r="A35" t="s">
        <v>35</v>
      </c>
      <c r="B35" s="17">
        <f>IFERROR(SUMIFS('Full List'!B:B,'Full List'!A:A,IN!$A35,'Full List'!E:E,IN!$A$1),"")</f>
        <v>47771</v>
      </c>
      <c r="C35" s="18">
        <f t="shared" si="0"/>
        <v>2.1589168131674448E-2</v>
      </c>
    </row>
    <row r="36" spans="1:3" x14ac:dyDescent="0.15">
      <c r="A36" t="s">
        <v>36</v>
      </c>
      <c r="B36" s="17">
        <f>IFERROR(SUMIFS('Full List'!B:B,'Full List'!A:A,IN!$A36,'Full List'!E:E,IN!$A$1),"")</f>
        <v>18358</v>
      </c>
      <c r="C36" s="18">
        <f t="shared" si="0"/>
        <v>8.296538664907151E-3</v>
      </c>
    </row>
    <row r="37" spans="1:3" x14ac:dyDescent="0.15">
      <c r="A37" t="s">
        <v>37</v>
      </c>
      <c r="B37" s="17">
        <f>IFERROR(SUMIFS('Full List'!B:B,'Full List'!A:A,IN!$A37,'Full List'!E:E,IN!$A$1),"")</f>
        <v>19035</v>
      </c>
      <c r="C37" s="18">
        <f t="shared" si="0"/>
        <v>8.6024955597836152E-3</v>
      </c>
    </row>
    <row r="38" spans="1:3" x14ac:dyDescent="0.15">
      <c r="A38" t="s">
        <v>38</v>
      </c>
      <c r="B38" s="17">
        <f>IFERROR(SUMIFS('Full List'!B:B,'Full List'!A:A,IN!$A38,'Full List'!E:E,IN!$A$1),"")</f>
        <v>50256</v>
      </c>
      <c r="C38" s="18">
        <f t="shared" si="0"/>
        <v>2.27122152273436E-2</v>
      </c>
    </row>
    <row r="39" spans="1:3" x14ac:dyDescent="0.15">
      <c r="A39" t="s">
        <v>39</v>
      </c>
      <c r="B39" s="17">
        <f>IFERROR(SUMIFS('Full List'!B:B,'Full List'!A:A,IN!$A39,'Full List'!E:E,IN!$A$1),"")</f>
        <v>72397</v>
      </c>
      <c r="C39" s="18">
        <f t="shared" si="0"/>
        <v>3.2718406674108455E-2</v>
      </c>
    </row>
    <row r="40" spans="1:3" x14ac:dyDescent="0.15">
      <c r="A40" t="s">
        <v>40</v>
      </c>
      <c r="B40" s="17">
        <f>IFERROR(SUMIFS('Full List'!B:B,'Full List'!A:A,IN!$A40,'Full List'!E:E,IN!$A$1),"")</f>
        <v>43338</v>
      </c>
      <c r="C40" s="18">
        <f t="shared" si="0"/>
        <v>1.9585760576301674E-2</v>
      </c>
    </row>
    <row r="41" spans="1:3" x14ac:dyDescent="0.15">
      <c r="A41" t="s">
        <v>41</v>
      </c>
      <c r="B41" s="17">
        <f>IFERROR(SUMIFS('Full List'!B:B,'Full List'!A:A,IN!$A41,'Full List'!E:E,IN!$A$1),"")</f>
        <v>43669</v>
      </c>
      <c r="C41" s="18">
        <f t="shared" si="0"/>
        <v>1.9735349545583963E-2</v>
      </c>
    </row>
    <row r="42" spans="1:3" x14ac:dyDescent="0.15">
      <c r="A42" t="s">
        <v>42</v>
      </c>
      <c r="B42" s="17">
        <f>IFERROR(SUMIFS('Full List'!B:B,'Full List'!A:A,IN!$A42,'Full List'!E:E,IN!$A$1),"")</f>
        <v>50975</v>
      </c>
      <c r="C42" s="18">
        <f t="shared" si="0"/>
        <v>2.3037153199893346E-2</v>
      </c>
    </row>
    <row r="43" spans="1:3" x14ac:dyDescent="0.15">
      <c r="A43" t="s">
        <v>43</v>
      </c>
      <c r="B43" s="17">
        <f>IFERROR(SUMIFS('Full List'!B:B,'Full List'!A:A,IN!$A43,'Full List'!E:E,IN!$A$1),"")</f>
        <v>227991</v>
      </c>
      <c r="C43" s="18">
        <f t="shared" si="0"/>
        <v>0.10303606856688344</v>
      </c>
    </row>
    <row r="44" spans="1:3" x14ac:dyDescent="0.15">
      <c r="A44" t="s">
        <v>44</v>
      </c>
      <c r="B44" s="17">
        <f>IFERROR(SUMIFS('Full List'!B:B,'Full List'!A:A,IN!$A44,'Full List'!E:E,IN!$A$1),"")</f>
        <v>253755</v>
      </c>
      <c r="C44" s="18">
        <f t="shared" si="0"/>
        <v>0.11467960392817922</v>
      </c>
    </row>
    <row r="45" spans="1:3" x14ac:dyDescent="0.15">
      <c r="A45" t="s">
        <v>45</v>
      </c>
      <c r="B45" s="17">
        <f>IFERROR(SUMIFS('Full List'!B:B,'Full List'!A:A,IN!$A45,'Full List'!E:E,IN!$A$1),"")</f>
        <v>411281</v>
      </c>
      <c r="C45" s="18">
        <f t="shared" si="0"/>
        <v>0.18587039539392516</v>
      </c>
    </row>
    <row r="46" spans="1:3" x14ac:dyDescent="0.15">
      <c r="A46" t="s">
        <v>46</v>
      </c>
      <c r="B46" s="17">
        <f>IFERROR(SUMIFS('Full List'!B:B,'Full List'!A:A,IN!$A46,'Full List'!E:E,IN!$A$1),"")</f>
        <v>976828</v>
      </c>
      <c r="C46" s="18">
        <f t="shared" si="0"/>
        <v>0.44145828908181295</v>
      </c>
    </row>
    <row r="47" spans="1:3" x14ac:dyDescent="0.15">
      <c r="A47" t="s">
        <v>47</v>
      </c>
      <c r="B47" s="17">
        <f>IFERROR(SUMIFS('Full List'!B:B,'Full List'!A:A,IN!$A47,'Full List'!E:E,IN!$A$1),"")</f>
        <v>969438</v>
      </c>
      <c r="C47" s="18">
        <f t="shared" si="0"/>
        <v>0.438118523272157</v>
      </c>
    </row>
    <row r="48" spans="1:3" x14ac:dyDescent="0.15">
      <c r="A48" t="s">
        <v>48</v>
      </c>
      <c r="B48" s="17">
        <f>IFERROR(SUMIFS('Full List'!B:B,'Full List'!A:A,IN!$A48,'Full List'!E:E,IN!$A$1),"")</f>
        <v>165532</v>
      </c>
      <c r="C48" s="18">
        <f t="shared" si="0"/>
        <v>7.480894641461E-2</v>
      </c>
    </row>
    <row r="49" spans="1:3" x14ac:dyDescent="0.15">
      <c r="A49" t="s">
        <v>49</v>
      </c>
      <c r="B49" s="17">
        <f>IFERROR(SUMIFS('Full List'!B:B,'Full List'!A:A,IN!$A49,'Full List'!E:E,IN!$A$1),"")</f>
        <v>161778</v>
      </c>
      <c r="C49" s="18">
        <f t="shared" si="0"/>
        <v>7.3112399614955276E-2</v>
      </c>
    </row>
    <row r="50" spans="1:3" x14ac:dyDescent="0.15">
      <c r="A50" t="s">
        <v>50</v>
      </c>
      <c r="B50" s="17">
        <f>IFERROR(SUMIFS('Full List'!B:B,'Full List'!A:A,IN!$A50,'Full List'!E:E,IN!$A$1),"")</f>
        <v>332633</v>
      </c>
      <c r="C50" s="18">
        <f t="shared" si="0"/>
        <v>0.15032697165944331</v>
      </c>
    </row>
    <row r="51" spans="1:3" x14ac:dyDescent="0.15">
      <c r="A51" t="s">
        <v>51</v>
      </c>
      <c r="B51" s="17">
        <f>IFERROR(SUMIFS('Full List'!B:B,'Full List'!A:A,IN!$A51,'Full List'!E:E,IN!$A$1),"")</f>
        <v>616505</v>
      </c>
      <c r="C51" s="18">
        <f t="shared" si="0"/>
        <v>0.2786173640706277</v>
      </c>
    </row>
    <row r="52" spans="1:3" x14ac:dyDescent="0.15">
      <c r="A52" t="s">
        <v>52</v>
      </c>
      <c r="B52" s="17">
        <f>IFERROR(SUMIFS('Full List'!B:B,'Full List'!A:A,IN!$A52,'Full List'!E:E,IN!$A$1),"")</f>
        <v>378524</v>
      </c>
      <c r="C52" s="18">
        <f t="shared" si="0"/>
        <v>0.17106651060002803</v>
      </c>
    </row>
    <row r="53" spans="1:3" x14ac:dyDescent="0.15">
      <c r="A53" t="s">
        <v>53</v>
      </c>
      <c r="B53" s="17">
        <f>IFERROR(SUMIFS('Full List'!B:B,'Full List'!A:A,IN!$A53,'Full List'!E:E,IN!$A$1),"")</f>
        <v>244533</v>
      </c>
      <c r="C53" s="18">
        <f t="shared" si="0"/>
        <v>0.11051190158763156</v>
      </c>
    </row>
    <row r="54" spans="1:3" x14ac:dyDescent="0.15">
      <c r="A54" t="s">
        <v>54</v>
      </c>
      <c r="B54" s="17">
        <f>IFERROR(SUMIFS('Full List'!B:B,'Full List'!A:A,IN!$A54,'Full List'!E:E,IN!$A$1),"")</f>
        <v>744588</v>
      </c>
      <c r="C54" s="18">
        <f t="shared" si="0"/>
        <v>0.33650196815698258</v>
      </c>
    </row>
    <row r="55" spans="1:3" x14ac:dyDescent="0.15">
      <c r="A55" t="s">
        <v>55</v>
      </c>
      <c r="B55" s="17">
        <f>IFERROR(SUMIFS('Full List'!B:B,'Full List'!A:A,IN!$A55,'Full List'!E:E,IN!$A$1),"")</f>
        <v>725074</v>
      </c>
      <c r="C55" s="18">
        <f t="shared" si="0"/>
        <v>0.32768299792563937</v>
      </c>
    </row>
    <row r="56" spans="1:3" x14ac:dyDescent="0.15">
      <c r="A56" t="s">
        <v>56</v>
      </c>
      <c r="B56" s="17">
        <f>IFERROR(SUMIFS('Full List'!B:B,'Full List'!A:A,IN!$A56,'Full List'!E:E,IN!$A$1),"")</f>
        <v>525939</v>
      </c>
      <c r="C56" s="18">
        <f t="shared" si="0"/>
        <v>0.23768783358114184</v>
      </c>
    </row>
    <row r="57" spans="1:3" x14ac:dyDescent="0.15">
      <c r="A57" t="s">
        <v>57</v>
      </c>
      <c r="B57" s="17">
        <f>IFERROR(SUMIFS('Full List'!B:B,'Full List'!A:A,IN!$A57,'Full List'!E:E,IN!$A$1),"")</f>
        <v>851742</v>
      </c>
      <c r="C57" s="18">
        <f t="shared" si="0"/>
        <v>0.38492812046657299</v>
      </c>
    </row>
    <row r="58" spans="1:3" x14ac:dyDescent="0.15">
      <c r="A58" t="s">
        <v>58</v>
      </c>
      <c r="B58" s="17">
        <f>IFERROR(SUMIFS('Full List'!B:B,'Full List'!A:A,IN!$A58,'Full List'!E:E,IN!$A$1),"")</f>
        <v>256051</v>
      </c>
      <c r="C58" s="18">
        <f t="shared" si="0"/>
        <v>0.1157172361743186</v>
      </c>
    </row>
    <row r="59" spans="1:3" x14ac:dyDescent="0.15">
      <c r="A59" t="s">
        <v>59</v>
      </c>
      <c r="B59" s="17">
        <f>IFERROR(SUMIFS('Full List'!B:B,'Full List'!A:A,IN!$A59,'Full List'!E:E,IN!$A$1),"")</f>
        <v>986759</v>
      </c>
      <c r="C59" s="18">
        <f t="shared" si="0"/>
        <v>0.44594641009070246</v>
      </c>
    </row>
    <row r="60" spans="1:3" x14ac:dyDescent="0.15">
      <c r="A60" t="s">
        <v>60</v>
      </c>
      <c r="B60" s="17">
        <f>IFERROR(SUMIFS('Full List'!B:B,'Full List'!A:A,IN!$A60,'Full List'!E:E,IN!$A$1),"")</f>
        <v>213212</v>
      </c>
      <c r="C60" s="18">
        <f t="shared" si="0"/>
        <v>9.635698887799235E-2</v>
      </c>
    </row>
    <row r="61" spans="1:3" x14ac:dyDescent="0.15">
      <c r="A61" t="s">
        <v>61</v>
      </c>
      <c r="B61" s="17">
        <f>IFERROR(SUMIFS('Full List'!B:B,'Full List'!A:A,IN!$A61,'Full List'!E:E,IN!$A$1),"")</f>
        <v>350527</v>
      </c>
      <c r="C61" s="18">
        <f t="shared" si="0"/>
        <v>0.15841381460910278</v>
      </c>
    </row>
    <row r="62" spans="1:3" x14ac:dyDescent="0.15">
      <c r="A62" t="s">
        <v>62</v>
      </c>
      <c r="B62" s="17">
        <f>IFERROR(SUMIFS('Full List'!B:B,'Full List'!A:A,IN!$A62,'Full List'!E:E,IN!$A$1),"")</f>
        <v>81464</v>
      </c>
      <c r="C62" s="18">
        <f t="shared" si="0"/>
        <v>3.6816059799433282E-2</v>
      </c>
    </row>
    <row r="63" spans="1:3" x14ac:dyDescent="0.15">
      <c r="A63" t="s">
        <v>63</v>
      </c>
      <c r="B63" s="17">
        <f>IFERROR(SUMIFS('Full List'!B:B,'Full List'!A:A,IN!$A63,'Full List'!E:E,IN!$A$1),"")</f>
        <v>395209</v>
      </c>
      <c r="C63" s="18">
        <f t="shared" si="0"/>
        <v>0.17860696967094947</v>
      </c>
    </row>
    <row r="64" spans="1:3" x14ac:dyDescent="0.15">
      <c r="A64" t="s">
        <v>64</v>
      </c>
      <c r="B64" s="17">
        <f>IFERROR(SUMIFS('Full List'!B:B,'Full List'!A:A,IN!$A64,'Full List'!E:E,IN!$A$1),"")</f>
        <v>148923</v>
      </c>
      <c r="C64" s="18">
        <f t="shared" si="0"/>
        <v>6.7302834055668795E-2</v>
      </c>
    </row>
    <row r="65" spans="1:3" x14ac:dyDescent="0.15">
      <c r="A65" t="s">
        <v>65</v>
      </c>
      <c r="B65" s="17">
        <f>IFERROR(SUMIFS('Full List'!B:B,'Full List'!A:A,IN!$A65,'Full List'!E:E,IN!$A$1),"")</f>
        <v>438801</v>
      </c>
      <c r="C65" s="18">
        <f t="shared" si="0"/>
        <v>0.1983075205741324</v>
      </c>
    </row>
    <row r="66" spans="1:3" x14ac:dyDescent="0.15">
      <c r="A66" t="s">
        <v>66</v>
      </c>
      <c r="B66" s="17">
        <f>IFERROR(SUMIFS('Full List'!B:B,'Full List'!A:A,IN!$A66,'Full List'!E:E,IN!$A$1),"")</f>
        <v>238162</v>
      </c>
      <c r="C66" s="18">
        <f t="shared" si="0"/>
        <v>0.10763265287676309</v>
      </c>
    </row>
    <row r="67" spans="1:3" x14ac:dyDescent="0.15">
      <c r="A67" t="s">
        <v>67</v>
      </c>
      <c r="B67" s="17">
        <f>IFERROR(SUMIFS('Full List'!B:B,'Full List'!A:A,IN!$A67,'Full List'!E:E,IN!$A$1),"")</f>
        <v>945862</v>
      </c>
      <c r="C67" s="18">
        <f t="shared" ref="C67:C82" si="1">IFERROR(B67/$B$2,"")</f>
        <v>0.42746381167155506</v>
      </c>
    </row>
    <row r="68" spans="1:3" x14ac:dyDescent="0.15">
      <c r="A68" t="s">
        <v>68</v>
      </c>
      <c r="B68" s="17">
        <f>IFERROR(SUMIFS('Full List'!B:B,'Full List'!A:A,IN!$A68,'Full List'!E:E,IN!$A$1),"")</f>
        <v>955970</v>
      </c>
      <c r="C68" s="18">
        <f t="shared" si="1"/>
        <v>0.43203192436492477</v>
      </c>
    </row>
    <row r="69" spans="1:3" x14ac:dyDescent="0.15">
      <c r="A69" t="s">
        <v>69</v>
      </c>
      <c r="B69" s="17">
        <f>IFERROR(SUMIFS('Full List'!B:B,'Full List'!A:A,IN!$A69,'Full List'!E:E,IN!$A$1),"")</f>
        <v>1561492</v>
      </c>
      <c r="C69" s="18">
        <f t="shared" si="1"/>
        <v>0.70568573662398937</v>
      </c>
    </row>
    <row r="70" spans="1:3" x14ac:dyDescent="0.15">
      <c r="A70" t="s">
        <v>70</v>
      </c>
      <c r="B70" s="17">
        <f>IFERROR(SUMIFS('Full List'!B:B,'Full List'!A:A,IN!$A70,'Full List'!E:E,IN!$A$1),"")</f>
        <v>380733</v>
      </c>
      <c r="C70" s="18">
        <f t="shared" si="1"/>
        <v>0.17206482489955846</v>
      </c>
    </row>
    <row r="71" spans="1:3" x14ac:dyDescent="0.15">
      <c r="A71" t="s">
        <v>71</v>
      </c>
      <c r="B71" s="17">
        <f>IFERROR(SUMIFS('Full List'!B:B,'Full List'!A:A,IN!$A71,'Full List'!E:E,IN!$A$1),"")</f>
        <v>130625</v>
      </c>
      <c r="C71" s="18">
        <f t="shared" si="1"/>
        <v>5.9033411216009184E-2</v>
      </c>
    </row>
    <row r="72" spans="1:3" x14ac:dyDescent="0.15">
      <c r="A72" t="s">
        <v>72</v>
      </c>
      <c r="B72" s="17">
        <f>IFERROR(SUMIFS('Full List'!B:B,'Full List'!A:A,IN!$A72,'Full List'!E:E,IN!$A$1),"")</f>
        <v>458931</v>
      </c>
      <c r="C72" s="18">
        <f t="shared" si="1"/>
        <v>0.20740487994468371</v>
      </c>
    </row>
    <row r="73" spans="1:3" x14ac:dyDescent="0.15">
      <c r="A73" t="s">
        <v>73</v>
      </c>
      <c r="B73" s="17">
        <f>IFERROR(SUMIFS('Full List'!B:B,'Full List'!A:A,IN!$A73,'Full List'!E:E,IN!$A$1),"")</f>
        <v>1222102</v>
      </c>
      <c r="C73" s="18">
        <f t="shared" si="1"/>
        <v>0.55230507111125171</v>
      </c>
    </row>
    <row r="74" spans="1:3" x14ac:dyDescent="0.15">
      <c r="A74" t="s">
        <v>74</v>
      </c>
      <c r="B74" s="17">
        <f>IFERROR(SUMIFS('Full List'!B:B,'Full List'!A:A,IN!$A74,'Full List'!E:E,IN!$A$1),"")</f>
        <v>603711</v>
      </c>
      <c r="C74" s="18">
        <f t="shared" si="1"/>
        <v>0.27283536626700955</v>
      </c>
    </row>
    <row r="75" spans="1:3" x14ac:dyDescent="0.15">
      <c r="A75" t="s">
        <v>75</v>
      </c>
      <c r="B75" s="17">
        <f>IFERROR(SUMIFS('Full List'!B:B,'Full List'!A:A,IN!$A75,'Full List'!E:E,IN!$A$1),"")</f>
        <v>357088</v>
      </c>
      <c r="C75" s="18">
        <f t="shared" si="1"/>
        <v>0.16137893009992182</v>
      </c>
    </row>
    <row r="76" spans="1:3" x14ac:dyDescent="0.15">
      <c r="A76" t="s">
        <v>76</v>
      </c>
      <c r="B76" s="17">
        <f>IFERROR(SUMIFS('Full List'!B:B,'Full List'!A:A,IN!$A76,'Full List'!E:E,IN!$A$1),"")</f>
        <v>293208</v>
      </c>
      <c r="C76" s="18">
        <f t="shared" si="1"/>
        <v>0.13250961481970236</v>
      </c>
    </row>
    <row r="77" spans="1:3" x14ac:dyDescent="0.15">
      <c r="A77" t="s">
        <v>77</v>
      </c>
      <c r="B77" s="17">
        <f>IFERROR(SUMIFS('Full List'!B:B,'Full List'!A:A,IN!$A77,'Full List'!E:E,IN!$A$1),"")</f>
        <v>254496</v>
      </c>
      <c r="C77" s="18">
        <f t="shared" si="1"/>
        <v>0.1150144843699864</v>
      </c>
    </row>
    <row r="78" spans="1:3" x14ac:dyDescent="0.15">
      <c r="A78" t="s">
        <v>78</v>
      </c>
      <c r="B78" s="17">
        <f>IFERROR(SUMIFS('Full List'!B:B,'Full List'!A:A,IN!$A78,'Full List'!E:E,IN!$A$1),"")</f>
        <v>287433</v>
      </c>
      <c r="C78" s="18">
        <f t="shared" si="1"/>
        <v>0.12989971663962616</v>
      </c>
    </row>
    <row r="79" spans="1:3" x14ac:dyDescent="0.15">
      <c r="A79" t="s">
        <v>79</v>
      </c>
      <c r="B79" s="17">
        <f>IFERROR(SUMIFS('Full List'!B:B,'Full List'!A:A,IN!$A79,'Full List'!E:E,IN!$A$1),"")</f>
        <v>391640</v>
      </c>
      <c r="C79" s="18">
        <f t="shared" si="1"/>
        <v>0.17699402999914132</v>
      </c>
    </row>
    <row r="80" spans="1:3" x14ac:dyDescent="0.15">
      <c r="A80" t="s">
        <v>80</v>
      </c>
      <c r="B80" s="17">
        <f>IFERROR(SUMIFS('Full List'!B:B,'Full List'!A:A,IN!$A80,'Full List'!E:E,IN!$A$1),"")</f>
        <v>421059</v>
      </c>
      <c r="C80" s="18">
        <f t="shared" si="1"/>
        <v>0.19028937104843338</v>
      </c>
    </row>
    <row r="81" spans="1:6" x14ac:dyDescent="0.15">
      <c r="A81" t="s">
        <v>81</v>
      </c>
      <c r="B81" s="17">
        <f>IFERROR(SUMIFS('Full List'!B:B,'Full List'!A:A,IN!$A81,'Full List'!E:E,IN!$A$1),"")</f>
        <v>346008</v>
      </c>
      <c r="C81" s="18">
        <f t="shared" si="1"/>
        <v>0.15637154103754186</v>
      </c>
    </row>
    <row r="82" spans="1:6" x14ac:dyDescent="0.15">
      <c r="A82" t="s">
        <v>82</v>
      </c>
      <c r="B82" s="17">
        <f>IFERROR(SUMIFS('Full List'!B:B,'Full List'!A:A,IN!$A82,'Full List'!E:E,IN!$A$1),"")</f>
        <v>210349</v>
      </c>
      <c r="C82" s="18">
        <f t="shared" si="1"/>
        <v>9.5063112083263665E-2</v>
      </c>
    </row>
    <row r="83" spans="1:6" x14ac:dyDescent="0.15">
      <c r="B83" s="17"/>
      <c r="C83" s="18"/>
      <c r="D83" t="s">
        <v>812</v>
      </c>
      <c r="E83" t="s">
        <v>860</v>
      </c>
      <c r="F83" t="s">
        <v>1349</v>
      </c>
    </row>
    <row r="84" spans="1:6" x14ac:dyDescent="0.15">
      <c r="A84" t="s">
        <v>1007</v>
      </c>
      <c r="B84" s="17">
        <v>1435144</v>
      </c>
      <c r="C84" s="18">
        <f t="shared" ref="C84:C95" si="2">IFERROR(B84/$B$2,"")</f>
        <v>0.64858523181770933</v>
      </c>
      <c r="D84">
        <v>27</v>
      </c>
      <c r="E84" t="str">
        <f>VLOOKUP(D84,Validation!$A$2:$C$41,3,FALSE)</f>
        <v xml:space="preserve">NFL </v>
      </c>
      <c r="F84" t="s">
        <v>1350</v>
      </c>
    </row>
    <row r="85" spans="1:6" x14ac:dyDescent="0.15">
      <c r="A85" t="s">
        <v>1006</v>
      </c>
      <c r="B85" s="17">
        <v>795050</v>
      </c>
      <c r="C85" s="18">
        <f t="shared" si="2"/>
        <v>0.3593072810510094</v>
      </c>
      <c r="D85">
        <v>26</v>
      </c>
      <c r="E85" t="str">
        <f>VLOOKUP(D85,Validation!$A$2:$C$41,3,FALSE)</f>
        <v xml:space="preserve">NBA </v>
      </c>
      <c r="F85" t="s">
        <v>1351</v>
      </c>
    </row>
    <row r="86" spans="1:6" x14ac:dyDescent="0.15">
      <c r="A86" t="s">
        <v>1015</v>
      </c>
      <c r="B86" s="17">
        <v>642326</v>
      </c>
      <c r="C86" s="18">
        <f t="shared" si="2"/>
        <v>0.29028665946590865</v>
      </c>
      <c r="D86">
        <v>4</v>
      </c>
      <c r="E86" t="str">
        <f>VLOOKUP(D86,Validation!$A$2:$C$41,3,FALSE)</f>
        <v>MCB</v>
      </c>
      <c r="F86" t="s">
        <v>1350</v>
      </c>
    </row>
    <row r="87" spans="1:6" x14ac:dyDescent="0.15">
      <c r="A87" t="s">
        <v>1363</v>
      </c>
      <c r="B87" s="17">
        <v>476299</v>
      </c>
      <c r="C87" s="18">
        <f t="shared" si="2"/>
        <v>0.21525400749300638</v>
      </c>
      <c r="D87">
        <v>4</v>
      </c>
      <c r="E87" t="str">
        <f>VLOOKUP(D87,Validation!$A$2:$C$41,3,FALSE)</f>
        <v>MCB</v>
      </c>
    </row>
    <row r="88" spans="1:6" x14ac:dyDescent="0.15">
      <c r="A88" t="s">
        <v>1364</v>
      </c>
      <c r="B88" s="17">
        <v>435571</v>
      </c>
      <c r="C88" s="18">
        <f t="shared" si="2"/>
        <v>0.19684778531497291</v>
      </c>
      <c r="D88">
        <v>4</v>
      </c>
      <c r="E88" t="str">
        <f>VLOOKUP(D88,Validation!$A$2:$C$41,3,FALSE)</f>
        <v>MCB</v>
      </c>
      <c r="F88" t="s">
        <v>1350</v>
      </c>
    </row>
    <row r="89" spans="1:6" x14ac:dyDescent="0.15">
      <c r="A89" t="s">
        <v>1012</v>
      </c>
      <c r="B89" s="17">
        <v>425232</v>
      </c>
      <c r="C89" s="18">
        <f t="shared" si="2"/>
        <v>0.19217527669440013</v>
      </c>
      <c r="D89">
        <v>5</v>
      </c>
      <c r="E89" t="str">
        <f>VLOOKUP(D89,Validation!$A$2:$C$41,3,FALSE)</f>
        <v>CFB</v>
      </c>
      <c r="F89" t="s">
        <v>1350</v>
      </c>
    </row>
    <row r="90" spans="1:6" x14ac:dyDescent="0.15">
      <c r="A90" t="s">
        <v>1365</v>
      </c>
      <c r="B90" s="17">
        <v>410443</v>
      </c>
      <c r="C90" s="18">
        <f t="shared" si="2"/>
        <v>0.18549167770130109</v>
      </c>
      <c r="D90">
        <v>5</v>
      </c>
      <c r="E90" t="str">
        <f>VLOOKUP(D90,Validation!$A$2:$C$41,3,FALSE)</f>
        <v>CFB</v>
      </c>
      <c r="F90" t="s">
        <v>1350</v>
      </c>
    </row>
    <row r="91" spans="1:6" x14ac:dyDescent="0.15">
      <c r="A91" t="s">
        <v>1010</v>
      </c>
      <c r="B91" s="17">
        <v>402995</v>
      </c>
      <c r="C91" s="18">
        <f t="shared" si="2"/>
        <v>0.1821256999272392</v>
      </c>
      <c r="D91">
        <v>5</v>
      </c>
      <c r="E91" t="str">
        <f>VLOOKUP(D91,Validation!$A$2:$C$41,3,FALSE)</f>
        <v>CFB</v>
      </c>
      <c r="F91" t="s">
        <v>1350</v>
      </c>
    </row>
    <row r="92" spans="1:6" x14ac:dyDescent="0.15">
      <c r="A92" t="s">
        <v>1004</v>
      </c>
      <c r="B92" s="17">
        <v>346561</v>
      </c>
      <c r="C92" s="18">
        <f t="shared" si="2"/>
        <v>0.15662145856024007</v>
      </c>
      <c r="D92">
        <v>17</v>
      </c>
      <c r="E92" t="str">
        <f>VLOOKUP(D92,Validation!$A$2:$C$41,3,FALSE)</f>
        <v>MLB</v>
      </c>
      <c r="F92" t="s">
        <v>1350</v>
      </c>
    </row>
    <row r="93" spans="1:6" x14ac:dyDescent="0.15">
      <c r="A93" t="s">
        <v>1062</v>
      </c>
      <c r="B93" s="17">
        <v>331179</v>
      </c>
      <c r="C93" s="18">
        <f t="shared" si="2"/>
        <v>0.14966986482761113</v>
      </c>
      <c r="D93">
        <v>4</v>
      </c>
      <c r="E93" t="str">
        <f>VLOOKUP(D93,Validation!$A$2:$C$41,3,FALSE)</f>
        <v>MCB</v>
      </c>
      <c r="F93" t="s">
        <v>1350</v>
      </c>
    </row>
    <row r="94" spans="1:6" x14ac:dyDescent="0.15">
      <c r="A94" t="s">
        <v>1367</v>
      </c>
      <c r="B94" s="17">
        <v>104535</v>
      </c>
      <c r="C94" s="18">
        <f t="shared" si="2"/>
        <v>4.7242546537535082E-2</v>
      </c>
      <c r="D94">
        <v>5</v>
      </c>
      <c r="E94" t="str">
        <f>VLOOKUP(D94,Validation!$A$2:$C$41,3,FALSE)</f>
        <v>CFB</v>
      </c>
      <c r="F94" t="s">
        <v>1351</v>
      </c>
    </row>
    <row r="95" spans="1:6" x14ac:dyDescent="0.15">
      <c r="A95" t="s">
        <v>1366</v>
      </c>
      <c r="B95" s="17">
        <v>92297</v>
      </c>
      <c r="C95" s="18">
        <f t="shared" si="2"/>
        <v>4.171182204787751E-2</v>
      </c>
      <c r="D95">
        <v>4</v>
      </c>
      <c r="E95" t="str">
        <f>VLOOKUP(D95,Validation!$A$2:$C$41,3,FALSE)</f>
        <v>MCB</v>
      </c>
      <c r="F95" t="s">
        <v>1351</v>
      </c>
    </row>
  </sheetData>
  <pageMargins left="0.7" right="0.7" top="0.75" bottom="0.75" header="0.3" footer="0.3"/>
  <pageSetup orientation="portrait" verticalDpi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F95"/>
  <sheetViews>
    <sheetView topLeftCell="A67" zoomScale="85" zoomScaleNormal="85" zoomScalePageLayoutView="85" workbookViewId="0">
      <selection activeCell="A95" sqref="A95"/>
    </sheetView>
  </sheetViews>
  <sheetFormatPr baseColWidth="10" defaultColWidth="8.83203125" defaultRowHeight="13" x14ac:dyDescent="0.15"/>
  <cols>
    <col min="1" max="1" width="33.33203125" bestFit="1" customWidth="1"/>
    <col min="2" max="2" width="10.5" bestFit="1" customWidth="1"/>
  </cols>
  <sheetData>
    <row r="1" spans="1:3" x14ac:dyDescent="0.15">
      <c r="A1" t="s">
        <v>95</v>
      </c>
      <c r="B1" t="s">
        <v>807</v>
      </c>
      <c r="C1" t="s">
        <v>811</v>
      </c>
    </row>
    <row r="2" spans="1:3" x14ac:dyDescent="0.15">
      <c r="A2" t="s">
        <v>0</v>
      </c>
      <c r="B2" s="17">
        <f>IFERROR(SUMIFS('Full List'!B:B,'Full List'!A:A,KS!$A2,'Full List'!E:E,KS!$A$1),"")</f>
        <v>1647793</v>
      </c>
      <c r="C2" s="18">
        <f>IFERROR(B2/$B$2,"")</f>
        <v>1</v>
      </c>
    </row>
    <row r="3" spans="1:3" x14ac:dyDescent="0.15">
      <c r="A3" t="s">
        <v>3</v>
      </c>
      <c r="B3" s="17">
        <f>IFERROR(SUMIFS('Full List'!B:B,'Full List'!A:A,KS!$A3,'Full List'!E:E,KS!$A$1),"")</f>
        <v>7994</v>
      </c>
      <c r="C3" s="18">
        <f t="shared" ref="C3:C66" si="0">IFERROR(B3/$B$2,"")</f>
        <v>4.8513375163021085E-3</v>
      </c>
    </row>
    <row r="4" spans="1:3" x14ac:dyDescent="0.15">
      <c r="A4" t="s">
        <v>4</v>
      </c>
      <c r="B4" s="17">
        <f>IFERROR(SUMIFS('Full List'!B:B,'Full List'!A:A,KS!$A4,'Full List'!E:E,KS!$A$1),"")</f>
        <v>12735</v>
      </c>
      <c r="C4" s="18">
        <f t="shared" si="0"/>
        <v>7.7285192982370961E-3</v>
      </c>
    </row>
    <row r="5" spans="1:3" x14ac:dyDescent="0.15">
      <c r="A5" t="s">
        <v>5</v>
      </c>
      <c r="B5" s="17">
        <f>IFERROR(SUMIFS('Full List'!B:B,'Full List'!A:A,KS!$A5,'Full List'!E:E,KS!$A$1),"")</f>
        <v>80147</v>
      </c>
      <c r="C5" s="18">
        <f t="shared" si="0"/>
        <v>4.8638997738186772E-2</v>
      </c>
    </row>
    <row r="6" spans="1:3" x14ac:dyDescent="0.15">
      <c r="A6" t="s">
        <v>6</v>
      </c>
      <c r="B6" s="17">
        <f>IFERROR(SUMIFS('Full List'!B:B,'Full List'!A:A,KS!$A6,'Full List'!E:E,KS!$A$1),"")</f>
        <v>538790</v>
      </c>
      <c r="C6" s="18">
        <f t="shared" si="0"/>
        <v>0.32697675011363686</v>
      </c>
    </row>
    <row r="7" spans="1:3" x14ac:dyDescent="0.15">
      <c r="A7" t="s">
        <v>7</v>
      </c>
      <c r="B7" s="17">
        <f>IFERROR(SUMIFS('Full List'!B:B,'Full List'!A:A,KS!$A7,'Full List'!E:E,KS!$A$1),"")</f>
        <v>478936</v>
      </c>
      <c r="C7" s="18">
        <f t="shared" si="0"/>
        <v>0.29065301284809442</v>
      </c>
    </row>
    <row r="8" spans="1:3" x14ac:dyDescent="0.15">
      <c r="A8" t="s">
        <v>8</v>
      </c>
      <c r="B8" s="17">
        <f>IFERROR(SUMIFS('Full List'!B:B,'Full List'!A:A,KS!$A8,'Full List'!E:E,KS!$A$1),"")</f>
        <v>12715</v>
      </c>
      <c r="C8" s="18">
        <f t="shared" si="0"/>
        <v>7.7163818513611843E-3</v>
      </c>
    </row>
    <row r="9" spans="1:3" x14ac:dyDescent="0.15">
      <c r="A9" t="s">
        <v>9</v>
      </c>
      <c r="B9" s="17">
        <f>IFERROR(SUMIFS('Full List'!B:B,'Full List'!A:A,KS!$A9,'Full List'!E:E,KS!$A$1),"")</f>
        <v>19898</v>
      </c>
      <c r="C9" s="18">
        <f t="shared" si="0"/>
        <v>1.2075545896845053E-2</v>
      </c>
    </row>
    <row r="10" spans="1:3" x14ac:dyDescent="0.15">
      <c r="A10" t="s">
        <v>10</v>
      </c>
      <c r="B10" s="17">
        <f>IFERROR(SUMIFS('Full List'!B:B,'Full List'!A:A,KS!$A10,'Full List'!E:E,KS!$A$1),"")</f>
        <v>19922</v>
      </c>
      <c r="C10" s="18">
        <f t="shared" si="0"/>
        <v>1.2090110833096147E-2</v>
      </c>
    </row>
    <row r="11" spans="1:3" x14ac:dyDescent="0.15">
      <c r="A11" t="s">
        <v>11</v>
      </c>
      <c r="B11" s="17">
        <f>IFERROR(SUMIFS('Full List'!B:B,'Full List'!A:A,KS!$A11,'Full List'!E:E,KS!$A$1),"")</f>
        <v>83169</v>
      </c>
      <c r="C11" s="18">
        <f t="shared" si="0"/>
        <v>5.0472965961137109E-2</v>
      </c>
    </row>
    <row r="12" spans="1:3" x14ac:dyDescent="0.15">
      <c r="A12" t="s">
        <v>12</v>
      </c>
      <c r="B12" s="17">
        <f>IFERROR(SUMIFS('Full List'!B:B,'Full List'!A:A,KS!$A12,'Full List'!E:E,KS!$A$1),"")</f>
        <v>34213</v>
      </c>
      <c r="C12" s="18">
        <f t="shared" si="0"/>
        <v>2.0762923498279212E-2</v>
      </c>
    </row>
    <row r="13" spans="1:3" x14ac:dyDescent="0.15">
      <c r="A13" t="s">
        <v>13</v>
      </c>
      <c r="B13" s="17">
        <f>IFERROR(SUMIFS('Full List'!B:B,'Full List'!A:A,KS!$A13,'Full List'!E:E,KS!$A$1),"")</f>
        <v>8956</v>
      </c>
      <c r="C13" s="18">
        <f t="shared" si="0"/>
        <v>5.4351487110334855E-3</v>
      </c>
    </row>
    <row r="14" spans="1:3" x14ac:dyDescent="0.15">
      <c r="A14" t="s">
        <v>14</v>
      </c>
      <c r="B14" s="17">
        <f>IFERROR(SUMIFS('Full List'!B:B,'Full List'!A:A,KS!$A14,'Full List'!E:E,KS!$A$1),"")</f>
        <v>104343</v>
      </c>
      <c r="C14" s="18">
        <f t="shared" si="0"/>
        <v>6.3322880968665354E-2</v>
      </c>
    </row>
    <row r="15" spans="1:3" x14ac:dyDescent="0.15">
      <c r="A15" t="s">
        <v>15</v>
      </c>
      <c r="B15" s="17">
        <f>IFERROR(SUMIFS('Full List'!B:B,'Full List'!A:A,KS!$A15,'Full List'!E:E,KS!$A$1),"")</f>
        <v>128259</v>
      </c>
      <c r="C15" s="18">
        <f t="shared" si="0"/>
        <v>7.7836839942881181E-2</v>
      </c>
    </row>
    <row r="16" spans="1:3" x14ac:dyDescent="0.15">
      <c r="A16" t="s">
        <v>16</v>
      </c>
      <c r="B16" s="17">
        <f>IFERROR(SUMIFS('Full List'!B:B,'Full List'!A:A,KS!$A16,'Full List'!E:E,KS!$A$1),"")</f>
        <v>74899</v>
      </c>
      <c r="C16" s="18">
        <f t="shared" si="0"/>
        <v>4.5454131677947415E-2</v>
      </c>
    </row>
    <row r="17" spans="1:3" x14ac:dyDescent="0.15">
      <c r="A17" t="s">
        <v>17</v>
      </c>
      <c r="B17" s="17">
        <f>IFERROR(SUMIFS('Full List'!B:B,'Full List'!A:A,KS!$A17,'Full List'!E:E,KS!$A$1),"")</f>
        <v>27771</v>
      </c>
      <c r="C17" s="18">
        <f t="shared" si="0"/>
        <v>1.6853451859547893E-2</v>
      </c>
    </row>
    <row r="18" spans="1:3" x14ac:dyDescent="0.15">
      <c r="A18" t="s">
        <v>18</v>
      </c>
      <c r="B18" s="17">
        <f>IFERROR(SUMIFS('Full List'!B:B,'Full List'!A:A,KS!$A18,'Full List'!E:E,KS!$A$1),"")</f>
        <v>12509</v>
      </c>
      <c r="C18" s="18">
        <f t="shared" si="0"/>
        <v>7.5913661485392889E-3</v>
      </c>
    </row>
    <row r="19" spans="1:3" x14ac:dyDescent="0.15">
      <c r="A19" t="s">
        <v>19</v>
      </c>
      <c r="B19" s="17">
        <f>IFERROR(SUMIFS('Full List'!B:B,'Full List'!A:A,KS!$A19,'Full List'!E:E,KS!$A$1),"")</f>
        <v>188720</v>
      </c>
      <c r="C19" s="18">
        <f t="shared" si="0"/>
        <v>0.11452894872110757</v>
      </c>
    </row>
    <row r="20" spans="1:3" x14ac:dyDescent="0.15">
      <c r="A20" t="s">
        <v>20</v>
      </c>
      <c r="B20" s="17">
        <f>IFERROR(SUMIFS('Full List'!B:B,'Full List'!A:A,KS!$A20,'Full List'!E:E,KS!$A$1),"")</f>
        <v>43838</v>
      </c>
      <c r="C20" s="18">
        <f t="shared" si="0"/>
        <v>2.6604069807311961E-2</v>
      </c>
    </row>
    <row r="21" spans="1:3" x14ac:dyDescent="0.15">
      <c r="A21" t="s">
        <v>21</v>
      </c>
      <c r="B21" s="17">
        <f>IFERROR(SUMIFS('Full List'!B:B,'Full List'!A:A,KS!$A21,'Full List'!E:E,KS!$A$1),"")</f>
        <v>25495</v>
      </c>
      <c r="C21" s="18">
        <f t="shared" si="0"/>
        <v>1.5472210405069083E-2</v>
      </c>
    </row>
    <row r="22" spans="1:3" x14ac:dyDescent="0.15">
      <c r="A22" t="s">
        <v>22</v>
      </c>
      <c r="B22" s="17">
        <f>IFERROR(SUMIFS('Full List'!B:B,'Full List'!A:A,KS!$A22,'Full List'!E:E,KS!$A$1),"")</f>
        <v>9867</v>
      </c>
      <c r="C22" s="18">
        <f t="shared" si="0"/>
        <v>5.9880094162312863E-3</v>
      </c>
    </row>
    <row r="23" spans="1:3" x14ac:dyDescent="0.15">
      <c r="A23" t="s">
        <v>23</v>
      </c>
      <c r="B23" s="17">
        <f>IFERROR(SUMIFS('Full List'!B:B,'Full List'!A:A,KS!$A23,'Full List'!E:E,KS!$A$1),"")</f>
        <v>16612</v>
      </c>
      <c r="C23" s="18">
        <f t="shared" si="0"/>
        <v>1.0081363375132678E-2</v>
      </c>
    </row>
    <row r="24" spans="1:3" x14ac:dyDescent="0.15">
      <c r="A24" t="s">
        <v>24</v>
      </c>
      <c r="B24" s="17">
        <f>IFERROR(SUMIFS('Full List'!B:B,'Full List'!A:A,KS!$A24,'Full List'!E:E,KS!$A$1),"")</f>
        <v>4867</v>
      </c>
      <c r="C24" s="18">
        <f t="shared" si="0"/>
        <v>2.953647697253235E-3</v>
      </c>
    </row>
    <row r="25" spans="1:3" x14ac:dyDescent="0.15">
      <c r="A25" t="s">
        <v>25</v>
      </c>
      <c r="B25" s="17">
        <f>IFERROR(SUMIFS('Full List'!B:B,'Full List'!A:A,KS!$A25,'Full List'!E:E,KS!$A$1),"")</f>
        <v>30586</v>
      </c>
      <c r="C25" s="18">
        <f t="shared" si="0"/>
        <v>1.8561797507332535E-2</v>
      </c>
    </row>
    <row r="26" spans="1:3" x14ac:dyDescent="0.15">
      <c r="A26" t="s">
        <v>26</v>
      </c>
      <c r="B26" s="17">
        <f>IFERROR(SUMIFS('Full List'!B:B,'Full List'!A:A,KS!$A26,'Full List'!E:E,KS!$A$1),"")</f>
        <v>14694</v>
      </c>
      <c r="C26" s="18">
        <f t="shared" si="0"/>
        <v>8.9173822197326971E-3</v>
      </c>
    </row>
    <row r="27" spans="1:3" x14ac:dyDescent="0.15">
      <c r="A27" t="s">
        <v>27</v>
      </c>
      <c r="B27" s="17">
        <f>IFERROR(SUMIFS('Full List'!B:B,'Full List'!A:A,KS!$A27,'Full List'!E:E,KS!$A$1),"")</f>
        <v>153301</v>
      </c>
      <c r="C27" s="18">
        <f t="shared" si="0"/>
        <v>9.303413717621084E-2</v>
      </c>
    </row>
    <row r="28" spans="1:3" x14ac:dyDescent="0.15">
      <c r="A28" t="s">
        <v>28</v>
      </c>
      <c r="B28" s="17">
        <f>IFERROR(SUMIFS('Full List'!B:B,'Full List'!A:A,KS!$A28,'Full List'!E:E,KS!$A$1),"")</f>
        <v>122661</v>
      </c>
      <c r="C28" s="18">
        <f t="shared" si="0"/>
        <v>7.4439568562313346E-2</v>
      </c>
    </row>
    <row r="29" spans="1:3" x14ac:dyDescent="0.15">
      <c r="A29" t="s">
        <v>29</v>
      </c>
      <c r="B29" s="17">
        <f>IFERROR(SUMIFS('Full List'!B:B,'Full List'!A:A,KS!$A29,'Full List'!E:E,KS!$A$1),"")</f>
        <v>523516</v>
      </c>
      <c r="C29" s="18">
        <f t="shared" si="0"/>
        <v>0.31770738193450271</v>
      </c>
    </row>
    <row r="30" spans="1:3" x14ac:dyDescent="0.15">
      <c r="A30" t="s">
        <v>30</v>
      </c>
      <c r="B30" s="17">
        <f>IFERROR(SUMIFS('Full List'!B:B,'Full List'!A:A,KS!$A30,'Full List'!E:E,KS!$A$1),"")</f>
        <v>37523</v>
      </c>
      <c r="C30" s="18">
        <f t="shared" si="0"/>
        <v>2.2771670956242683E-2</v>
      </c>
    </row>
    <row r="31" spans="1:3" x14ac:dyDescent="0.15">
      <c r="A31" t="s">
        <v>31</v>
      </c>
      <c r="B31" s="17">
        <f>IFERROR(SUMIFS('Full List'!B:B,'Full List'!A:A,KS!$A31,'Full List'!E:E,KS!$A$1),"")</f>
        <v>10313</v>
      </c>
      <c r="C31" s="18">
        <f t="shared" si="0"/>
        <v>6.2586744815641285E-3</v>
      </c>
    </row>
    <row r="32" spans="1:3" x14ac:dyDescent="0.15">
      <c r="A32" t="s">
        <v>32</v>
      </c>
      <c r="B32" s="17">
        <f>IFERROR(SUMIFS('Full List'!B:B,'Full List'!A:A,KS!$A32,'Full List'!E:E,KS!$A$1),"")</f>
        <v>41689</v>
      </c>
      <c r="C32" s="18">
        <f t="shared" si="0"/>
        <v>2.5299901140495195E-2</v>
      </c>
    </row>
    <row r="33" spans="1:3" x14ac:dyDescent="0.15">
      <c r="A33" t="s">
        <v>33</v>
      </c>
      <c r="B33" s="17">
        <f>IFERROR(SUMIFS('Full List'!B:B,'Full List'!A:A,KS!$A33,'Full List'!E:E,KS!$A$1),"")</f>
        <v>498559</v>
      </c>
      <c r="C33" s="18">
        <f t="shared" si="0"/>
        <v>0.30256166885039565</v>
      </c>
    </row>
    <row r="34" spans="1:3" x14ac:dyDescent="0.15">
      <c r="A34" t="s">
        <v>34</v>
      </c>
      <c r="B34" s="17">
        <f>IFERROR(SUMIFS('Full List'!B:B,'Full List'!A:A,KS!$A34,'Full List'!E:E,KS!$A$1),"")</f>
        <v>97747</v>
      </c>
      <c r="C34" s="18">
        <f t="shared" si="0"/>
        <v>5.9319950988989519E-2</v>
      </c>
    </row>
    <row r="35" spans="1:3" x14ac:dyDescent="0.15">
      <c r="A35" t="s">
        <v>35</v>
      </c>
      <c r="B35" s="17">
        <f>IFERROR(SUMIFS('Full List'!B:B,'Full List'!A:A,KS!$A35,'Full List'!E:E,KS!$A$1),"")</f>
        <v>29484</v>
      </c>
      <c r="C35" s="18">
        <f t="shared" si="0"/>
        <v>1.7893024184469773E-2</v>
      </c>
    </row>
    <row r="36" spans="1:3" x14ac:dyDescent="0.15">
      <c r="A36" t="s">
        <v>36</v>
      </c>
      <c r="B36" s="17">
        <f>IFERROR(SUMIFS('Full List'!B:B,'Full List'!A:A,KS!$A36,'Full List'!E:E,KS!$A$1),"")</f>
        <v>48881</v>
      </c>
      <c r="C36" s="18">
        <f t="shared" si="0"/>
        <v>2.9664527037073226E-2</v>
      </c>
    </row>
    <row r="37" spans="1:3" x14ac:dyDescent="0.15">
      <c r="A37" t="s">
        <v>37</v>
      </c>
      <c r="B37" s="17">
        <f>IFERROR(SUMIFS('Full List'!B:B,'Full List'!A:A,KS!$A37,'Full List'!E:E,KS!$A$1),"")</f>
        <v>38970</v>
      </c>
      <c r="C37" s="18">
        <f t="shared" si="0"/>
        <v>2.3649815237714932E-2</v>
      </c>
    </row>
    <row r="38" spans="1:3" x14ac:dyDescent="0.15">
      <c r="A38" t="s">
        <v>38</v>
      </c>
      <c r="B38" s="17">
        <f>IFERROR(SUMIFS('Full List'!B:B,'Full List'!A:A,KS!$A38,'Full List'!E:E,KS!$A$1),"")</f>
        <v>13868</v>
      </c>
      <c r="C38" s="18">
        <f t="shared" si="0"/>
        <v>8.416105663757523E-3</v>
      </c>
    </row>
    <row r="39" spans="1:3" x14ac:dyDescent="0.15">
      <c r="A39" t="s">
        <v>39</v>
      </c>
      <c r="B39" s="17">
        <f>IFERROR(SUMIFS('Full List'!B:B,'Full List'!A:A,KS!$A39,'Full List'!E:E,KS!$A$1),"")</f>
        <v>44023</v>
      </c>
      <c r="C39" s="18">
        <f t="shared" si="0"/>
        <v>2.671634119091415E-2</v>
      </c>
    </row>
    <row r="40" spans="1:3" x14ac:dyDescent="0.15">
      <c r="A40" t="s">
        <v>40</v>
      </c>
      <c r="B40" s="17">
        <f>IFERROR(SUMIFS('Full List'!B:B,'Full List'!A:A,KS!$A40,'Full List'!E:E,KS!$A$1),"")</f>
        <v>22696</v>
      </c>
      <c r="C40" s="18">
        <f t="shared" si="0"/>
        <v>1.3773574714785171E-2</v>
      </c>
    </row>
    <row r="41" spans="1:3" x14ac:dyDescent="0.15">
      <c r="A41" t="s">
        <v>41</v>
      </c>
      <c r="B41" s="17">
        <f>IFERROR(SUMIFS('Full List'!B:B,'Full List'!A:A,KS!$A41,'Full List'!E:E,KS!$A$1),"")</f>
        <v>24004</v>
      </c>
      <c r="C41" s="18">
        <f t="shared" si="0"/>
        <v>1.4567363740469828E-2</v>
      </c>
    </row>
    <row r="42" spans="1:3" x14ac:dyDescent="0.15">
      <c r="A42" t="s">
        <v>42</v>
      </c>
      <c r="B42" s="17">
        <f>IFERROR(SUMIFS('Full List'!B:B,'Full List'!A:A,KS!$A42,'Full List'!E:E,KS!$A$1),"")</f>
        <v>25351</v>
      </c>
      <c r="C42" s="18">
        <f t="shared" si="0"/>
        <v>1.5384820787562516E-2</v>
      </c>
    </row>
    <row r="43" spans="1:3" x14ac:dyDescent="0.15">
      <c r="A43" t="s">
        <v>43</v>
      </c>
      <c r="B43" s="17">
        <f>IFERROR(SUMIFS('Full List'!B:B,'Full List'!A:A,KS!$A43,'Full List'!E:E,KS!$A$1),"")</f>
        <v>125017</v>
      </c>
      <c r="C43" s="18">
        <f t="shared" si="0"/>
        <v>7.5869359804295808E-2</v>
      </c>
    </row>
    <row r="44" spans="1:3" x14ac:dyDescent="0.15">
      <c r="A44" t="s">
        <v>44</v>
      </c>
      <c r="B44" s="17">
        <f>IFERROR(SUMIFS('Full List'!B:B,'Full List'!A:A,KS!$A44,'Full List'!E:E,KS!$A$1),"")</f>
        <v>185700</v>
      </c>
      <c r="C44" s="18">
        <f t="shared" si="0"/>
        <v>0.11269619424284483</v>
      </c>
    </row>
    <row r="45" spans="1:3" x14ac:dyDescent="0.15">
      <c r="A45" t="s">
        <v>45</v>
      </c>
      <c r="B45" s="17">
        <f>IFERROR(SUMIFS('Full List'!B:B,'Full List'!A:A,KS!$A45,'Full List'!E:E,KS!$A$1),"")</f>
        <v>425330</v>
      </c>
      <c r="C45" s="18">
        <f t="shared" si="0"/>
        <v>0.25812101398658693</v>
      </c>
    </row>
    <row r="46" spans="1:3" x14ac:dyDescent="0.15">
      <c r="A46" t="s">
        <v>46</v>
      </c>
      <c r="B46" s="17">
        <f>IFERROR(SUMIFS('Full List'!B:B,'Full List'!A:A,KS!$A46,'Full List'!E:E,KS!$A$1),"")</f>
        <v>980925</v>
      </c>
      <c r="C46" s="18">
        <f t="shared" si="0"/>
        <v>0.59529625383770901</v>
      </c>
    </row>
    <row r="47" spans="1:3" x14ac:dyDescent="0.15">
      <c r="A47" t="s">
        <v>47</v>
      </c>
      <c r="B47" s="17">
        <f>IFERROR(SUMIFS('Full List'!B:B,'Full List'!A:A,KS!$A47,'Full List'!E:E,KS!$A$1),"")</f>
        <v>955127</v>
      </c>
      <c r="C47" s="18">
        <f t="shared" si="0"/>
        <v>0.57964016111246985</v>
      </c>
    </row>
    <row r="48" spans="1:3" x14ac:dyDescent="0.15">
      <c r="A48" t="s">
        <v>48</v>
      </c>
      <c r="B48" s="17">
        <f>IFERROR(SUMIFS('Full List'!B:B,'Full List'!A:A,KS!$A48,'Full List'!E:E,KS!$A$1),"")</f>
        <v>119721</v>
      </c>
      <c r="C48" s="18">
        <f t="shared" si="0"/>
        <v>7.265536387155426E-2</v>
      </c>
    </row>
    <row r="49" spans="1:3" x14ac:dyDescent="0.15">
      <c r="A49" t="s">
        <v>49</v>
      </c>
      <c r="B49" s="17">
        <f>IFERROR(SUMIFS('Full List'!B:B,'Full List'!A:A,KS!$A49,'Full List'!E:E,KS!$A$1),"")</f>
        <v>141167</v>
      </c>
      <c r="C49" s="18">
        <f t="shared" si="0"/>
        <v>8.5670348156594911E-2</v>
      </c>
    </row>
    <row r="50" spans="1:3" x14ac:dyDescent="0.15">
      <c r="A50" t="s">
        <v>50</v>
      </c>
      <c r="B50" s="17">
        <f>IFERROR(SUMIFS('Full List'!B:B,'Full List'!A:A,KS!$A50,'Full List'!E:E,KS!$A$1),"")</f>
        <v>241189</v>
      </c>
      <c r="C50" s="18">
        <f t="shared" si="0"/>
        <v>0.14637093372771945</v>
      </c>
    </row>
    <row r="51" spans="1:3" x14ac:dyDescent="0.15">
      <c r="A51" t="s">
        <v>51</v>
      </c>
      <c r="B51" s="17">
        <f>IFERROR(SUMIFS('Full List'!B:B,'Full List'!A:A,KS!$A51,'Full List'!E:E,KS!$A$1),"")</f>
        <v>540089</v>
      </c>
      <c r="C51" s="18">
        <f t="shared" si="0"/>
        <v>0.32776507728822735</v>
      </c>
    </row>
    <row r="52" spans="1:3" x14ac:dyDescent="0.15">
      <c r="A52" t="s">
        <v>52</v>
      </c>
      <c r="B52" s="17">
        <f>IFERROR(SUMIFS('Full List'!B:B,'Full List'!A:A,KS!$A52,'Full List'!E:E,KS!$A$1),"")</f>
        <v>202930</v>
      </c>
      <c r="C52" s="18">
        <f t="shared" si="0"/>
        <v>0.12315260472644318</v>
      </c>
    </row>
    <row r="53" spans="1:3" x14ac:dyDescent="0.15">
      <c r="A53" t="s">
        <v>53</v>
      </c>
      <c r="B53" s="17">
        <f>IFERROR(SUMIFS('Full List'!B:B,'Full List'!A:A,KS!$A53,'Full List'!E:E,KS!$A$1),"")</f>
        <v>131272</v>
      </c>
      <c r="C53" s="18">
        <f t="shared" si="0"/>
        <v>7.9665346314737345E-2</v>
      </c>
    </row>
    <row r="54" spans="1:3" x14ac:dyDescent="0.15">
      <c r="A54" t="s">
        <v>54</v>
      </c>
      <c r="B54" s="17">
        <f>IFERROR(SUMIFS('Full List'!B:B,'Full List'!A:A,KS!$A54,'Full List'!E:E,KS!$A$1),"")</f>
        <v>611276</v>
      </c>
      <c r="C54" s="18">
        <f t="shared" si="0"/>
        <v>0.37096649882600546</v>
      </c>
    </row>
    <row r="55" spans="1:3" x14ac:dyDescent="0.15">
      <c r="A55" t="s">
        <v>55</v>
      </c>
      <c r="B55" s="17">
        <f>IFERROR(SUMIFS('Full List'!B:B,'Full List'!A:A,KS!$A55,'Full List'!E:E,KS!$A$1),"")</f>
        <v>555118</v>
      </c>
      <c r="C55" s="18">
        <f t="shared" si="0"/>
        <v>0.33688576174313156</v>
      </c>
    </row>
    <row r="56" spans="1:3" x14ac:dyDescent="0.15">
      <c r="A56" t="s">
        <v>56</v>
      </c>
      <c r="B56" s="17">
        <f>IFERROR(SUMIFS('Full List'!B:B,'Full List'!A:A,KS!$A56,'Full List'!E:E,KS!$A$1),"")</f>
        <v>368035</v>
      </c>
      <c r="C56" s="18">
        <f t="shared" si="0"/>
        <v>0.22335026304881742</v>
      </c>
    </row>
    <row r="57" spans="1:3" x14ac:dyDescent="0.15">
      <c r="A57" t="s">
        <v>57</v>
      </c>
      <c r="B57" s="17">
        <f>IFERROR(SUMIFS('Full List'!B:B,'Full List'!A:A,KS!$A57,'Full List'!E:E,KS!$A$1),"")</f>
        <v>253470</v>
      </c>
      <c r="C57" s="18">
        <f t="shared" si="0"/>
        <v>0.15382393298187333</v>
      </c>
    </row>
    <row r="58" spans="1:3" x14ac:dyDescent="0.15">
      <c r="A58" t="s">
        <v>58</v>
      </c>
      <c r="B58" s="17">
        <f>IFERROR(SUMIFS('Full List'!B:B,'Full List'!A:A,KS!$A58,'Full List'!E:E,KS!$A$1),"")</f>
        <v>160552</v>
      </c>
      <c r="C58" s="18">
        <f t="shared" si="0"/>
        <v>9.7434568541072811E-2</v>
      </c>
    </row>
    <row r="59" spans="1:3" x14ac:dyDescent="0.15">
      <c r="A59" t="s">
        <v>59</v>
      </c>
      <c r="B59" s="17">
        <f>IFERROR(SUMIFS('Full List'!B:B,'Full List'!A:A,KS!$A59,'Full List'!E:E,KS!$A$1),"")</f>
        <v>744067</v>
      </c>
      <c r="C59" s="18">
        <f t="shared" si="0"/>
        <v>0.45155368423096831</v>
      </c>
    </row>
    <row r="60" spans="1:3" x14ac:dyDescent="0.15">
      <c r="A60" t="s">
        <v>60</v>
      </c>
      <c r="B60" s="17">
        <f>IFERROR(SUMIFS('Full List'!B:B,'Full List'!A:A,KS!$A60,'Full List'!E:E,KS!$A$1),"")</f>
        <v>302465</v>
      </c>
      <c r="C60" s="18">
        <f t="shared" si="0"/>
        <v>0.18355764346613926</v>
      </c>
    </row>
    <row r="61" spans="1:3" x14ac:dyDescent="0.15">
      <c r="A61" t="s">
        <v>61</v>
      </c>
      <c r="B61" s="17">
        <f>IFERROR(SUMIFS('Full List'!B:B,'Full List'!A:A,KS!$A61,'Full List'!E:E,KS!$A$1),"")</f>
        <v>248672</v>
      </c>
      <c r="C61" s="18">
        <f t="shared" si="0"/>
        <v>0.15091215947634198</v>
      </c>
    </row>
    <row r="62" spans="1:3" x14ac:dyDescent="0.15">
      <c r="A62" t="s">
        <v>62</v>
      </c>
      <c r="B62" s="17">
        <f>IFERROR(SUMIFS('Full List'!B:B,'Full List'!A:A,KS!$A62,'Full List'!E:E,KS!$A$1),"")</f>
        <v>85388</v>
      </c>
      <c r="C62" s="18">
        <f t="shared" si="0"/>
        <v>5.1819615692019566E-2</v>
      </c>
    </row>
    <row r="63" spans="1:3" x14ac:dyDescent="0.15">
      <c r="A63" t="s">
        <v>63</v>
      </c>
      <c r="B63" s="17">
        <f>IFERROR(SUMIFS('Full List'!B:B,'Full List'!A:A,KS!$A63,'Full List'!E:E,KS!$A$1),"")</f>
        <v>215448</v>
      </c>
      <c r="C63" s="18">
        <f t="shared" si="0"/>
        <v>0.13074943272607664</v>
      </c>
    </row>
    <row r="64" spans="1:3" x14ac:dyDescent="0.15">
      <c r="A64" t="s">
        <v>64</v>
      </c>
      <c r="B64" s="17">
        <f>IFERROR(SUMIFS('Full List'!B:B,'Full List'!A:A,KS!$A64,'Full List'!E:E,KS!$A$1),"")</f>
        <v>107860</v>
      </c>
      <c r="C64" s="18">
        <f t="shared" si="0"/>
        <v>6.5457251001794517E-2</v>
      </c>
    </row>
    <row r="65" spans="1:3" x14ac:dyDescent="0.15">
      <c r="A65" t="s">
        <v>65</v>
      </c>
      <c r="B65" s="17">
        <f>IFERROR(SUMIFS('Full List'!B:B,'Full List'!A:A,KS!$A65,'Full List'!E:E,KS!$A$1),"")</f>
        <v>222116</v>
      </c>
      <c r="C65" s="18">
        <f t="shared" si="0"/>
        <v>0.13479605751450577</v>
      </c>
    </row>
    <row r="66" spans="1:3" x14ac:dyDescent="0.15">
      <c r="A66" t="s">
        <v>66</v>
      </c>
      <c r="B66" s="17">
        <f>IFERROR(SUMIFS('Full List'!B:B,'Full List'!A:A,KS!$A66,'Full List'!E:E,KS!$A$1),"")</f>
        <v>114770</v>
      </c>
      <c r="C66" s="18">
        <f t="shared" si="0"/>
        <v>6.9650738897422182E-2</v>
      </c>
    </row>
    <row r="67" spans="1:3" x14ac:dyDescent="0.15">
      <c r="A67" t="s">
        <v>67</v>
      </c>
      <c r="B67" s="17">
        <f>IFERROR(SUMIFS('Full List'!B:B,'Full List'!A:A,KS!$A67,'Full List'!E:E,KS!$A$1),"")</f>
        <v>492510</v>
      </c>
      <c r="C67" s="18">
        <f t="shared" ref="C67:C82" si="1">IFERROR(B67/$B$2,"")</f>
        <v>0.29889069804277602</v>
      </c>
    </row>
    <row r="68" spans="1:3" x14ac:dyDescent="0.15">
      <c r="A68" t="s">
        <v>68</v>
      </c>
      <c r="B68" s="17">
        <f>IFERROR(SUMIFS('Full List'!B:B,'Full List'!A:A,KS!$A68,'Full List'!E:E,KS!$A$1),"")</f>
        <v>574823</v>
      </c>
      <c r="C68" s="18">
        <f t="shared" si="1"/>
        <v>0.34884418127762407</v>
      </c>
    </row>
    <row r="69" spans="1:3" x14ac:dyDescent="0.15">
      <c r="A69" t="s">
        <v>69</v>
      </c>
      <c r="B69" s="17">
        <f>IFERROR(SUMIFS('Full List'!B:B,'Full List'!A:A,KS!$A69,'Full List'!E:E,KS!$A$1),"")</f>
        <v>1131397</v>
      </c>
      <c r="C69" s="18">
        <f t="shared" si="1"/>
        <v>0.68661354915332207</v>
      </c>
    </row>
    <row r="70" spans="1:3" x14ac:dyDescent="0.15">
      <c r="A70" t="s">
        <v>70</v>
      </c>
      <c r="B70" s="17">
        <f>IFERROR(SUMIFS('Full List'!B:B,'Full List'!A:A,KS!$A70,'Full List'!E:E,KS!$A$1),"")</f>
        <v>253424</v>
      </c>
      <c r="C70" s="18">
        <f t="shared" si="1"/>
        <v>0.15379601685405872</v>
      </c>
    </row>
    <row r="71" spans="1:3" x14ac:dyDescent="0.15">
      <c r="A71" t="s">
        <v>71</v>
      </c>
      <c r="B71" s="17">
        <f>IFERROR(SUMIFS('Full List'!B:B,'Full List'!A:A,KS!$A71,'Full List'!E:E,KS!$A$1),"")</f>
        <v>73725</v>
      </c>
      <c r="C71" s="18">
        <f t="shared" si="1"/>
        <v>4.4741663546331363E-2</v>
      </c>
    </row>
    <row r="72" spans="1:3" x14ac:dyDescent="0.15">
      <c r="A72" t="s">
        <v>72</v>
      </c>
      <c r="B72" s="17">
        <f>IFERROR(SUMIFS('Full List'!B:B,'Full List'!A:A,KS!$A72,'Full List'!E:E,KS!$A$1),"")</f>
        <v>228989</v>
      </c>
      <c r="C72" s="18">
        <f t="shared" si="1"/>
        <v>0.13896709113341299</v>
      </c>
    </row>
    <row r="73" spans="1:3" x14ac:dyDescent="0.15">
      <c r="A73" t="s">
        <v>73</v>
      </c>
      <c r="B73" s="17">
        <f>IFERROR(SUMIFS('Full List'!B:B,'Full List'!A:A,KS!$A73,'Full List'!E:E,KS!$A$1),"")</f>
        <v>1074014</v>
      </c>
      <c r="C73" s="18">
        <f t="shared" si="1"/>
        <v>0.65178939344929854</v>
      </c>
    </row>
    <row r="74" spans="1:3" x14ac:dyDescent="0.15">
      <c r="A74" t="s">
        <v>74</v>
      </c>
      <c r="B74" s="17">
        <f>IFERROR(SUMIFS('Full List'!B:B,'Full List'!A:A,KS!$A74,'Full List'!E:E,KS!$A$1),"")</f>
        <v>437468</v>
      </c>
      <c r="C74" s="18">
        <f t="shared" si="1"/>
        <v>0.26548723049557804</v>
      </c>
    </row>
    <row r="75" spans="1:3" x14ac:dyDescent="0.15">
      <c r="A75" t="s">
        <v>75</v>
      </c>
      <c r="B75" s="17">
        <f>IFERROR(SUMIFS('Full List'!B:B,'Full List'!A:A,KS!$A75,'Full List'!E:E,KS!$A$1),"")</f>
        <v>257498</v>
      </c>
      <c r="C75" s="18">
        <f t="shared" si="1"/>
        <v>0.15626841478268205</v>
      </c>
    </row>
    <row r="76" spans="1:3" x14ac:dyDescent="0.15">
      <c r="A76" t="s">
        <v>76</v>
      </c>
      <c r="B76" s="17">
        <f>IFERROR(SUMIFS('Full List'!B:B,'Full List'!A:A,KS!$A76,'Full List'!E:E,KS!$A$1),"")</f>
        <v>300343</v>
      </c>
      <c r="C76" s="18">
        <f t="shared" si="1"/>
        <v>0.18226986035260498</v>
      </c>
    </row>
    <row r="77" spans="1:3" x14ac:dyDescent="0.15">
      <c r="A77" t="s">
        <v>77</v>
      </c>
      <c r="B77" s="17">
        <f>IFERROR(SUMIFS('Full List'!B:B,'Full List'!A:A,KS!$A77,'Full List'!E:E,KS!$A$1),"")</f>
        <v>290418</v>
      </c>
      <c r="C77" s="18">
        <f t="shared" si="1"/>
        <v>0.17624665234043355</v>
      </c>
    </row>
    <row r="78" spans="1:3" x14ac:dyDescent="0.15">
      <c r="A78" t="s">
        <v>78</v>
      </c>
      <c r="B78" s="17">
        <f>IFERROR(SUMIFS('Full List'!B:B,'Full List'!A:A,KS!$A78,'Full List'!E:E,KS!$A$1),"")</f>
        <v>143693</v>
      </c>
      <c r="C78" s="18">
        <f t="shared" si="1"/>
        <v>8.7203307697022628E-2</v>
      </c>
    </row>
    <row r="79" spans="1:3" x14ac:dyDescent="0.15">
      <c r="A79" t="s">
        <v>79</v>
      </c>
      <c r="B79" s="17">
        <f>IFERROR(SUMIFS('Full List'!B:B,'Full List'!A:A,KS!$A79,'Full List'!E:E,KS!$A$1),"")</f>
        <v>209058</v>
      </c>
      <c r="C79" s="18">
        <f t="shared" si="1"/>
        <v>0.12687151844922268</v>
      </c>
    </row>
    <row r="80" spans="1:3" x14ac:dyDescent="0.15">
      <c r="A80" t="s">
        <v>80</v>
      </c>
      <c r="B80" s="17">
        <f>IFERROR(SUMIFS('Full List'!B:B,'Full List'!A:A,KS!$A80,'Full List'!E:E,KS!$A$1),"")</f>
        <v>192303</v>
      </c>
      <c r="C80" s="18">
        <f t="shared" si="1"/>
        <v>0.11670337232892723</v>
      </c>
    </row>
    <row r="81" spans="1:6" x14ac:dyDescent="0.15">
      <c r="A81" t="s">
        <v>81</v>
      </c>
      <c r="B81" s="17">
        <f>IFERROR(SUMIFS('Full List'!B:B,'Full List'!A:A,KS!$A81,'Full List'!E:E,KS!$A$1),"")</f>
        <v>235783</v>
      </c>
      <c r="C81" s="18">
        <f t="shared" si="1"/>
        <v>0.14309018183716038</v>
      </c>
    </row>
    <row r="82" spans="1:6" x14ac:dyDescent="0.15">
      <c r="A82" t="s">
        <v>82</v>
      </c>
      <c r="B82" s="17">
        <f>IFERROR(SUMIFS('Full List'!B:B,'Full List'!A:A,KS!$A82,'Full List'!E:E,KS!$A$1),"")</f>
        <v>156074</v>
      </c>
      <c r="C82" s="18">
        <f t="shared" si="1"/>
        <v>9.4716994185556069E-2</v>
      </c>
    </row>
    <row r="83" spans="1:6" x14ac:dyDescent="0.15">
      <c r="B83" s="17"/>
      <c r="C83" s="18"/>
      <c r="D83" t="s">
        <v>812</v>
      </c>
      <c r="E83" t="s">
        <v>860</v>
      </c>
    </row>
    <row r="84" spans="1:6" x14ac:dyDescent="0.15">
      <c r="A84" t="s">
        <v>973</v>
      </c>
      <c r="B84" s="17">
        <v>1061444</v>
      </c>
      <c r="C84" s="18">
        <f t="shared" ref="C84:C95" si="2">IFERROR(B84/$B$2,"")</f>
        <v>0.64416100808778776</v>
      </c>
      <c r="D84">
        <v>17</v>
      </c>
      <c r="E84" t="str">
        <f>VLOOKUP(D84,Validation!$A$2:$C$41,3,FALSE)</f>
        <v>MLB</v>
      </c>
      <c r="F84" t="s">
        <v>1351</v>
      </c>
    </row>
    <row r="85" spans="1:6" x14ac:dyDescent="0.15">
      <c r="A85" t="s">
        <v>972</v>
      </c>
      <c r="B85" s="17">
        <v>919173</v>
      </c>
      <c r="C85" s="18">
        <f t="shared" si="2"/>
        <v>0.55782067286364245</v>
      </c>
      <c r="D85">
        <v>27</v>
      </c>
      <c r="E85" t="str">
        <f>VLOOKUP(D85,Validation!$A$2:$C$41,3,FALSE)</f>
        <v xml:space="preserve">NFL </v>
      </c>
      <c r="F85" t="s">
        <v>1350</v>
      </c>
    </row>
    <row r="86" spans="1:6" x14ac:dyDescent="0.15">
      <c r="A86" t="s">
        <v>998</v>
      </c>
      <c r="B86" s="17">
        <v>870699</v>
      </c>
      <c r="C86" s="18">
        <f t="shared" si="2"/>
        <v>0.52840314287049406</v>
      </c>
      <c r="D86">
        <v>4</v>
      </c>
      <c r="E86" t="str">
        <f>VLOOKUP(D86,Validation!$A$2:$C$41,3,FALSE)</f>
        <v>MCB</v>
      </c>
      <c r="F86" t="s">
        <v>1350</v>
      </c>
    </row>
    <row r="87" spans="1:6" x14ac:dyDescent="0.15">
      <c r="A87" t="s">
        <v>997</v>
      </c>
      <c r="B87" s="17">
        <v>638732</v>
      </c>
      <c r="C87" s="18">
        <f t="shared" si="2"/>
        <v>0.38762878589725774</v>
      </c>
      <c r="D87">
        <v>5</v>
      </c>
      <c r="E87" t="str">
        <f>VLOOKUP(D87,Validation!$A$2:$C$41,3,FALSE)</f>
        <v>CFB</v>
      </c>
      <c r="F87" t="s">
        <v>1351</v>
      </c>
    </row>
    <row r="88" spans="1:6" x14ac:dyDescent="0.15">
      <c r="A88" t="s">
        <v>996</v>
      </c>
      <c r="B88" s="17">
        <v>603010</v>
      </c>
      <c r="C88" s="18">
        <f t="shared" si="2"/>
        <v>0.36595009203219092</v>
      </c>
      <c r="D88">
        <v>5</v>
      </c>
      <c r="E88" t="str">
        <f>VLOOKUP(D88,Validation!$A$2:$C$41,3,FALSE)</f>
        <v>CFB</v>
      </c>
      <c r="F88" t="s">
        <v>1350</v>
      </c>
    </row>
    <row r="89" spans="1:6" x14ac:dyDescent="0.15">
      <c r="A89" t="s">
        <v>999</v>
      </c>
      <c r="B89" s="17">
        <v>598323</v>
      </c>
      <c r="C89" s="18">
        <f t="shared" si="2"/>
        <v>0.36310568135682092</v>
      </c>
      <c r="D89">
        <v>4</v>
      </c>
      <c r="E89" t="str">
        <f>VLOOKUP(D89,Validation!$A$2:$C$41,3,FALSE)</f>
        <v>MCB</v>
      </c>
      <c r="F89" t="s">
        <v>1351</v>
      </c>
    </row>
    <row r="90" spans="1:6" x14ac:dyDescent="0.15">
      <c r="A90" t="s">
        <v>97</v>
      </c>
      <c r="B90" s="17">
        <v>176702</v>
      </c>
      <c r="C90" s="18">
        <f t="shared" si="2"/>
        <v>0.10723555689337193</v>
      </c>
      <c r="D90">
        <v>18</v>
      </c>
      <c r="E90" t="str">
        <f>VLOOKUP(D90,Validation!$A$2:$C$41,3,FALSE)</f>
        <v>MLS</v>
      </c>
    </row>
    <row r="91" spans="1:6" x14ac:dyDescent="0.15">
      <c r="A91" t="s">
        <v>976</v>
      </c>
      <c r="B91" s="17">
        <v>155318</v>
      </c>
      <c r="C91" s="18">
        <f t="shared" si="2"/>
        <v>9.4258198693646586E-2</v>
      </c>
      <c r="D91">
        <v>17</v>
      </c>
      <c r="E91" t="str">
        <f>VLOOKUP(D91,Validation!$A$2:$C$41,3,FALSE)</f>
        <v>MLB</v>
      </c>
      <c r="F91" t="s">
        <v>1350</v>
      </c>
    </row>
    <row r="92" spans="1:6" x14ac:dyDescent="0.15">
      <c r="A92" t="s">
        <v>1001</v>
      </c>
      <c r="B92" s="17">
        <v>148318</v>
      </c>
      <c r="C92" s="18">
        <f t="shared" si="2"/>
        <v>9.001009228707732E-2</v>
      </c>
      <c r="D92">
        <v>5</v>
      </c>
      <c r="E92" t="str">
        <f>VLOOKUP(D92,Validation!$A$2:$C$41,3,FALSE)</f>
        <v>CFB</v>
      </c>
      <c r="F92" t="s">
        <v>1350</v>
      </c>
    </row>
    <row r="93" spans="1:6" x14ac:dyDescent="0.15">
      <c r="A93" t="s">
        <v>1000</v>
      </c>
      <c r="B93" s="17">
        <v>146765</v>
      </c>
      <c r="C93" s="18">
        <f t="shared" si="2"/>
        <v>8.9067619537162732E-2</v>
      </c>
      <c r="D93">
        <v>4</v>
      </c>
      <c r="E93" t="str">
        <f>VLOOKUP(D93,Validation!$A$2:$C$41,3,FALSE)</f>
        <v>MCB</v>
      </c>
      <c r="F93" t="s">
        <v>1350</v>
      </c>
    </row>
    <row r="94" spans="1:6" x14ac:dyDescent="0.15">
      <c r="A94" t="s">
        <v>977</v>
      </c>
      <c r="B94" s="17">
        <v>48481</v>
      </c>
      <c r="C94" s="18">
        <f t="shared" si="2"/>
        <v>2.9421778099554981E-2</v>
      </c>
      <c r="D94">
        <v>27</v>
      </c>
      <c r="E94" t="str">
        <f>VLOOKUP(D94,Validation!$A$2:$C$41,3,FALSE)</f>
        <v xml:space="preserve">NFL </v>
      </c>
      <c r="F94" t="s">
        <v>1351</v>
      </c>
    </row>
    <row r="95" spans="1:6" x14ac:dyDescent="0.15">
      <c r="A95" t="s">
        <v>1083</v>
      </c>
      <c r="B95" s="17">
        <v>17122</v>
      </c>
      <c r="C95" s="18">
        <f t="shared" si="2"/>
        <v>1.0390868270468439E-2</v>
      </c>
      <c r="D95">
        <v>4</v>
      </c>
      <c r="E95" t="str">
        <f>VLOOKUP(D95,Validation!$A$2:$C$41,3,FALSE)</f>
        <v>MCB</v>
      </c>
      <c r="F95" t="s">
        <v>1351</v>
      </c>
    </row>
  </sheetData>
  <pageMargins left="0.7" right="0.7" top="0.75" bottom="0.75" header="0.3" footer="0.3"/>
  <pageSetup orientation="portrait" verticalDpi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 enableFormatConditionsCalculation="0"/>
  <dimension ref="A1:F100"/>
  <sheetViews>
    <sheetView topLeftCell="A71" zoomScale="85" zoomScaleNormal="85" zoomScalePageLayoutView="85" workbookViewId="0">
      <selection activeCell="A99" sqref="A99"/>
    </sheetView>
  </sheetViews>
  <sheetFormatPr baseColWidth="10" defaultColWidth="8.83203125" defaultRowHeight="13" x14ac:dyDescent="0.15"/>
  <cols>
    <col min="1" max="1" width="33.33203125" bestFit="1" customWidth="1"/>
    <col min="2" max="2" width="10.5" bestFit="1" customWidth="1"/>
  </cols>
  <sheetData>
    <row r="1" spans="1:3" x14ac:dyDescent="0.15">
      <c r="A1" t="s">
        <v>477</v>
      </c>
      <c r="B1" t="s">
        <v>807</v>
      </c>
      <c r="C1" t="s">
        <v>811</v>
      </c>
    </row>
    <row r="2" spans="1:3" x14ac:dyDescent="0.15">
      <c r="A2" t="s">
        <v>0</v>
      </c>
      <c r="B2" s="17">
        <f>IFERROR(SUMIFS('Full List'!B:B,'Full List'!A:A,KY!$A2,'Full List'!E:E,KY!$A$1),"")</f>
        <v>2301650</v>
      </c>
      <c r="C2" s="18">
        <f>IFERROR(B2/$B$2,"")</f>
        <v>1</v>
      </c>
    </row>
    <row r="3" spans="1:3" x14ac:dyDescent="0.15">
      <c r="A3" t="s">
        <v>3</v>
      </c>
      <c r="B3" s="17">
        <f>IFERROR(SUMIFS('Full List'!B:B,'Full List'!A:A,KY!$A3,'Full List'!E:E,KY!$A$1),"")</f>
        <v>45966</v>
      </c>
      <c r="C3" s="18">
        <f t="shared" ref="C3:C66" si="0">IFERROR(B3/$B$2,"")</f>
        <v>1.9970890448156756E-2</v>
      </c>
    </row>
    <row r="4" spans="1:3" x14ac:dyDescent="0.15">
      <c r="A4" t="s">
        <v>4</v>
      </c>
      <c r="B4" s="17">
        <f>IFERROR(SUMIFS('Full List'!B:B,'Full List'!A:A,KY!$A4,'Full List'!E:E,KY!$A$1),"")</f>
        <v>30589</v>
      </c>
      <c r="C4" s="18">
        <f t="shared" si="0"/>
        <v>1.3290031064670997E-2</v>
      </c>
    </row>
    <row r="5" spans="1:3" x14ac:dyDescent="0.15">
      <c r="A5" t="s">
        <v>5</v>
      </c>
      <c r="B5" s="17">
        <f>IFERROR(SUMIFS('Full List'!B:B,'Full List'!A:A,KY!$A5,'Full List'!E:E,KY!$A$1),"")</f>
        <v>192843</v>
      </c>
      <c r="C5" s="18">
        <f t="shared" si="0"/>
        <v>8.3784676210544612E-2</v>
      </c>
    </row>
    <row r="6" spans="1:3" x14ac:dyDescent="0.15">
      <c r="A6" t="s">
        <v>6</v>
      </c>
      <c r="B6" s="17">
        <f>IFERROR(SUMIFS('Full List'!B:B,'Full List'!A:A,KY!$A6,'Full List'!E:E,KY!$A$1),"")</f>
        <v>1016206</v>
      </c>
      <c r="C6" s="18">
        <f t="shared" si="0"/>
        <v>0.44151195881215649</v>
      </c>
    </row>
    <row r="7" spans="1:3" x14ac:dyDescent="0.15">
      <c r="A7" t="s">
        <v>7</v>
      </c>
      <c r="B7" s="17">
        <f>IFERROR(SUMIFS('Full List'!B:B,'Full List'!A:A,KY!$A7,'Full List'!E:E,KY!$A$1),"")</f>
        <v>603340</v>
      </c>
      <c r="C7" s="18">
        <f t="shared" si="0"/>
        <v>0.2621336867030174</v>
      </c>
    </row>
    <row r="8" spans="1:3" x14ac:dyDescent="0.15">
      <c r="A8" t="s">
        <v>8</v>
      </c>
      <c r="B8" s="17">
        <f>IFERROR(SUMIFS('Full List'!B:B,'Full List'!A:A,KY!$A8,'Full List'!E:E,KY!$A$1),"")</f>
        <v>16911</v>
      </c>
      <c r="C8" s="18">
        <f t="shared" si="0"/>
        <v>7.3473377794191124E-3</v>
      </c>
    </row>
    <row r="9" spans="1:3" x14ac:dyDescent="0.15">
      <c r="A9" t="s">
        <v>9</v>
      </c>
      <c r="B9" s="17">
        <f>IFERROR(SUMIFS('Full List'!B:B,'Full List'!A:A,KY!$A9,'Full List'!E:E,KY!$A$1),"")</f>
        <v>23389</v>
      </c>
      <c r="C9" s="18">
        <f t="shared" si="0"/>
        <v>1.0161840418829969E-2</v>
      </c>
    </row>
    <row r="10" spans="1:3" x14ac:dyDescent="0.15">
      <c r="A10" t="s">
        <v>10</v>
      </c>
      <c r="B10" s="17">
        <f>IFERROR(SUMIFS('Full List'!B:B,'Full List'!A:A,KY!$A10,'Full List'!E:E,KY!$A$1),"")</f>
        <v>44978</v>
      </c>
      <c r="C10" s="18">
        <f t="shared" si="0"/>
        <v>1.9541633176199683E-2</v>
      </c>
    </row>
    <row r="11" spans="1:3" x14ac:dyDescent="0.15">
      <c r="A11" t="s">
        <v>11</v>
      </c>
      <c r="B11" s="17">
        <f>IFERROR(SUMIFS('Full List'!B:B,'Full List'!A:A,KY!$A11,'Full List'!E:E,KY!$A$1),"")</f>
        <v>105777</v>
      </c>
      <c r="C11" s="18">
        <f t="shared" si="0"/>
        <v>4.5957030825711988E-2</v>
      </c>
    </row>
    <row r="12" spans="1:3" x14ac:dyDescent="0.15">
      <c r="A12" t="s">
        <v>12</v>
      </c>
      <c r="B12" s="17">
        <f>IFERROR(SUMIFS('Full List'!B:B,'Full List'!A:A,KY!$A12,'Full List'!E:E,KY!$A$1),"")</f>
        <v>21997</v>
      </c>
      <c r="C12" s="18">
        <f t="shared" si="0"/>
        <v>9.5570568939673719E-3</v>
      </c>
    </row>
    <row r="13" spans="1:3" x14ac:dyDescent="0.15">
      <c r="A13" t="s">
        <v>13</v>
      </c>
      <c r="B13" s="17">
        <f>IFERROR(SUMIFS('Full List'!B:B,'Full List'!A:A,KY!$A13,'Full List'!E:E,KY!$A$1),"")</f>
        <v>13177</v>
      </c>
      <c r="C13" s="18">
        <f t="shared" si="0"/>
        <v>5.7250233528121129E-3</v>
      </c>
    </row>
    <row r="14" spans="1:3" x14ac:dyDescent="0.15">
      <c r="A14" t="s">
        <v>14</v>
      </c>
      <c r="B14" s="17">
        <f>IFERROR(SUMIFS('Full List'!B:B,'Full List'!A:A,KY!$A14,'Full List'!E:E,KY!$A$1),"")</f>
        <v>125237</v>
      </c>
      <c r="C14" s="18">
        <f t="shared" si="0"/>
        <v>5.4411834987943435E-2</v>
      </c>
    </row>
    <row r="15" spans="1:3" x14ac:dyDescent="0.15">
      <c r="A15" t="s">
        <v>15</v>
      </c>
      <c r="B15" s="17">
        <f>IFERROR(SUMIFS('Full List'!B:B,'Full List'!A:A,KY!$A15,'Full List'!E:E,KY!$A$1),"")</f>
        <v>216681</v>
      </c>
      <c r="C15" s="18">
        <f t="shared" si="0"/>
        <v>9.4141594073816615E-2</v>
      </c>
    </row>
    <row r="16" spans="1:3" x14ac:dyDescent="0.15">
      <c r="A16" t="s">
        <v>16</v>
      </c>
      <c r="B16" s="17">
        <f>IFERROR(SUMIFS('Full List'!B:B,'Full List'!A:A,KY!$A16,'Full List'!E:E,KY!$A$1),"")</f>
        <v>193309</v>
      </c>
      <c r="C16" s="18">
        <f t="shared" si="0"/>
        <v>8.3987139660678209E-2</v>
      </c>
    </row>
    <row r="17" spans="1:3" x14ac:dyDescent="0.15">
      <c r="A17" t="s">
        <v>17</v>
      </c>
      <c r="B17" s="17">
        <f>IFERROR(SUMIFS('Full List'!B:B,'Full List'!A:A,KY!$A17,'Full List'!E:E,KY!$A$1),"")</f>
        <v>47040</v>
      </c>
      <c r="C17" s="18">
        <f t="shared" si="0"/>
        <v>2.0437512219494712E-2</v>
      </c>
    </row>
    <row r="18" spans="1:3" x14ac:dyDescent="0.15">
      <c r="A18" t="s">
        <v>18</v>
      </c>
      <c r="B18" s="17">
        <f>IFERROR(SUMIFS('Full List'!B:B,'Full List'!A:A,KY!$A18,'Full List'!E:E,KY!$A$1),"")</f>
        <v>30062</v>
      </c>
      <c r="C18" s="18">
        <f t="shared" si="0"/>
        <v>1.3061064888232355E-2</v>
      </c>
    </row>
    <row r="19" spans="1:3" x14ac:dyDescent="0.15">
      <c r="A19" t="s">
        <v>19</v>
      </c>
      <c r="B19" s="17">
        <f>IFERROR(SUMIFS('Full List'!B:B,'Full List'!A:A,KY!$A19,'Full List'!E:E,KY!$A$1),"")</f>
        <v>204483</v>
      </c>
      <c r="C19" s="18">
        <f t="shared" si="0"/>
        <v>8.8841917754654276E-2</v>
      </c>
    </row>
    <row r="20" spans="1:3" x14ac:dyDescent="0.15">
      <c r="A20" t="s">
        <v>20</v>
      </c>
      <c r="B20" s="17">
        <f>IFERROR(SUMIFS('Full List'!B:B,'Full List'!A:A,KY!$A20,'Full List'!E:E,KY!$A$1),"")</f>
        <v>13723</v>
      </c>
      <c r="C20" s="18">
        <f t="shared" si="0"/>
        <v>5.9622444767883911E-3</v>
      </c>
    </row>
    <row r="21" spans="1:3" x14ac:dyDescent="0.15">
      <c r="A21" t="s">
        <v>21</v>
      </c>
      <c r="B21" s="17">
        <f>IFERROR(SUMIFS('Full List'!B:B,'Full List'!A:A,KY!$A21,'Full List'!E:E,KY!$A$1),"")</f>
        <v>66850</v>
      </c>
      <c r="C21" s="18">
        <f t="shared" si="0"/>
        <v>2.9044381204787868E-2</v>
      </c>
    </row>
    <row r="22" spans="1:3" x14ac:dyDescent="0.15">
      <c r="A22" t="s">
        <v>22</v>
      </c>
      <c r="B22" s="17">
        <f>IFERROR(SUMIFS('Full List'!B:B,'Full List'!A:A,KY!$A22,'Full List'!E:E,KY!$A$1),"")</f>
        <v>11439</v>
      </c>
      <c r="C22" s="18">
        <f t="shared" si="0"/>
        <v>4.9699128885799318E-3</v>
      </c>
    </row>
    <row r="23" spans="1:3" x14ac:dyDescent="0.15">
      <c r="A23" t="s">
        <v>23</v>
      </c>
      <c r="B23" s="17">
        <f>IFERROR(SUMIFS('Full List'!B:B,'Full List'!A:A,KY!$A23,'Full List'!E:E,KY!$A$1),"")</f>
        <v>46750</v>
      </c>
      <c r="C23" s="18">
        <f t="shared" si="0"/>
        <v>2.0311515651815003E-2</v>
      </c>
    </row>
    <row r="24" spans="1:3" x14ac:dyDescent="0.15">
      <c r="A24" t="s">
        <v>24</v>
      </c>
      <c r="B24" s="17">
        <f>IFERROR(SUMIFS('Full List'!B:B,'Full List'!A:A,KY!$A24,'Full List'!E:E,KY!$A$1),"")</f>
        <v>2842</v>
      </c>
      <c r="C24" s="18">
        <f t="shared" si="0"/>
        <v>1.2347663632611388E-3</v>
      </c>
    </row>
    <row r="25" spans="1:3" x14ac:dyDescent="0.15">
      <c r="A25" t="s">
        <v>25</v>
      </c>
      <c r="B25" s="17">
        <f>IFERROR(SUMIFS('Full List'!B:B,'Full List'!A:A,KY!$A25,'Full List'!E:E,KY!$A$1),"")</f>
        <v>76242</v>
      </c>
      <c r="C25" s="18">
        <f t="shared" si="0"/>
        <v>3.3124932113918273E-2</v>
      </c>
    </row>
    <row r="26" spans="1:3" x14ac:dyDescent="0.15">
      <c r="A26" t="s">
        <v>26</v>
      </c>
      <c r="B26" s="17">
        <f>IFERROR(SUMIFS('Full List'!B:B,'Full List'!A:A,KY!$A26,'Full List'!E:E,KY!$A$1),"")</f>
        <v>34180</v>
      </c>
      <c r="C26" s="18">
        <f t="shared" si="0"/>
        <v>1.4850216149284209E-2</v>
      </c>
    </row>
    <row r="27" spans="1:3" x14ac:dyDescent="0.15">
      <c r="A27" t="s">
        <v>27</v>
      </c>
      <c r="B27" s="17">
        <f>IFERROR(SUMIFS('Full List'!B:B,'Full List'!A:A,KY!$A27,'Full List'!E:E,KY!$A$1),"")</f>
        <v>255377</v>
      </c>
      <c r="C27" s="18">
        <f t="shared" si="0"/>
        <v>0.11095388091152</v>
      </c>
    </row>
    <row r="28" spans="1:3" x14ac:dyDescent="0.15">
      <c r="A28" t="s">
        <v>28</v>
      </c>
      <c r="B28" s="17">
        <f>IFERROR(SUMIFS('Full List'!B:B,'Full List'!A:A,KY!$A28,'Full List'!E:E,KY!$A$1),"")</f>
        <v>261466</v>
      </c>
      <c r="C28" s="18">
        <f t="shared" si="0"/>
        <v>0.11359937436187083</v>
      </c>
    </row>
    <row r="29" spans="1:3" x14ac:dyDescent="0.15">
      <c r="A29" t="s">
        <v>29</v>
      </c>
      <c r="B29" s="17">
        <f>IFERROR(SUMIFS('Full List'!B:B,'Full List'!A:A,KY!$A29,'Full List'!E:E,KY!$A$1),"")</f>
        <v>482830</v>
      </c>
      <c r="C29" s="18">
        <f t="shared" si="0"/>
        <v>0.20977559576825322</v>
      </c>
    </row>
    <row r="30" spans="1:3" x14ac:dyDescent="0.15">
      <c r="A30" t="s">
        <v>30</v>
      </c>
      <c r="B30" s="17">
        <f>IFERROR(SUMIFS('Full List'!B:B,'Full List'!A:A,KY!$A30,'Full List'!E:E,KY!$A$1),"")</f>
        <v>37922</v>
      </c>
      <c r="C30" s="18">
        <f t="shared" si="0"/>
        <v>1.6476006343275475E-2</v>
      </c>
    </row>
    <row r="31" spans="1:3" x14ac:dyDescent="0.15">
      <c r="A31" t="s">
        <v>31</v>
      </c>
      <c r="B31" s="17">
        <f>IFERROR(SUMIFS('Full List'!B:B,'Full List'!A:A,KY!$A31,'Full List'!E:E,KY!$A$1),"")</f>
        <v>30856</v>
      </c>
      <c r="C31" s="18">
        <f t="shared" si="0"/>
        <v>1.3406034801120934E-2</v>
      </c>
    </row>
    <row r="32" spans="1:3" x14ac:dyDescent="0.15">
      <c r="A32" t="s">
        <v>32</v>
      </c>
      <c r="B32" s="17">
        <f>IFERROR(SUMIFS('Full List'!B:B,'Full List'!A:A,KY!$A32,'Full List'!E:E,KY!$A$1),"")</f>
        <v>71836</v>
      </c>
      <c r="C32" s="18">
        <f t="shared" si="0"/>
        <v>3.1210653227032779E-2</v>
      </c>
    </row>
    <row r="33" spans="1:3" x14ac:dyDescent="0.15">
      <c r="A33" t="s">
        <v>33</v>
      </c>
      <c r="B33" s="17">
        <f>IFERROR(SUMIFS('Full List'!B:B,'Full List'!A:A,KY!$A33,'Full List'!E:E,KY!$A$1),"")</f>
        <v>484232</v>
      </c>
      <c r="C33" s="18">
        <f t="shared" si="0"/>
        <v>0.21038472400234615</v>
      </c>
    </row>
    <row r="34" spans="1:3" x14ac:dyDescent="0.15">
      <c r="A34" t="s">
        <v>34</v>
      </c>
      <c r="B34" s="17">
        <f>IFERROR(SUMIFS('Full List'!B:B,'Full List'!A:A,KY!$A34,'Full List'!E:E,KY!$A$1),"")</f>
        <v>151632</v>
      </c>
      <c r="C34" s="18">
        <f t="shared" si="0"/>
        <v>6.5879695001412025E-2</v>
      </c>
    </row>
    <row r="35" spans="1:3" x14ac:dyDescent="0.15">
      <c r="A35" t="s">
        <v>35</v>
      </c>
      <c r="B35" s="17">
        <f>IFERROR(SUMIFS('Full List'!B:B,'Full List'!A:A,KY!$A35,'Full List'!E:E,KY!$A$1),"")</f>
        <v>86107</v>
      </c>
      <c r="C35" s="18">
        <f t="shared" si="0"/>
        <v>3.7410987769643515E-2</v>
      </c>
    </row>
    <row r="36" spans="1:3" x14ac:dyDescent="0.15">
      <c r="A36" t="s">
        <v>36</v>
      </c>
      <c r="B36" s="17">
        <f>IFERROR(SUMIFS('Full List'!B:B,'Full List'!A:A,KY!$A36,'Full List'!E:E,KY!$A$1),"")</f>
        <v>60756</v>
      </c>
      <c r="C36" s="18">
        <f t="shared" si="0"/>
        <v>2.6396715399821868E-2</v>
      </c>
    </row>
    <row r="37" spans="1:3" x14ac:dyDescent="0.15">
      <c r="A37" t="s">
        <v>37</v>
      </c>
      <c r="B37" s="17">
        <f>IFERROR(SUMIFS('Full List'!B:B,'Full List'!A:A,KY!$A37,'Full List'!E:E,KY!$A$1),"")</f>
        <v>39735</v>
      </c>
      <c r="C37" s="18">
        <f t="shared" si="0"/>
        <v>1.726370212673517E-2</v>
      </c>
    </row>
    <row r="38" spans="1:3" x14ac:dyDescent="0.15">
      <c r="A38" t="s">
        <v>38</v>
      </c>
      <c r="B38" s="17">
        <f>IFERROR(SUMIFS('Full List'!B:B,'Full List'!A:A,KY!$A38,'Full List'!E:E,KY!$A$1),"")</f>
        <v>47403</v>
      </c>
      <c r="C38" s="18">
        <f t="shared" si="0"/>
        <v>2.0595225164555864E-2</v>
      </c>
    </row>
    <row r="39" spans="1:3" x14ac:dyDescent="0.15">
      <c r="A39" t="s">
        <v>39</v>
      </c>
      <c r="B39" s="17">
        <f>IFERROR(SUMIFS('Full List'!B:B,'Full List'!A:A,KY!$A39,'Full List'!E:E,KY!$A$1),"")</f>
        <v>106870</v>
      </c>
      <c r="C39" s="18">
        <f t="shared" si="0"/>
        <v>4.6431907544587578E-2</v>
      </c>
    </row>
    <row r="40" spans="1:3" x14ac:dyDescent="0.15">
      <c r="A40" t="s">
        <v>40</v>
      </c>
      <c r="B40" s="17">
        <f>IFERROR(SUMIFS('Full List'!B:B,'Full List'!A:A,KY!$A40,'Full List'!E:E,KY!$A$1),"")</f>
        <v>31443</v>
      </c>
      <c r="C40" s="18">
        <f t="shared" si="0"/>
        <v>1.3661069232941586E-2</v>
      </c>
    </row>
    <row r="41" spans="1:3" x14ac:dyDescent="0.15">
      <c r="A41" t="s">
        <v>41</v>
      </c>
      <c r="B41" s="17">
        <f>IFERROR(SUMIFS('Full List'!B:B,'Full List'!A:A,KY!$A41,'Full List'!E:E,KY!$A$1),"")</f>
        <v>65032</v>
      </c>
      <c r="C41" s="18">
        <f t="shared" si="0"/>
        <v>2.8254513066713009E-2</v>
      </c>
    </row>
    <row r="42" spans="1:3" x14ac:dyDescent="0.15">
      <c r="A42" t="s">
        <v>42</v>
      </c>
      <c r="B42" s="17">
        <f>IFERROR(SUMIFS('Full List'!B:B,'Full List'!A:A,KY!$A42,'Full List'!E:E,KY!$A$1),"")</f>
        <v>108214</v>
      </c>
      <c r="C42" s="18">
        <f t="shared" si="0"/>
        <v>4.7015836465144567E-2</v>
      </c>
    </row>
    <row r="43" spans="1:3" x14ac:dyDescent="0.15">
      <c r="A43" t="s">
        <v>43</v>
      </c>
      <c r="B43" s="17">
        <f>IFERROR(SUMIFS('Full List'!B:B,'Full List'!A:A,KY!$A43,'Full List'!E:E,KY!$A$1),"")</f>
        <v>215626</v>
      </c>
      <c r="C43" s="18">
        <f t="shared" si="0"/>
        <v>9.3683227250016293E-2</v>
      </c>
    </row>
    <row r="44" spans="1:3" x14ac:dyDescent="0.15">
      <c r="A44" t="s">
        <v>44</v>
      </c>
      <c r="B44" s="17">
        <f>IFERROR(SUMIFS('Full List'!B:B,'Full List'!A:A,KY!$A44,'Full List'!E:E,KY!$A$1),"")</f>
        <v>225850</v>
      </c>
      <c r="C44" s="18">
        <f t="shared" si="0"/>
        <v>9.8125257967110552E-2</v>
      </c>
    </row>
    <row r="45" spans="1:3" x14ac:dyDescent="0.15">
      <c r="A45" t="s">
        <v>45</v>
      </c>
      <c r="B45" s="17">
        <f>IFERROR(SUMIFS('Full List'!B:B,'Full List'!A:A,KY!$A45,'Full List'!E:E,KY!$A$1),"")</f>
        <v>687939</v>
      </c>
      <c r="C45" s="18">
        <f t="shared" si="0"/>
        <v>0.29888949232072642</v>
      </c>
    </row>
    <row r="46" spans="1:3" x14ac:dyDescent="0.15">
      <c r="A46" t="s">
        <v>46</v>
      </c>
      <c r="B46" s="17">
        <f>IFERROR(SUMIFS('Full List'!B:B,'Full List'!A:A,KY!$A46,'Full List'!E:E,KY!$A$1),"")</f>
        <v>1604365</v>
      </c>
      <c r="C46" s="18">
        <f t="shared" si="0"/>
        <v>0.69704994243260265</v>
      </c>
    </row>
    <row r="47" spans="1:3" x14ac:dyDescent="0.15">
      <c r="A47" t="s">
        <v>47</v>
      </c>
      <c r="B47" s="17">
        <f>IFERROR(SUMIFS('Full List'!B:B,'Full List'!A:A,KY!$A47,'Full List'!E:E,KY!$A$1),"")</f>
        <v>1263574</v>
      </c>
      <c r="C47" s="18">
        <f t="shared" si="0"/>
        <v>0.5489861621011014</v>
      </c>
    </row>
    <row r="48" spans="1:3" x14ac:dyDescent="0.15">
      <c r="A48" t="s">
        <v>48</v>
      </c>
      <c r="B48" s="17">
        <f>IFERROR(SUMIFS('Full List'!B:B,'Full List'!A:A,KY!$A48,'Full List'!E:E,KY!$A$1),"")</f>
        <v>160810</v>
      </c>
      <c r="C48" s="18">
        <f t="shared" si="0"/>
        <v>6.9867269133013277E-2</v>
      </c>
    </row>
    <row r="49" spans="1:3" x14ac:dyDescent="0.15">
      <c r="A49" t="s">
        <v>49</v>
      </c>
      <c r="B49" s="17">
        <f>IFERROR(SUMIFS('Full List'!B:B,'Full List'!A:A,KY!$A49,'Full List'!E:E,KY!$A$1),"")</f>
        <v>173936</v>
      </c>
      <c r="C49" s="18">
        <f t="shared" si="0"/>
        <v>7.5570134468750674E-2</v>
      </c>
    </row>
    <row r="50" spans="1:3" x14ac:dyDescent="0.15">
      <c r="A50" t="s">
        <v>50</v>
      </c>
      <c r="B50" s="17">
        <f>IFERROR(SUMIFS('Full List'!B:B,'Full List'!A:A,KY!$A50,'Full List'!E:E,KY!$A$1),"")</f>
        <v>365518</v>
      </c>
      <c r="C50" s="18">
        <f t="shared" si="0"/>
        <v>0.15880694284535007</v>
      </c>
    </row>
    <row r="51" spans="1:3" x14ac:dyDescent="0.15">
      <c r="A51" t="s">
        <v>51</v>
      </c>
      <c r="B51" s="17">
        <f>IFERROR(SUMIFS('Full List'!B:B,'Full List'!A:A,KY!$A51,'Full List'!E:E,KY!$A$1),"")</f>
        <v>655806</v>
      </c>
      <c r="C51" s="18">
        <f t="shared" si="0"/>
        <v>0.28492863815089176</v>
      </c>
    </row>
    <row r="52" spans="1:3" x14ac:dyDescent="0.15">
      <c r="A52" t="s">
        <v>52</v>
      </c>
      <c r="B52" s="17">
        <f>IFERROR(SUMIFS('Full List'!B:B,'Full List'!A:A,KY!$A52,'Full List'!E:E,KY!$A$1),"")</f>
        <v>231490</v>
      </c>
      <c r="C52" s="18">
        <f t="shared" si="0"/>
        <v>0.10057567397301935</v>
      </c>
    </row>
    <row r="53" spans="1:3" x14ac:dyDescent="0.15">
      <c r="A53" t="s">
        <v>53</v>
      </c>
      <c r="B53" s="17">
        <f>IFERROR(SUMIFS('Full List'!B:B,'Full List'!A:A,KY!$A53,'Full List'!E:E,KY!$A$1),"")</f>
        <v>171783</v>
      </c>
      <c r="C53" s="18">
        <f t="shared" si="0"/>
        <v>7.4634718571459605E-2</v>
      </c>
    </row>
    <row r="54" spans="1:3" x14ac:dyDescent="0.15">
      <c r="A54" t="s">
        <v>54</v>
      </c>
      <c r="B54" s="17">
        <f>IFERROR(SUMIFS('Full List'!B:B,'Full List'!A:A,KY!$A54,'Full List'!E:E,KY!$A$1),"")</f>
        <v>730313</v>
      </c>
      <c r="C54" s="18">
        <f t="shared" si="0"/>
        <v>0.31729976321334696</v>
      </c>
    </row>
    <row r="55" spans="1:3" x14ac:dyDescent="0.15">
      <c r="A55" t="s">
        <v>55</v>
      </c>
      <c r="B55" s="17">
        <f>IFERROR(SUMIFS('Full List'!B:B,'Full List'!A:A,KY!$A55,'Full List'!E:E,KY!$A$1),"")</f>
        <v>832372</v>
      </c>
      <c r="C55" s="18">
        <f t="shared" si="0"/>
        <v>0.36164143114722047</v>
      </c>
    </row>
    <row r="56" spans="1:3" x14ac:dyDescent="0.15">
      <c r="A56" t="s">
        <v>56</v>
      </c>
      <c r="B56" s="17">
        <f>IFERROR(SUMIFS('Full List'!B:B,'Full List'!A:A,KY!$A56,'Full List'!E:E,KY!$A$1),"")</f>
        <v>1042034</v>
      </c>
      <c r="C56" s="18">
        <f t="shared" si="0"/>
        <v>0.45273347381226514</v>
      </c>
    </row>
    <row r="57" spans="1:3" x14ac:dyDescent="0.15">
      <c r="A57" t="s">
        <v>57</v>
      </c>
      <c r="B57" s="17">
        <f>IFERROR(SUMIFS('Full List'!B:B,'Full List'!A:A,KY!$A57,'Full List'!E:E,KY!$A$1),"")</f>
        <v>402527</v>
      </c>
      <c r="C57" s="18">
        <f t="shared" si="0"/>
        <v>0.17488627723589598</v>
      </c>
    </row>
    <row r="58" spans="1:3" x14ac:dyDescent="0.15">
      <c r="A58" t="s">
        <v>58</v>
      </c>
      <c r="B58" s="17">
        <f>IFERROR(SUMIFS('Full List'!B:B,'Full List'!A:A,KY!$A58,'Full List'!E:E,KY!$A$1),"")</f>
        <v>225712</v>
      </c>
      <c r="C58" s="18">
        <f t="shared" si="0"/>
        <v>9.8065300979731929E-2</v>
      </c>
    </row>
    <row r="59" spans="1:3" x14ac:dyDescent="0.15">
      <c r="A59" t="s">
        <v>59</v>
      </c>
      <c r="B59" s="17">
        <f>IFERROR(SUMIFS('Full List'!B:B,'Full List'!A:A,KY!$A59,'Full List'!E:E,KY!$A$1),"")</f>
        <v>884856</v>
      </c>
      <c r="C59" s="18">
        <f t="shared" si="0"/>
        <v>0.3844442030717094</v>
      </c>
    </row>
    <row r="60" spans="1:3" x14ac:dyDescent="0.15">
      <c r="A60" t="s">
        <v>60</v>
      </c>
      <c r="B60" s="17">
        <f>IFERROR(SUMIFS('Full List'!B:B,'Full List'!A:A,KY!$A60,'Full List'!E:E,KY!$A$1),"")</f>
        <v>250169</v>
      </c>
      <c r="C60" s="18">
        <f t="shared" si="0"/>
        <v>0.10869115634436165</v>
      </c>
    </row>
    <row r="61" spans="1:3" x14ac:dyDescent="0.15">
      <c r="A61" t="s">
        <v>61</v>
      </c>
      <c r="B61" s="17">
        <f>IFERROR(SUMIFS('Full List'!B:B,'Full List'!A:A,KY!$A61,'Full List'!E:E,KY!$A$1),"")</f>
        <v>359936</v>
      </c>
      <c r="C61" s="18">
        <f t="shared" si="0"/>
        <v>0.15638172615297721</v>
      </c>
    </row>
    <row r="62" spans="1:3" x14ac:dyDescent="0.15">
      <c r="A62" t="s">
        <v>62</v>
      </c>
      <c r="B62" s="17">
        <f>IFERROR(SUMIFS('Full List'!B:B,'Full List'!A:A,KY!$A62,'Full List'!E:E,KY!$A$1),"")</f>
        <v>120851</v>
      </c>
      <c r="C62" s="18">
        <f t="shared" si="0"/>
        <v>5.2506245519518609E-2</v>
      </c>
    </row>
    <row r="63" spans="1:3" x14ac:dyDescent="0.15">
      <c r="A63" t="s">
        <v>63</v>
      </c>
      <c r="B63" s="17">
        <f>IFERROR(SUMIFS('Full List'!B:B,'Full List'!A:A,KY!$A63,'Full List'!E:E,KY!$A$1),"")</f>
        <v>395284</v>
      </c>
      <c r="C63" s="18">
        <f t="shared" si="0"/>
        <v>0.17173940434036453</v>
      </c>
    </row>
    <row r="64" spans="1:3" x14ac:dyDescent="0.15">
      <c r="A64" t="s">
        <v>64</v>
      </c>
      <c r="B64" s="17">
        <f>IFERROR(SUMIFS('Full List'!B:B,'Full List'!A:A,KY!$A64,'Full List'!E:E,KY!$A$1),"")</f>
        <v>88023</v>
      </c>
      <c r="C64" s="18">
        <f t="shared" si="0"/>
        <v>3.8243434058175658E-2</v>
      </c>
    </row>
    <row r="65" spans="1:3" x14ac:dyDescent="0.15">
      <c r="A65" t="s">
        <v>65</v>
      </c>
      <c r="B65" s="17">
        <f>IFERROR(SUMIFS('Full List'!B:B,'Full List'!A:A,KY!$A65,'Full List'!E:E,KY!$A$1),"")</f>
        <v>411806</v>
      </c>
      <c r="C65" s="18">
        <f t="shared" si="0"/>
        <v>0.17891773293072361</v>
      </c>
    </row>
    <row r="66" spans="1:3" x14ac:dyDescent="0.15">
      <c r="A66" t="s">
        <v>66</v>
      </c>
      <c r="B66" s="17">
        <f>IFERROR(SUMIFS('Full List'!B:B,'Full List'!A:A,KY!$A66,'Full List'!E:E,KY!$A$1),"")</f>
        <v>184088</v>
      </c>
      <c r="C66" s="18">
        <f t="shared" si="0"/>
        <v>7.998088327938653E-2</v>
      </c>
    </row>
    <row r="67" spans="1:3" x14ac:dyDescent="0.15">
      <c r="A67" t="s">
        <v>67</v>
      </c>
      <c r="B67" s="17">
        <f>IFERROR(SUMIFS('Full List'!B:B,'Full List'!A:A,KY!$A67,'Full List'!E:E,KY!$A$1),"")</f>
        <v>827827</v>
      </c>
      <c r="C67" s="18">
        <f t="shared" ref="C67:C82" si="1">IFERROR(B67/$B$2,"")</f>
        <v>0.3596667608020333</v>
      </c>
    </row>
    <row r="68" spans="1:3" x14ac:dyDescent="0.15">
      <c r="A68" t="s">
        <v>68</v>
      </c>
      <c r="B68" s="17">
        <f>IFERROR(SUMIFS('Full List'!B:B,'Full List'!A:A,KY!$A68,'Full List'!E:E,KY!$A$1),"")</f>
        <v>969544</v>
      </c>
      <c r="C68" s="18">
        <f t="shared" si="1"/>
        <v>0.42123867660156844</v>
      </c>
    </row>
    <row r="69" spans="1:3" x14ac:dyDescent="0.15">
      <c r="A69" t="s">
        <v>69</v>
      </c>
      <c r="B69" s="17">
        <f>IFERROR(SUMIFS('Full List'!B:B,'Full List'!A:A,KY!$A69,'Full List'!E:E,KY!$A$1),"")</f>
        <v>1237303</v>
      </c>
      <c r="C69" s="18">
        <f t="shared" si="1"/>
        <v>0.53757217648208888</v>
      </c>
    </row>
    <row r="70" spans="1:3" x14ac:dyDescent="0.15">
      <c r="A70" t="s">
        <v>70</v>
      </c>
      <c r="B70" s="17">
        <f>IFERROR(SUMIFS('Full List'!B:B,'Full List'!A:A,KY!$A70,'Full List'!E:E,KY!$A$1),"")</f>
        <v>260683</v>
      </c>
      <c r="C70" s="18">
        <f t="shared" si="1"/>
        <v>0.11325918362913562</v>
      </c>
    </row>
    <row r="71" spans="1:3" x14ac:dyDescent="0.15">
      <c r="A71" t="s">
        <v>71</v>
      </c>
      <c r="B71" s="17">
        <f>IFERROR(SUMIFS('Full List'!B:B,'Full List'!A:A,KY!$A71,'Full List'!E:E,KY!$A$1),"")</f>
        <v>177816</v>
      </c>
      <c r="C71" s="18">
        <f t="shared" si="1"/>
        <v>7.7255881650120567E-2</v>
      </c>
    </row>
    <row r="72" spans="1:3" x14ac:dyDescent="0.15">
      <c r="A72" t="s">
        <v>72</v>
      </c>
      <c r="B72" s="17">
        <f>IFERROR(SUMIFS('Full List'!B:B,'Full List'!A:A,KY!$A72,'Full List'!E:E,KY!$A$1),"")</f>
        <v>342789</v>
      </c>
      <c r="C72" s="18">
        <f t="shared" si="1"/>
        <v>0.14893185323572219</v>
      </c>
    </row>
    <row r="73" spans="1:3" x14ac:dyDescent="0.15">
      <c r="A73" t="s">
        <v>73</v>
      </c>
      <c r="B73" s="17">
        <f>IFERROR(SUMIFS('Full List'!B:B,'Full List'!A:A,KY!$A73,'Full List'!E:E,KY!$A$1),"")</f>
        <v>1273965</v>
      </c>
      <c r="C73" s="18">
        <f t="shared" si="1"/>
        <v>0.55350074946234218</v>
      </c>
    </row>
    <row r="74" spans="1:3" x14ac:dyDescent="0.15">
      <c r="A74" t="s">
        <v>74</v>
      </c>
      <c r="B74" s="17">
        <f>IFERROR(SUMIFS('Full List'!B:B,'Full List'!A:A,KY!$A74,'Full List'!E:E,KY!$A$1),"")</f>
        <v>549844</v>
      </c>
      <c r="C74" s="18">
        <f t="shared" si="1"/>
        <v>0.23889123020441858</v>
      </c>
    </row>
    <row r="75" spans="1:3" x14ac:dyDescent="0.15">
      <c r="A75" t="s">
        <v>75</v>
      </c>
      <c r="B75" s="17">
        <f>IFERROR(SUMIFS('Full List'!B:B,'Full List'!A:A,KY!$A75,'Full List'!E:E,KY!$A$1),"")</f>
        <v>446169</v>
      </c>
      <c r="C75" s="18">
        <f t="shared" si="1"/>
        <v>0.19384745725892294</v>
      </c>
    </row>
    <row r="76" spans="1:3" x14ac:dyDescent="0.15">
      <c r="A76" t="s">
        <v>76</v>
      </c>
      <c r="B76" s="17">
        <f>IFERROR(SUMIFS('Full List'!B:B,'Full List'!A:A,KY!$A76,'Full List'!E:E,KY!$A$1),"")</f>
        <v>407916</v>
      </c>
      <c r="C76" s="18">
        <f t="shared" si="1"/>
        <v>0.1772276410401234</v>
      </c>
    </row>
    <row r="77" spans="1:3" x14ac:dyDescent="0.15">
      <c r="A77" t="s">
        <v>77</v>
      </c>
      <c r="B77" s="17">
        <f>IFERROR(SUMIFS('Full List'!B:B,'Full List'!A:A,KY!$A77,'Full List'!E:E,KY!$A$1),"")</f>
        <v>334872</v>
      </c>
      <c r="C77" s="18">
        <f t="shared" si="1"/>
        <v>0.14549214693806617</v>
      </c>
    </row>
    <row r="78" spans="1:3" x14ac:dyDescent="0.15">
      <c r="A78" t="s">
        <v>78</v>
      </c>
      <c r="B78" s="17">
        <f>IFERROR(SUMIFS('Full List'!B:B,'Full List'!A:A,KY!$A78,'Full List'!E:E,KY!$A$1),"")</f>
        <v>269014</v>
      </c>
      <c r="C78" s="18">
        <f t="shared" si="1"/>
        <v>0.11687876088892751</v>
      </c>
    </row>
    <row r="79" spans="1:3" x14ac:dyDescent="0.15">
      <c r="A79" t="s">
        <v>79</v>
      </c>
      <c r="B79" s="17">
        <f>IFERROR(SUMIFS('Full List'!B:B,'Full List'!A:A,KY!$A79,'Full List'!E:E,KY!$A$1),"")</f>
        <v>437163</v>
      </c>
      <c r="C79" s="18">
        <f t="shared" si="1"/>
        <v>0.18993461212608345</v>
      </c>
    </row>
    <row r="80" spans="1:3" x14ac:dyDescent="0.15">
      <c r="A80" t="s">
        <v>80</v>
      </c>
      <c r="B80" s="17">
        <f>IFERROR(SUMIFS('Full List'!B:B,'Full List'!A:A,KY!$A80,'Full List'!E:E,KY!$A$1),"")</f>
        <v>371275</v>
      </c>
      <c r="C80" s="18">
        <f t="shared" si="1"/>
        <v>0.1613081919492538</v>
      </c>
    </row>
    <row r="81" spans="1:6" x14ac:dyDescent="0.15">
      <c r="A81" t="s">
        <v>81</v>
      </c>
      <c r="B81" s="17">
        <f>IFERROR(SUMIFS('Full List'!B:B,'Full List'!A:A,KY!$A81,'Full List'!E:E,KY!$A$1),"")</f>
        <v>350980</v>
      </c>
      <c r="C81" s="18">
        <f t="shared" si="1"/>
        <v>0.15249060456628941</v>
      </c>
    </row>
    <row r="82" spans="1:6" x14ac:dyDescent="0.15">
      <c r="A82" t="s">
        <v>82</v>
      </c>
      <c r="B82" s="17">
        <f>IFERROR(SUMIFS('Full List'!B:B,'Full List'!A:A,KY!$A82,'Full List'!E:E,KY!$A$1),"")</f>
        <v>379620</v>
      </c>
      <c r="C82" s="18">
        <f t="shared" si="1"/>
        <v>0.16493385180196815</v>
      </c>
    </row>
    <row r="83" spans="1:6" x14ac:dyDescent="0.15">
      <c r="B83" s="17"/>
      <c r="C83" s="18"/>
      <c r="D83" t="s">
        <v>812</v>
      </c>
      <c r="E83" t="s">
        <v>860</v>
      </c>
      <c r="F83" t="s">
        <v>1349</v>
      </c>
    </row>
    <row r="84" spans="1:6" x14ac:dyDescent="0.15">
      <c r="A84" t="s">
        <v>1008</v>
      </c>
      <c r="B84" s="17">
        <v>956029</v>
      </c>
      <c r="C84" s="18">
        <f t="shared" ref="C84:C100" si="2">IFERROR(B84/$B$2,"")</f>
        <v>0.41536680207677101</v>
      </c>
      <c r="D84">
        <v>5</v>
      </c>
      <c r="E84" t="str">
        <f>VLOOKUP(D84,Validation!$A$2:$C$41,3,FALSE)</f>
        <v>CFB</v>
      </c>
      <c r="F84" t="s">
        <v>1350</v>
      </c>
    </row>
    <row r="85" spans="1:6" x14ac:dyDescent="0.15">
      <c r="A85" t="s">
        <v>1009</v>
      </c>
      <c r="B85" s="17">
        <v>728033</v>
      </c>
      <c r="C85" s="18">
        <f t="shared" si="2"/>
        <v>0.31630916950883065</v>
      </c>
      <c r="D85">
        <v>5</v>
      </c>
      <c r="E85" t="str">
        <f>VLOOKUP(D85,Validation!$A$2:$C$41,3,FALSE)</f>
        <v>CFB</v>
      </c>
      <c r="F85" t="s">
        <v>1351</v>
      </c>
    </row>
    <row r="86" spans="1:6" x14ac:dyDescent="0.15">
      <c r="A86" t="s">
        <v>1016</v>
      </c>
      <c r="B86" s="17">
        <v>703776</v>
      </c>
      <c r="C86" s="18">
        <f t="shared" si="2"/>
        <v>0.30577020832880758</v>
      </c>
      <c r="D86">
        <v>4</v>
      </c>
      <c r="E86" t="str">
        <f>VLOOKUP(D86,Validation!$A$2:$C$41,3,FALSE)</f>
        <v>MCB</v>
      </c>
      <c r="F86" t="s">
        <v>1350</v>
      </c>
    </row>
    <row r="87" spans="1:6" x14ac:dyDescent="0.15">
      <c r="A87" t="s">
        <v>1004</v>
      </c>
      <c r="B87" s="17">
        <v>589770</v>
      </c>
      <c r="C87" s="18">
        <f t="shared" si="2"/>
        <v>0.25623791627745313</v>
      </c>
      <c r="D87">
        <v>17</v>
      </c>
      <c r="E87" t="str">
        <f>VLOOKUP(D87,Validation!$A$2:$C$41,3,FALSE)</f>
        <v>MLB</v>
      </c>
      <c r="F87" t="s">
        <v>1350</v>
      </c>
    </row>
    <row r="88" spans="1:6" x14ac:dyDescent="0.15">
      <c r="A88" t="s">
        <v>1003</v>
      </c>
      <c r="B88" s="17">
        <v>535030</v>
      </c>
      <c r="C88" s="18">
        <f t="shared" si="2"/>
        <v>0.23245497795060066</v>
      </c>
      <c r="D88">
        <v>27</v>
      </c>
      <c r="E88" t="str">
        <f>VLOOKUP(D88,Validation!$A$2:$C$41,3,FALSE)</f>
        <v xml:space="preserve">NFL </v>
      </c>
      <c r="F88" t="s">
        <v>1351</v>
      </c>
    </row>
    <row r="89" spans="1:6" x14ac:dyDescent="0.15">
      <c r="A89" t="s">
        <v>1007</v>
      </c>
      <c r="B89" s="17">
        <v>357396</v>
      </c>
      <c r="C89" s="18">
        <f t="shared" si="2"/>
        <v>0.15527817000847219</v>
      </c>
      <c r="D89">
        <v>27</v>
      </c>
      <c r="E89" t="str">
        <f>VLOOKUP(D89,Validation!$A$2:$C$41,3,FALSE)</f>
        <v xml:space="preserve">NFL </v>
      </c>
      <c r="F89" t="s">
        <v>1350</v>
      </c>
    </row>
    <row r="90" spans="1:6" x14ac:dyDescent="0.15">
      <c r="A90" t="s">
        <v>1017</v>
      </c>
      <c r="B90" s="17">
        <v>345797</v>
      </c>
      <c r="C90" s="18">
        <f t="shared" si="2"/>
        <v>0.15023874177220689</v>
      </c>
      <c r="D90">
        <v>4</v>
      </c>
      <c r="E90" t="str">
        <f>VLOOKUP(D90,Validation!$A$2:$C$41,3,FALSE)</f>
        <v>MCB</v>
      </c>
      <c r="F90" t="s">
        <v>1351</v>
      </c>
    </row>
    <row r="91" spans="1:6" x14ac:dyDescent="0.15">
      <c r="A91" t="s">
        <v>1015</v>
      </c>
      <c r="B91" s="17">
        <v>333092</v>
      </c>
      <c r="C91" s="18">
        <f t="shared" si="2"/>
        <v>0.14471878869506657</v>
      </c>
      <c r="D91">
        <v>4</v>
      </c>
      <c r="E91" t="str">
        <f>VLOOKUP(D91,Validation!$A$2:$C$41,3,FALSE)</f>
        <v>MCB</v>
      </c>
      <c r="F91" t="s">
        <v>1350</v>
      </c>
    </row>
    <row r="92" spans="1:6" x14ac:dyDescent="0.15">
      <c r="A92" t="s">
        <v>1019</v>
      </c>
      <c r="B92" s="17">
        <v>224704</v>
      </c>
      <c r="C92" s="18">
        <f t="shared" si="2"/>
        <v>9.7627354289314183E-2</v>
      </c>
      <c r="D92">
        <v>4</v>
      </c>
      <c r="E92" t="str">
        <f>VLOOKUP(D92,Validation!$A$2:$C$41,3,FALSE)</f>
        <v>MCB</v>
      </c>
      <c r="F92" t="s">
        <v>1350</v>
      </c>
    </row>
    <row r="93" spans="1:6" x14ac:dyDescent="0.15">
      <c r="A93" t="s">
        <v>1012</v>
      </c>
      <c r="B93" s="17">
        <v>191601</v>
      </c>
      <c r="C93" s="18">
        <f t="shared" si="2"/>
        <v>8.3245063324137031E-2</v>
      </c>
      <c r="D93">
        <v>5</v>
      </c>
      <c r="E93" t="str">
        <f>VLOOKUP(D93,Validation!$A$2:$C$41,3,FALSE)</f>
        <v>CFB</v>
      </c>
      <c r="F93" t="s">
        <v>1350</v>
      </c>
    </row>
    <row r="94" spans="1:6" x14ac:dyDescent="0.15">
      <c r="A94" t="s">
        <v>1010</v>
      </c>
      <c r="B94" s="17">
        <v>143827</v>
      </c>
      <c r="C94" s="18">
        <f t="shared" si="2"/>
        <v>6.2488649447135752E-2</v>
      </c>
      <c r="D94">
        <v>5</v>
      </c>
      <c r="E94" t="str">
        <f>VLOOKUP(D94,Validation!$A$2:$C$41,3,FALSE)</f>
        <v>CFB</v>
      </c>
      <c r="F94" t="s">
        <v>1350</v>
      </c>
    </row>
    <row r="95" spans="1:6" x14ac:dyDescent="0.15">
      <c r="A95" t="s">
        <v>1014</v>
      </c>
      <c r="B95" s="17">
        <v>114095</v>
      </c>
      <c r="C95" s="18">
        <f t="shared" si="2"/>
        <v>4.9570959963504441E-2</v>
      </c>
      <c r="D95">
        <v>5</v>
      </c>
      <c r="E95" t="str">
        <f>VLOOKUP(D95,Validation!$A$2:$C$41,3,FALSE)</f>
        <v>CFB</v>
      </c>
      <c r="F95" t="s">
        <v>1350</v>
      </c>
    </row>
    <row r="96" spans="1:6" x14ac:dyDescent="0.15">
      <c r="A96" t="s">
        <v>1006</v>
      </c>
      <c r="B96" s="17">
        <v>108796</v>
      </c>
      <c r="C96" s="18">
        <f t="shared" si="2"/>
        <v>4.7268698542350052E-2</v>
      </c>
      <c r="D96">
        <v>26</v>
      </c>
      <c r="E96" t="str">
        <f>VLOOKUP(D96,Validation!$A$2:$C$41,3,FALSE)</f>
        <v xml:space="preserve">NBA </v>
      </c>
      <c r="F96" t="s">
        <v>1351</v>
      </c>
    </row>
    <row r="97" spans="1:6" x14ac:dyDescent="0.15">
      <c r="A97" t="s">
        <v>1013</v>
      </c>
      <c r="B97" s="17">
        <v>84774</v>
      </c>
      <c r="C97" s="18">
        <f t="shared" si="2"/>
        <v>3.6831838029239894E-2</v>
      </c>
      <c r="D97">
        <v>27</v>
      </c>
      <c r="E97" t="str">
        <f>VLOOKUP(D97,Validation!$A$2:$C$41,3,FALSE)</f>
        <v xml:space="preserve">NFL </v>
      </c>
      <c r="F97" t="s">
        <v>1350</v>
      </c>
    </row>
    <row r="98" spans="1:6" x14ac:dyDescent="0.15">
      <c r="A98" t="s">
        <v>1018</v>
      </c>
      <c r="B98" s="17">
        <v>82113</v>
      </c>
      <c r="C98" s="18">
        <f t="shared" si="2"/>
        <v>3.5675710903047816E-2</v>
      </c>
      <c r="D98">
        <v>4</v>
      </c>
      <c r="E98" t="str">
        <f>VLOOKUP(D98,Validation!$A$2:$C$41,3,FALSE)</f>
        <v>MCB</v>
      </c>
      <c r="F98" t="s">
        <v>1351</v>
      </c>
    </row>
    <row r="99" spans="1:6" x14ac:dyDescent="0.15">
      <c r="A99" t="s">
        <v>1011</v>
      </c>
      <c r="B99" s="17">
        <v>29471</v>
      </c>
      <c r="C99" s="18">
        <f t="shared" si="2"/>
        <v>1.2804292572719572E-2</v>
      </c>
      <c r="D99">
        <v>6</v>
      </c>
      <c r="E99" t="str">
        <f>VLOOKUP(D99,Validation!$A$2:$C$41,3,FALSE)</f>
        <v>CH</v>
      </c>
      <c r="F99" t="s">
        <v>1350</v>
      </c>
    </row>
    <row r="100" spans="1:6" x14ac:dyDescent="0.15">
      <c r="A100" t="s">
        <v>1005</v>
      </c>
      <c r="B100" s="17">
        <v>22267</v>
      </c>
      <c r="C100" s="18">
        <f t="shared" si="2"/>
        <v>9.6743640431864106E-3</v>
      </c>
      <c r="D100">
        <v>28</v>
      </c>
      <c r="E100" t="str">
        <f>VLOOKUP(D100,Validation!$A$2:$C$41,3,FALSE)</f>
        <v xml:space="preserve">NHL </v>
      </c>
      <c r="F100" t="s">
        <v>1351</v>
      </c>
    </row>
  </sheetData>
  <pageMargins left="0.7" right="0.7" top="0.75" bottom="0.75" header="0.3" footer="0.3"/>
  <pageSetup orientation="portrait" verticalDpi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 enableFormatConditionsCalculation="0"/>
  <dimension ref="A1:F98"/>
  <sheetViews>
    <sheetView topLeftCell="A63" zoomScale="85" zoomScaleNormal="85" zoomScalePageLayoutView="85" workbookViewId="0">
      <selection activeCell="F92" sqref="F92"/>
    </sheetView>
  </sheetViews>
  <sheetFormatPr baseColWidth="10" defaultColWidth="8.83203125" defaultRowHeight="13" x14ac:dyDescent="0.15"/>
  <cols>
    <col min="1" max="1" width="33.33203125" bestFit="1" customWidth="1"/>
    <col min="2" max="2" width="10.5" bestFit="1" customWidth="1"/>
  </cols>
  <sheetData>
    <row r="1" spans="1:3" x14ac:dyDescent="0.15">
      <c r="A1" t="s">
        <v>405</v>
      </c>
      <c r="B1" t="s">
        <v>807</v>
      </c>
      <c r="C1" t="s">
        <v>811</v>
      </c>
    </row>
    <row r="2" spans="1:3" x14ac:dyDescent="0.15">
      <c r="A2" t="s">
        <v>0</v>
      </c>
      <c r="B2" s="17">
        <f>IFERROR(SUMIFS('Full List'!B:B,'Full List'!A:A,LA!$A2,'Full List'!E:E,LA!$A$1),"")</f>
        <v>1299258</v>
      </c>
      <c r="C2" s="18">
        <f>IFERROR(B2/$B$2,"")</f>
        <v>1</v>
      </c>
    </row>
    <row r="3" spans="1:3" x14ac:dyDescent="0.15">
      <c r="A3" t="s">
        <v>3</v>
      </c>
      <c r="B3" s="17">
        <f>IFERROR(SUMIFS('Full List'!B:B,'Full List'!A:A,LA!$A3,'Full List'!E:E,LA!$A$1),"")</f>
        <v>16290</v>
      </c>
      <c r="C3" s="18">
        <f t="shared" ref="C3:C66" si="0">IFERROR(B3/$B$2,"")</f>
        <v>1.2537925492858232E-2</v>
      </c>
    </row>
    <row r="4" spans="1:3" x14ac:dyDescent="0.15">
      <c r="A4" t="s">
        <v>4</v>
      </c>
      <c r="B4" s="17">
        <f>IFERROR(SUMIFS('Full List'!B:B,'Full List'!A:A,LA!$A4,'Full List'!E:E,LA!$A$1),"")</f>
        <v>43116</v>
      </c>
      <c r="C4" s="18">
        <f t="shared" si="0"/>
        <v>3.3185094877229926E-2</v>
      </c>
    </row>
    <row r="5" spans="1:3" x14ac:dyDescent="0.15">
      <c r="A5" t="s">
        <v>5</v>
      </c>
      <c r="B5" s="17">
        <f>IFERROR(SUMIFS('Full List'!B:B,'Full List'!A:A,LA!$A5,'Full List'!E:E,LA!$A$1),"")</f>
        <v>123292</v>
      </c>
      <c r="C5" s="18">
        <f t="shared" si="0"/>
        <v>9.4894162668230642E-2</v>
      </c>
    </row>
    <row r="6" spans="1:3" x14ac:dyDescent="0.15">
      <c r="A6" t="s">
        <v>6</v>
      </c>
      <c r="B6" s="17">
        <f>IFERROR(SUMIFS('Full List'!B:B,'Full List'!A:A,LA!$A6,'Full List'!E:E,LA!$A$1),"")</f>
        <v>98542</v>
      </c>
      <c r="C6" s="18">
        <f t="shared" si="0"/>
        <v>7.584482835587697E-2</v>
      </c>
    </row>
    <row r="7" spans="1:3" x14ac:dyDescent="0.15">
      <c r="A7" t="s">
        <v>7</v>
      </c>
      <c r="B7" s="17">
        <f>IFERROR(SUMIFS('Full List'!B:B,'Full List'!A:A,LA!$A7,'Full List'!E:E,LA!$A$1),"")</f>
        <v>374783</v>
      </c>
      <c r="C7" s="18">
        <f t="shared" si="0"/>
        <v>0.28845925905401393</v>
      </c>
    </row>
    <row r="8" spans="1:3" x14ac:dyDescent="0.15">
      <c r="A8" t="s">
        <v>8</v>
      </c>
      <c r="B8" s="17">
        <f>IFERROR(SUMIFS('Full List'!B:B,'Full List'!A:A,LA!$A8,'Full List'!E:E,LA!$A$1),"")</f>
        <v>13278</v>
      </c>
      <c r="C8" s="18">
        <f t="shared" si="0"/>
        <v>1.0219679232300282E-2</v>
      </c>
    </row>
    <row r="9" spans="1:3" x14ac:dyDescent="0.15">
      <c r="A9" t="s">
        <v>9</v>
      </c>
      <c r="B9" s="17">
        <f>IFERROR(SUMIFS('Full List'!B:B,'Full List'!A:A,LA!$A9,'Full List'!E:E,LA!$A$1),"")</f>
        <v>24544</v>
      </c>
      <c r="C9" s="18">
        <f t="shared" si="0"/>
        <v>1.8890782277269026E-2</v>
      </c>
    </row>
    <row r="10" spans="1:3" x14ac:dyDescent="0.15">
      <c r="A10" t="s">
        <v>10</v>
      </c>
      <c r="B10" s="17">
        <f>IFERROR(SUMIFS('Full List'!B:B,'Full List'!A:A,LA!$A10,'Full List'!E:E,LA!$A$1),"")</f>
        <v>39838</v>
      </c>
      <c r="C10" s="18">
        <f t="shared" si="0"/>
        <v>3.0662116377193752E-2</v>
      </c>
    </row>
    <row r="11" spans="1:3" x14ac:dyDescent="0.15">
      <c r="A11" t="s">
        <v>11</v>
      </c>
      <c r="B11" s="17">
        <f>IFERROR(SUMIFS('Full List'!B:B,'Full List'!A:A,LA!$A11,'Full List'!E:E,LA!$A$1),"")</f>
        <v>73334</v>
      </c>
      <c r="C11" s="18">
        <f t="shared" si="0"/>
        <v>5.6442985149985608E-2</v>
      </c>
    </row>
    <row r="12" spans="1:3" x14ac:dyDescent="0.15">
      <c r="A12" t="s">
        <v>12</v>
      </c>
      <c r="B12" s="17">
        <f>IFERROR(SUMIFS('Full List'!B:B,'Full List'!A:A,LA!$A12,'Full List'!E:E,LA!$A$1),"")</f>
        <v>14589</v>
      </c>
      <c r="C12" s="18">
        <f t="shared" si="0"/>
        <v>1.1228716698300107E-2</v>
      </c>
    </row>
    <row r="13" spans="1:3" x14ac:dyDescent="0.15">
      <c r="A13" t="s">
        <v>13</v>
      </c>
      <c r="B13" s="17">
        <f>IFERROR(SUMIFS('Full List'!B:B,'Full List'!A:A,LA!$A13,'Full List'!E:E,LA!$A$1),"")</f>
        <v>13335</v>
      </c>
      <c r="C13" s="18">
        <f t="shared" si="0"/>
        <v>1.0263550426474187E-2</v>
      </c>
    </row>
    <row r="14" spans="1:3" x14ac:dyDescent="0.15">
      <c r="A14" t="s">
        <v>14</v>
      </c>
      <c r="B14" s="17">
        <f>IFERROR(SUMIFS('Full List'!B:B,'Full List'!A:A,LA!$A14,'Full List'!E:E,LA!$A$1),"")</f>
        <v>107060</v>
      </c>
      <c r="C14" s="18">
        <f t="shared" si="0"/>
        <v>8.2400878039619541E-2</v>
      </c>
    </row>
    <row r="15" spans="1:3" x14ac:dyDescent="0.15">
      <c r="A15" t="s">
        <v>15</v>
      </c>
      <c r="B15" s="17">
        <f>IFERROR(SUMIFS('Full List'!B:B,'Full List'!A:A,LA!$A15,'Full List'!E:E,LA!$A$1),"")</f>
        <v>105305</v>
      </c>
      <c r="C15" s="18">
        <f t="shared" si="0"/>
        <v>8.1050107061107185E-2</v>
      </c>
    </row>
    <row r="16" spans="1:3" x14ac:dyDescent="0.15">
      <c r="A16" t="s">
        <v>16</v>
      </c>
      <c r="B16" s="17">
        <f>IFERROR(SUMIFS('Full List'!B:B,'Full List'!A:A,LA!$A16,'Full List'!E:E,LA!$A$1),"")</f>
        <v>63032</v>
      </c>
      <c r="C16" s="18">
        <f t="shared" si="0"/>
        <v>4.8513844055607123E-2</v>
      </c>
    </row>
    <row r="17" spans="1:3" x14ac:dyDescent="0.15">
      <c r="A17" t="s">
        <v>17</v>
      </c>
      <c r="B17" s="17">
        <f>IFERROR(SUMIFS('Full List'!B:B,'Full List'!A:A,LA!$A17,'Full List'!E:E,LA!$A$1),"")</f>
        <v>22211</v>
      </c>
      <c r="C17" s="18">
        <f t="shared" si="0"/>
        <v>1.709514199643181E-2</v>
      </c>
    </row>
    <row r="18" spans="1:3" x14ac:dyDescent="0.15">
      <c r="A18" t="s">
        <v>18</v>
      </c>
      <c r="B18" s="17">
        <f>IFERROR(SUMIFS('Full List'!B:B,'Full List'!A:A,LA!$A18,'Full List'!E:E,LA!$A$1),"")</f>
        <v>12830</v>
      </c>
      <c r="C18" s="18">
        <f t="shared" si="0"/>
        <v>9.8748670394948508E-3</v>
      </c>
    </row>
    <row r="19" spans="1:3" x14ac:dyDescent="0.15">
      <c r="A19" t="s">
        <v>19</v>
      </c>
      <c r="B19" s="17">
        <f>IFERROR(SUMIFS('Full List'!B:B,'Full List'!A:A,LA!$A19,'Full List'!E:E,LA!$A$1),"")</f>
        <v>84896</v>
      </c>
      <c r="C19" s="18">
        <f t="shared" si="0"/>
        <v>6.5341910536629369E-2</v>
      </c>
    </row>
    <row r="20" spans="1:3" x14ac:dyDescent="0.15">
      <c r="A20" t="s">
        <v>20</v>
      </c>
      <c r="B20" s="17">
        <f>IFERROR(SUMIFS('Full List'!B:B,'Full List'!A:A,LA!$A20,'Full List'!E:E,LA!$A$1),"")</f>
        <v>16831</v>
      </c>
      <c r="C20" s="18">
        <f t="shared" si="0"/>
        <v>1.2954317002473719E-2</v>
      </c>
    </row>
    <row r="21" spans="1:3" x14ac:dyDescent="0.15">
      <c r="A21" t="s">
        <v>21</v>
      </c>
      <c r="B21" s="17">
        <f>IFERROR(SUMIFS('Full List'!B:B,'Full List'!A:A,LA!$A21,'Full List'!E:E,LA!$A$1),"")</f>
        <v>57241</v>
      </c>
      <c r="C21" s="18">
        <f t="shared" si="0"/>
        <v>4.4056684661552978E-2</v>
      </c>
    </row>
    <row r="22" spans="1:3" x14ac:dyDescent="0.15">
      <c r="A22" t="s">
        <v>22</v>
      </c>
      <c r="B22" s="17">
        <f>IFERROR(SUMIFS('Full List'!B:B,'Full List'!A:A,LA!$A22,'Full List'!E:E,LA!$A$1),"")</f>
        <v>11681</v>
      </c>
      <c r="C22" s="18">
        <f t="shared" si="0"/>
        <v>8.9905161253577039E-3</v>
      </c>
    </row>
    <row r="23" spans="1:3" x14ac:dyDescent="0.15">
      <c r="A23" t="s">
        <v>23</v>
      </c>
      <c r="B23" s="17">
        <f>IFERROR(SUMIFS('Full List'!B:B,'Full List'!A:A,LA!$A23,'Full List'!E:E,LA!$A$1),"")</f>
        <v>35175</v>
      </c>
      <c r="C23" s="18">
        <f t="shared" si="0"/>
        <v>2.7073144825738998E-2</v>
      </c>
    </row>
    <row r="24" spans="1:3" x14ac:dyDescent="0.15">
      <c r="A24" t="s">
        <v>24</v>
      </c>
      <c r="B24" s="17">
        <f>IFERROR(SUMIFS('Full List'!B:B,'Full List'!A:A,LA!$A24,'Full List'!E:E,LA!$A$1),"")</f>
        <v>13271</v>
      </c>
      <c r="C24" s="18">
        <f t="shared" si="0"/>
        <v>1.0214291541787697E-2</v>
      </c>
    </row>
    <row r="25" spans="1:3" x14ac:dyDescent="0.15">
      <c r="A25" t="s">
        <v>25</v>
      </c>
      <c r="B25" s="17">
        <f>IFERROR(SUMIFS('Full List'!B:B,'Full List'!A:A,LA!$A25,'Full List'!E:E,LA!$A$1),"")</f>
        <v>67160</v>
      </c>
      <c r="C25" s="18">
        <f t="shared" si="0"/>
        <v>5.1691042117885749E-2</v>
      </c>
    </row>
    <row r="26" spans="1:3" x14ac:dyDescent="0.15">
      <c r="A26" t="s">
        <v>26</v>
      </c>
      <c r="B26" s="17">
        <f>IFERROR(SUMIFS('Full List'!B:B,'Full List'!A:A,LA!$A26,'Full List'!E:E,LA!$A$1),"")</f>
        <v>15897</v>
      </c>
      <c r="C26" s="18">
        <f t="shared" si="0"/>
        <v>1.2235445154080251E-2</v>
      </c>
    </row>
    <row r="27" spans="1:3" x14ac:dyDescent="0.15">
      <c r="A27" t="s">
        <v>27</v>
      </c>
      <c r="B27" s="17">
        <f>IFERROR(SUMIFS('Full List'!B:B,'Full List'!A:A,LA!$A27,'Full List'!E:E,LA!$A$1),"")</f>
        <v>89555</v>
      </c>
      <c r="C27" s="18">
        <f t="shared" si="0"/>
        <v>6.8927803407791213E-2</v>
      </c>
    </row>
    <row r="28" spans="1:3" x14ac:dyDescent="0.15">
      <c r="A28" t="s">
        <v>28</v>
      </c>
      <c r="B28" s="17">
        <f>IFERROR(SUMIFS('Full List'!B:B,'Full List'!A:A,LA!$A28,'Full List'!E:E,LA!$A$1),"")</f>
        <v>133903</v>
      </c>
      <c r="C28" s="18">
        <f t="shared" si="0"/>
        <v>0.10306113181523609</v>
      </c>
    </row>
    <row r="29" spans="1:3" x14ac:dyDescent="0.15">
      <c r="A29" t="s">
        <v>29</v>
      </c>
      <c r="B29" s="17">
        <f>IFERROR(SUMIFS('Full List'!B:B,'Full List'!A:A,LA!$A29,'Full List'!E:E,LA!$A$1),"")</f>
        <v>631686</v>
      </c>
      <c r="C29" s="18">
        <f t="shared" si="0"/>
        <v>0.4861898098760985</v>
      </c>
    </row>
    <row r="30" spans="1:3" x14ac:dyDescent="0.15">
      <c r="A30" t="s">
        <v>30</v>
      </c>
      <c r="B30" s="17">
        <f>IFERROR(SUMIFS('Full List'!B:B,'Full List'!A:A,LA!$A30,'Full List'!E:E,LA!$A$1),"")</f>
        <v>9853</v>
      </c>
      <c r="C30" s="18">
        <f t="shared" si="0"/>
        <v>7.5835592314998255E-3</v>
      </c>
    </row>
    <row r="31" spans="1:3" x14ac:dyDescent="0.15">
      <c r="A31" t="s">
        <v>31</v>
      </c>
      <c r="B31" s="17">
        <f>IFERROR(SUMIFS('Full List'!B:B,'Full List'!A:A,LA!$A31,'Full List'!E:E,LA!$A$1),"")</f>
        <v>21255</v>
      </c>
      <c r="C31" s="18">
        <f t="shared" si="0"/>
        <v>1.6359337406427362E-2</v>
      </c>
    </row>
    <row r="32" spans="1:3" x14ac:dyDescent="0.15">
      <c r="A32" t="s">
        <v>32</v>
      </c>
      <c r="B32" s="17">
        <f>IFERROR(SUMIFS('Full List'!B:B,'Full List'!A:A,LA!$A32,'Full List'!E:E,LA!$A$1),"")</f>
        <v>43036</v>
      </c>
      <c r="C32" s="18">
        <f t="shared" si="0"/>
        <v>3.3123521271371817E-2</v>
      </c>
    </row>
    <row r="33" spans="1:3" x14ac:dyDescent="0.15">
      <c r="A33" t="s">
        <v>33</v>
      </c>
      <c r="B33" s="17">
        <f>IFERROR(SUMIFS('Full List'!B:B,'Full List'!A:A,LA!$A33,'Full List'!E:E,LA!$A$1),"")</f>
        <v>341136</v>
      </c>
      <c r="C33" s="18">
        <f t="shared" si="0"/>
        <v>0.26256217010016486</v>
      </c>
    </row>
    <row r="34" spans="1:3" x14ac:dyDescent="0.15">
      <c r="A34" t="s">
        <v>34</v>
      </c>
      <c r="B34" s="17">
        <f>IFERROR(SUMIFS('Full List'!B:B,'Full List'!A:A,LA!$A34,'Full List'!E:E,LA!$A$1),"")</f>
        <v>99170</v>
      </c>
      <c r="C34" s="18">
        <f t="shared" si="0"/>
        <v>7.6328181161863157E-2</v>
      </c>
    </row>
    <row r="35" spans="1:3" x14ac:dyDescent="0.15">
      <c r="A35" t="s">
        <v>35</v>
      </c>
      <c r="B35" s="17">
        <f>IFERROR(SUMIFS('Full List'!B:B,'Full List'!A:A,LA!$A35,'Full List'!E:E,LA!$A$1),"")</f>
        <v>80275</v>
      </c>
      <c r="C35" s="18">
        <f t="shared" si="0"/>
        <v>6.1785265128250125E-2</v>
      </c>
    </row>
    <row r="36" spans="1:3" x14ac:dyDescent="0.15">
      <c r="A36" t="s">
        <v>36</v>
      </c>
      <c r="B36" s="17">
        <f>IFERROR(SUMIFS('Full List'!B:B,'Full List'!A:A,LA!$A36,'Full List'!E:E,LA!$A$1),"")</f>
        <v>37063</v>
      </c>
      <c r="C36" s="18">
        <f t="shared" si="0"/>
        <v>2.8526281923990461E-2</v>
      </c>
    </row>
    <row r="37" spans="1:3" x14ac:dyDescent="0.15">
      <c r="A37" t="s">
        <v>37</v>
      </c>
      <c r="B37" s="17">
        <f>IFERROR(SUMIFS('Full List'!B:B,'Full List'!A:A,LA!$A37,'Full List'!E:E,LA!$A$1),"")</f>
        <v>22845</v>
      </c>
      <c r="C37" s="18">
        <f t="shared" si="0"/>
        <v>1.7583112822857353E-2</v>
      </c>
    </row>
    <row r="38" spans="1:3" x14ac:dyDescent="0.15">
      <c r="A38" t="s">
        <v>38</v>
      </c>
      <c r="B38" s="17">
        <f>IFERROR(SUMIFS('Full List'!B:B,'Full List'!A:A,LA!$A38,'Full List'!E:E,LA!$A$1),"")</f>
        <v>20895</v>
      </c>
      <c r="C38" s="18">
        <f t="shared" si="0"/>
        <v>1.6082256180065854E-2</v>
      </c>
    </row>
    <row r="39" spans="1:3" x14ac:dyDescent="0.15">
      <c r="A39" t="s">
        <v>39</v>
      </c>
      <c r="B39" s="17">
        <f>IFERROR(SUMIFS('Full List'!B:B,'Full List'!A:A,LA!$A39,'Full List'!E:E,LA!$A$1),"")</f>
        <v>67679</v>
      </c>
      <c r="C39" s="18">
        <f t="shared" si="0"/>
        <v>5.2090500885890255E-2</v>
      </c>
    </row>
    <row r="40" spans="1:3" x14ac:dyDescent="0.15">
      <c r="A40" t="s">
        <v>40</v>
      </c>
      <c r="B40" s="17">
        <f>IFERROR(SUMIFS('Full List'!B:B,'Full List'!A:A,LA!$A40,'Full List'!E:E,LA!$A$1),"")</f>
        <v>31197</v>
      </c>
      <c r="C40" s="18">
        <f t="shared" si="0"/>
        <v>2.4011397274444336E-2</v>
      </c>
    </row>
    <row r="41" spans="1:3" x14ac:dyDescent="0.15">
      <c r="A41" t="s">
        <v>41</v>
      </c>
      <c r="B41" s="17">
        <f>IFERROR(SUMIFS('Full List'!B:B,'Full List'!A:A,LA!$A41,'Full List'!E:E,LA!$A$1),"")</f>
        <v>65964</v>
      </c>
      <c r="C41" s="18">
        <f t="shared" si="0"/>
        <v>5.0770516710306961E-2</v>
      </c>
    </row>
    <row r="42" spans="1:3" x14ac:dyDescent="0.15">
      <c r="A42" t="s">
        <v>42</v>
      </c>
      <c r="B42" s="17">
        <f>IFERROR(SUMIFS('Full List'!B:B,'Full List'!A:A,LA!$A42,'Full List'!E:E,LA!$A$1),"")</f>
        <v>102706</v>
      </c>
      <c r="C42" s="18">
        <f t="shared" si="0"/>
        <v>7.9049734540791741E-2</v>
      </c>
    </row>
    <row r="43" spans="1:3" x14ac:dyDescent="0.15">
      <c r="A43" t="s">
        <v>43</v>
      </c>
      <c r="B43" s="17">
        <f>IFERROR(SUMIFS('Full List'!B:B,'Full List'!A:A,LA!$A43,'Full List'!E:E,LA!$A$1),"")</f>
        <v>120648</v>
      </c>
      <c r="C43" s="18">
        <f t="shared" si="0"/>
        <v>9.2859154994620011E-2</v>
      </c>
    </row>
    <row r="44" spans="1:3" x14ac:dyDescent="0.15">
      <c r="A44" t="s">
        <v>44</v>
      </c>
      <c r="B44" s="17">
        <f>IFERROR(SUMIFS('Full List'!B:B,'Full List'!A:A,LA!$A44,'Full List'!E:E,LA!$A$1),"")</f>
        <v>279441</v>
      </c>
      <c r="C44" s="18">
        <f t="shared" si="0"/>
        <v>0.21507737493246146</v>
      </c>
    </row>
    <row r="45" spans="1:3" x14ac:dyDescent="0.15">
      <c r="A45" t="s">
        <v>45</v>
      </c>
      <c r="B45" s="17">
        <f>IFERROR(SUMIFS('Full List'!B:B,'Full List'!A:A,LA!$A45,'Full List'!E:E,LA!$A$1),"")</f>
        <v>362270</v>
      </c>
      <c r="C45" s="18">
        <f t="shared" si="0"/>
        <v>0.27882837742773181</v>
      </c>
    </row>
    <row r="46" spans="1:3" x14ac:dyDescent="0.15">
      <c r="A46" t="s">
        <v>46</v>
      </c>
      <c r="B46" s="17">
        <f>IFERROR(SUMIFS('Full List'!B:B,'Full List'!A:A,LA!$A46,'Full List'!E:E,LA!$A$1),"")</f>
        <v>367596</v>
      </c>
      <c r="C46" s="18">
        <f t="shared" si="0"/>
        <v>0.2829276402377357</v>
      </c>
    </row>
    <row r="47" spans="1:3" x14ac:dyDescent="0.15">
      <c r="A47" t="s">
        <v>47</v>
      </c>
      <c r="B47" s="17">
        <f>IFERROR(SUMIFS('Full List'!B:B,'Full List'!A:A,LA!$A47,'Full List'!E:E,LA!$A$1),"")</f>
        <v>715221</v>
      </c>
      <c r="C47" s="18">
        <f t="shared" si="0"/>
        <v>0.5504841994430667</v>
      </c>
    </row>
    <row r="48" spans="1:3" x14ac:dyDescent="0.15">
      <c r="A48" t="s">
        <v>48</v>
      </c>
      <c r="B48" s="17">
        <f>IFERROR(SUMIFS('Full List'!B:B,'Full List'!A:A,LA!$A48,'Full List'!E:E,LA!$A$1),"")</f>
        <v>71375</v>
      </c>
      <c r="C48" s="18">
        <f t="shared" si="0"/>
        <v>5.4935201476535071E-2</v>
      </c>
    </row>
    <row r="49" spans="1:3" x14ac:dyDescent="0.15">
      <c r="A49" t="s">
        <v>49</v>
      </c>
      <c r="B49" s="17">
        <f>IFERROR(SUMIFS('Full List'!B:B,'Full List'!A:A,LA!$A49,'Full List'!E:E,LA!$A$1),"")</f>
        <v>120176</v>
      </c>
      <c r="C49" s="18">
        <f t="shared" si="0"/>
        <v>9.2495870720057147E-2</v>
      </c>
    </row>
    <row r="50" spans="1:3" x14ac:dyDescent="0.15">
      <c r="A50" t="s">
        <v>50</v>
      </c>
      <c r="B50" s="17">
        <f>IFERROR(SUMIFS('Full List'!B:B,'Full List'!A:A,LA!$A50,'Full List'!E:E,LA!$A$1),"")</f>
        <v>234445</v>
      </c>
      <c r="C50" s="18">
        <f t="shared" si="0"/>
        <v>0.18044530031756587</v>
      </c>
    </row>
    <row r="51" spans="1:3" x14ac:dyDescent="0.15">
      <c r="A51" t="s">
        <v>51</v>
      </c>
      <c r="B51" s="17">
        <f>IFERROR(SUMIFS('Full List'!B:B,'Full List'!A:A,LA!$A51,'Full List'!E:E,LA!$A$1),"")</f>
        <v>323666</v>
      </c>
      <c r="C51" s="18">
        <f t="shared" si="0"/>
        <v>0.24911603392089945</v>
      </c>
    </row>
    <row r="52" spans="1:3" x14ac:dyDescent="0.15">
      <c r="A52" t="s">
        <v>52</v>
      </c>
      <c r="B52" s="17">
        <f>IFERROR(SUMIFS('Full List'!B:B,'Full List'!A:A,LA!$A52,'Full List'!E:E,LA!$A$1),"")</f>
        <v>122833</v>
      </c>
      <c r="C52" s="18">
        <f t="shared" si="0"/>
        <v>9.4540884104619707E-2</v>
      </c>
    </row>
    <row r="53" spans="1:3" x14ac:dyDescent="0.15">
      <c r="A53" t="s">
        <v>53</v>
      </c>
      <c r="B53" s="17">
        <f>IFERROR(SUMIFS('Full List'!B:B,'Full List'!A:A,LA!$A53,'Full List'!E:E,LA!$A$1),"")</f>
        <v>85419</v>
      </c>
      <c r="C53" s="18">
        <f t="shared" si="0"/>
        <v>6.5744447984926777E-2</v>
      </c>
    </row>
    <row r="54" spans="1:3" x14ac:dyDescent="0.15">
      <c r="A54" t="s">
        <v>54</v>
      </c>
      <c r="B54" s="17">
        <f>IFERROR(SUMIFS('Full List'!B:B,'Full List'!A:A,LA!$A54,'Full List'!E:E,LA!$A$1),"")</f>
        <v>455630</v>
      </c>
      <c r="C54" s="18">
        <f t="shared" si="0"/>
        <v>0.35068477546414956</v>
      </c>
    </row>
    <row r="55" spans="1:3" x14ac:dyDescent="0.15">
      <c r="A55" t="s">
        <v>55</v>
      </c>
      <c r="B55" s="17">
        <f>IFERROR(SUMIFS('Full List'!B:B,'Full List'!A:A,LA!$A55,'Full List'!E:E,LA!$A$1),"")</f>
        <v>391614</v>
      </c>
      <c r="C55" s="18">
        <f t="shared" si="0"/>
        <v>0.30141357605648761</v>
      </c>
    </row>
    <row r="56" spans="1:3" x14ac:dyDescent="0.15">
      <c r="A56" t="s">
        <v>56</v>
      </c>
      <c r="B56" s="17">
        <f>IFERROR(SUMIFS('Full List'!B:B,'Full List'!A:A,LA!$A56,'Full List'!E:E,LA!$A$1),"")</f>
        <v>268280</v>
      </c>
      <c r="C56" s="18">
        <f t="shared" si="0"/>
        <v>0.20648708724518147</v>
      </c>
    </row>
    <row r="57" spans="1:3" x14ac:dyDescent="0.15">
      <c r="A57" t="s">
        <v>57</v>
      </c>
      <c r="B57" s="17">
        <f>IFERROR(SUMIFS('Full List'!B:B,'Full List'!A:A,LA!$A57,'Full List'!E:E,LA!$A$1),"")</f>
        <v>149357</v>
      </c>
      <c r="C57" s="18">
        <f t="shared" si="0"/>
        <v>0.11495561312687703</v>
      </c>
    </row>
    <row r="58" spans="1:3" x14ac:dyDescent="0.15">
      <c r="A58" t="s">
        <v>58</v>
      </c>
      <c r="B58" s="17">
        <f>IFERROR(SUMIFS('Full List'!B:B,'Full List'!A:A,LA!$A58,'Full List'!E:E,LA!$A$1),"")</f>
        <v>133737</v>
      </c>
      <c r="C58" s="18">
        <f t="shared" si="0"/>
        <v>0.1029333665830805</v>
      </c>
    </row>
    <row r="59" spans="1:3" x14ac:dyDescent="0.15">
      <c r="A59" t="s">
        <v>59</v>
      </c>
      <c r="B59" s="17">
        <f>IFERROR(SUMIFS('Full List'!B:B,'Full List'!A:A,LA!$A59,'Full List'!E:E,LA!$A$1),"")</f>
        <v>443638</v>
      </c>
      <c r="C59" s="18">
        <f t="shared" si="0"/>
        <v>0.34145489194601841</v>
      </c>
    </row>
    <row r="60" spans="1:3" x14ac:dyDescent="0.15">
      <c r="A60" t="s">
        <v>60</v>
      </c>
      <c r="B60" s="17">
        <f>IFERROR(SUMIFS('Full List'!B:B,'Full List'!A:A,LA!$A60,'Full List'!E:E,LA!$A$1),"")</f>
        <v>161847</v>
      </c>
      <c r="C60" s="18">
        <f t="shared" si="0"/>
        <v>0.1245687923414749</v>
      </c>
    </row>
    <row r="61" spans="1:3" x14ac:dyDescent="0.15">
      <c r="A61" t="s">
        <v>61</v>
      </c>
      <c r="B61" s="17">
        <f>IFERROR(SUMIFS('Full List'!B:B,'Full List'!A:A,LA!$A61,'Full List'!E:E,LA!$A$1),"")</f>
        <v>217290</v>
      </c>
      <c r="C61" s="18">
        <f t="shared" si="0"/>
        <v>0.1672416102113668</v>
      </c>
    </row>
    <row r="62" spans="1:3" x14ac:dyDescent="0.15">
      <c r="A62" t="s">
        <v>62</v>
      </c>
      <c r="B62" s="17">
        <f>IFERROR(SUMIFS('Full List'!B:B,'Full List'!A:A,LA!$A62,'Full List'!E:E,LA!$A$1),"")</f>
        <v>85665</v>
      </c>
      <c r="C62" s="18">
        <f t="shared" si="0"/>
        <v>6.5933786822940474E-2</v>
      </c>
    </row>
    <row r="63" spans="1:3" x14ac:dyDescent="0.15">
      <c r="A63" t="s">
        <v>63</v>
      </c>
      <c r="B63" s="17">
        <f>IFERROR(SUMIFS('Full List'!B:B,'Full List'!A:A,LA!$A63,'Full List'!E:E,LA!$A$1),"")</f>
        <v>206274</v>
      </c>
      <c r="C63" s="18">
        <f t="shared" si="0"/>
        <v>0.15876292468470465</v>
      </c>
    </row>
    <row r="64" spans="1:3" x14ac:dyDescent="0.15">
      <c r="A64" t="s">
        <v>64</v>
      </c>
      <c r="B64" s="17">
        <f>IFERROR(SUMIFS('Full List'!B:B,'Full List'!A:A,LA!$A64,'Full List'!E:E,LA!$A$1),"")</f>
        <v>65047</v>
      </c>
      <c r="C64" s="18">
        <f t="shared" si="0"/>
        <v>5.0064729253158344E-2</v>
      </c>
    </row>
    <row r="65" spans="1:3" x14ac:dyDescent="0.15">
      <c r="A65" t="s">
        <v>65</v>
      </c>
      <c r="B65" s="17">
        <f>IFERROR(SUMIFS('Full List'!B:B,'Full List'!A:A,LA!$A65,'Full List'!E:E,LA!$A$1),"")</f>
        <v>271126</v>
      </c>
      <c r="C65" s="18">
        <f t="shared" si="0"/>
        <v>0.20867756827358386</v>
      </c>
    </row>
    <row r="66" spans="1:3" x14ac:dyDescent="0.15">
      <c r="A66" t="s">
        <v>66</v>
      </c>
      <c r="B66" s="17">
        <f>IFERROR(SUMIFS('Full List'!B:B,'Full List'!A:A,LA!$A66,'Full List'!E:E,LA!$A$1),"")</f>
        <v>108290</v>
      </c>
      <c r="C66" s="18">
        <f t="shared" si="0"/>
        <v>8.3347572229688027E-2</v>
      </c>
    </row>
    <row r="67" spans="1:3" x14ac:dyDescent="0.15">
      <c r="A67" t="s">
        <v>67</v>
      </c>
      <c r="B67" s="17">
        <f>IFERROR(SUMIFS('Full List'!B:B,'Full List'!A:A,LA!$A67,'Full List'!E:E,LA!$A$1),"")</f>
        <v>290243</v>
      </c>
      <c r="C67" s="18">
        <f t="shared" ref="C67:C82" si="1">IFERROR(B67/$B$2,"")</f>
        <v>0.22339135106345315</v>
      </c>
    </row>
    <row r="68" spans="1:3" x14ac:dyDescent="0.15">
      <c r="A68" t="s">
        <v>68</v>
      </c>
      <c r="B68" s="17">
        <f>IFERROR(SUMIFS('Full List'!B:B,'Full List'!A:A,LA!$A68,'Full List'!E:E,LA!$A$1),"")</f>
        <v>436541</v>
      </c>
      <c r="C68" s="18">
        <f t="shared" si="1"/>
        <v>0.33599254343633056</v>
      </c>
    </row>
    <row r="69" spans="1:3" x14ac:dyDescent="0.15">
      <c r="A69" t="s">
        <v>69</v>
      </c>
      <c r="B69" s="17">
        <f>IFERROR(SUMIFS('Full List'!B:B,'Full List'!A:A,LA!$A69,'Full List'!E:E,LA!$A$1),"")</f>
        <v>1045044</v>
      </c>
      <c r="C69" s="18">
        <f t="shared" si="1"/>
        <v>0.80433909200482123</v>
      </c>
    </row>
    <row r="70" spans="1:3" x14ac:dyDescent="0.15">
      <c r="A70" t="s">
        <v>70</v>
      </c>
      <c r="B70" s="17">
        <f>IFERROR(SUMIFS('Full List'!B:B,'Full List'!A:A,LA!$A70,'Full List'!E:E,LA!$A$1),"")</f>
        <v>141244</v>
      </c>
      <c r="C70" s="18">
        <f t="shared" si="1"/>
        <v>0.10871127982279116</v>
      </c>
    </row>
    <row r="71" spans="1:3" x14ac:dyDescent="0.15">
      <c r="A71" t="s">
        <v>71</v>
      </c>
      <c r="B71" s="17">
        <f>IFERROR(SUMIFS('Full List'!B:B,'Full List'!A:A,LA!$A71,'Full List'!E:E,LA!$A$1),"")</f>
        <v>108884</v>
      </c>
      <c r="C71" s="18">
        <f t="shared" si="1"/>
        <v>8.3804756253184509E-2</v>
      </c>
    </row>
    <row r="72" spans="1:3" x14ac:dyDescent="0.15">
      <c r="A72" t="s">
        <v>72</v>
      </c>
      <c r="B72" s="17">
        <f>IFERROR(SUMIFS('Full List'!B:B,'Full List'!A:A,LA!$A72,'Full List'!E:E,LA!$A$1),"")</f>
        <v>167953</v>
      </c>
      <c r="C72" s="18">
        <f t="shared" si="1"/>
        <v>0.12926839780859536</v>
      </c>
    </row>
    <row r="73" spans="1:3" x14ac:dyDescent="0.15">
      <c r="A73" t="s">
        <v>73</v>
      </c>
      <c r="B73" s="17">
        <f>IFERROR(SUMIFS('Full List'!B:B,'Full List'!A:A,LA!$A73,'Full List'!E:E,LA!$A$1),"")</f>
        <v>756546</v>
      </c>
      <c r="C73" s="18">
        <f t="shared" si="1"/>
        <v>0.58229081521914816</v>
      </c>
    </row>
    <row r="74" spans="1:3" x14ac:dyDescent="0.15">
      <c r="A74" t="s">
        <v>74</v>
      </c>
      <c r="B74" s="17">
        <f>IFERROR(SUMIFS('Full List'!B:B,'Full List'!A:A,LA!$A74,'Full List'!E:E,LA!$A$1),"")</f>
        <v>275072</v>
      </c>
      <c r="C74" s="18">
        <f t="shared" si="1"/>
        <v>0.21171468638253527</v>
      </c>
    </row>
    <row r="75" spans="1:3" x14ac:dyDescent="0.15">
      <c r="A75" t="s">
        <v>75</v>
      </c>
      <c r="B75" s="17">
        <f>IFERROR(SUMIFS('Full List'!B:B,'Full List'!A:A,LA!$A75,'Full List'!E:E,LA!$A$1),"")</f>
        <v>308503</v>
      </c>
      <c r="C75" s="18">
        <f t="shared" si="1"/>
        <v>0.23744552660056739</v>
      </c>
    </row>
    <row r="76" spans="1:3" x14ac:dyDescent="0.15">
      <c r="A76" t="s">
        <v>76</v>
      </c>
      <c r="B76" s="17">
        <f>IFERROR(SUMIFS('Full List'!B:B,'Full List'!A:A,LA!$A76,'Full List'!E:E,LA!$A$1),"")</f>
        <v>174420</v>
      </c>
      <c r="C76" s="18">
        <f t="shared" si="1"/>
        <v>0.13424585417215057</v>
      </c>
    </row>
    <row r="77" spans="1:3" x14ac:dyDescent="0.15">
      <c r="A77" t="s">
        <v>77</v>
      </c>
      <c r="B77" s="17">
        <f>IFERROR(SUMIFS('Full List'!B:B,'Full List'!A:A,LA!$A77,'Full List'!E:E,LA!$A$1),"")</f>
        <v>144950</v>
      </c>
      <c r="C77" s="18">
        <f t="shared" si="1"/>
        <v>0.11156367711416824</v>
      </c>
    </row>
    <row r="78" spans="1:3" x14ac:dyDescent="0.15">
      <c r="A78" t="s">
        <v>78</v>
      </c>
      <c r="B78" s="17">
        <f>IFERROR(SUMIFS('Full List'!B:B,'Full List'!A:A,LA!$A78,'Full List'!E:E,LA!$A$1),"")</f>
        <v>155538</v>
      </c>
      <c r="C78" s="18">
        <f t="shared" si="1"/>
        <v>0.11971294384948948</v>
      </c>
    </row>
    <row r="79" spans="1:3" x14ac:dyDescent="0.15">
      <c r="A79" t="s">
        <v>79</v>
      </c>
      <c r="B79" s="17">
        <f>IFERROR(SUMIFS('Full List'!B:B,'Full List'!A:A,LA!$A79,'Full List'!E:E,LA!$A$1),"")</f>
        <v>234433</v>
      </c>
      <c r="C79" s="18">
        <f t="shared" si="1"/>
        <v>0.18043606427668715</v>
      </c>
    </row>
    <row r="80" spans="1:3" x14ac:dyDescent="0.15">
      <c r="A80" t="s">
        <v>80</v>
      </c>
      <c r="B80" s="17">
        <f>IFERROR(SUMIFS('Full List'!B:B,'Full List'!A:A,LA!$A80,'Full List'!E:E,LA!$A$1),"")</f>
        <v>199906</v>
      </c>
      <c r="C80" s="18">
        <f t="shared" si="1"/>
        <v>0.15386166565839887</v>
      </c>
    </row>
    <row r="81" spans="1:6" x14ac:dyDescent="0.15">
      <c r="A81" t="s">
        <v>81</v>
      </c>
      <c r="B81" s="17">
        <f>IFERROR(SUMIFS('Full List'!B:B,'Full List'!A:A,LA!$A81,'Full List'!E:E,LA!$A$1),"")</f>
        <v>247738</v>
      </c>
      <c r="C81" s="18">
        <f t="shared" si="1"/>
        <v>0.19067652460096454</v>
      </c>
    </row>
    <row r="82" spans="1:6" x14ac:dyDescent="0.15">
      <c r="A82" t="s">
        <v>82</v>
      </c>
      <c r="B82" s="17">
        <f>IFERROR(SUMIFS('Full List'!B:B,'Full List'!A:A,LA!$A82,'Full List'!E:E,LA!$A$1),"")</f>
        <v>257698</v>
      </c>
      <c r="C82" s="18">
        <f t="shared" si="1"/>
        <v>0.19834243853029959</v>
      </c>
    </row>
    <row r="83" spans="1:6" x14ac:dyDescent="0.15">
      <c r="B83" s="17"/>
      <c r="C83" s="18"/>
      <c r="D83" t="s">
        <v>812</v>
      </c>
      <c r="E83" t="s">
        <v>860</v>
      </c>
      <c r="F83" t="s">
        <v>1349</v>
      </c>
    </row>
    <row r="84" spans="1:6" x14ac:dyDescent="0.15">
      <c r="A84" t="s">
        <v>1020</v>
      </c>
      <c r="B84" s="17">
        <v>1050276</v>
      </c>
      <c r="C84" s="18">
        <f t="shared" ref="C84:C94" si="2">IFERROR(B84/$B$2,"")</f>
        <v>0.80836600582794182</v>
      </c>
      <c r="D84">
        <v>27</v>
      </c>
      <c r="E84" t="str">
        <f>VLOOKUP(D84,Validation!$A$2:$C$41,3,FALSE)</f>
        <v xml:space="preserve">NFL </v>
      </c>
      <c r="F84" t="s">
        <v>1350</v>
      </c>
    </row>
    <row r="85" spans="1:6" x14ac:dyDescent="0.15">
      <c r="A85" t="s">
        <v>1022</v>
      </c>
      <c r="B85" s="17">
        <v>640808</v>
      </c>
      <c r="C85" s="18">
        <f t="shared" si="2"/>
        <v>0.4932107402840698</v>
      </c>
      <c r="D85">
        <v>5</v>
      </c>
      <c r="E85" t="str">
        <f>VLOOKUP(D85,Validation!$A$2:$C$41,3,FALSE)</f>
        <v>CFB</v>
      </c>
      <c r="F85" t="s">
        <v>1350</v>
      </c>
    </row>
    <row r="86" spans="1:6" x14ac:dyDescent="0.15">
      <c r="A86" t="s">
        <v>1376</v>
      </c>
      <c r="B86" s="17">
        <v>394169</v>
      </c>
      <c r="C86" s="18">
        <f t="shared" si="2"/>
        <v>0.30338008309358111</v>
      </c>
      <c r="D86">
        <v>26</v>
      </c>
      <c r="E86" t="str">
        <f>VLOOKUP(D86,Validation!$A$2:$C$41,3,FALSE)</f>
        <v xml:space="preserve">NBA </v>
      </c>
      <c r="F86" t="s">
        <v>1351</v>
      </c>
    </row>
    <row r="87" spans="1:6" x14ac:dyDescent="0.15">
      <c r="A87" t="s">
        <v>1021</v>
      </c>
      <c r="B87" s="17">
        <v>376738</v>
      </c>
      <c r="C87" s="18">
        <f t="shared" si="2"/>
        <v>0.28996396404717156</v>
      </c>
      <c r="D87">
        <v>4</v>
      </c>
      <c r="E87" t="str">
        <f>VLOOKUP(D87,Validation!$A$2:$C$41,3,FALSE)</f>
        <v>MCB</v>
      </c>
      <c r="F87" t="s">
        <v>1350</v>
      </c>
    </row>
    <row r="88" spans="1:6" x14ac:dyDescent="0.15">
      <c r="A88" t="s">
        <v>1026</v>
      </c>
      <c r="B88" s="17">
        <v>319304</v>
      </c>
      <c r="C88" s="18">
        <f t="shared" si="2"/>
        <v>0.24575873306148585</v>
      </c>
      <c r="D88">
        <v>3</v>
      </c>
      <c r="E88" t="str">
        <f>VLOOKUP(D88,Validation!$A$2:$C$41,3,FALSE)</f>
        <v>CBB</v>
      </c>
      <c r="F88" t="s">
        <v>1350</v>
      </c>
    </row>
    <row r="89" spans="1:6" x14ac:dyDescent="0.15">
      <c r="A89" t="s">
        <v>1024</v>
      </c>
      <c r="B89" s="17">
        <v>159095</v>
      </c>
      <c r="C89" s="18">
        <f t="shared" si="2"/>
        <v>0.12245066029995583</v>
      </c>
      <c r="D89">
        <v>5</v>
      </c>
      <c r="E89" t="str">
        <f>VLOOKUP(D89,Validation!$A$2:$C$41,3,FALSE)</f>
        <v>CFB</v>
      </c>
      <c r="F89" t="s">
        <v>1350</v>
      </c>
    </row>
    <row r="90" spans="1:6" x14ac:dyDescent="0.15">
      <c r="A90" t="s">
        <v>1023</v>
      </c>
      <c r="B90" s="17">
        <v>111393</v>
      </c>
      <c r="C90" s="18">
        <f t="shared" si="2"/>
        <v>8.5735858466909579E-2</v>
      </c>
      <c r="D90">
        <v>4</v>
      </c>
      <c r="E90" t="str">
        <f>VLOOKUP(D90,Validation!$A$2:$C$41,3,FALSE)</f>
        <v>MCB</v>
      </c>
      <c r="F90" t="s">
        <v>1350</v>
      </c>
    </row>
    <row r="91" spans="1:6" x14ac:dyDescent="0.15">
      <c r="A91" t="s">
        <v>1025</v>
      </c>
      <c r="B91" s="17">
        <v>88746</v>
      </c>
      <c r="C91" s="18">
        <f t="shared" si="2"/>
        <v>6.8305140318551047E-2</v>
      </c>
      <c r="D91">
        <v>5</v>
      </c>
      <c r="E91" t="str">
        <f>VLOOKUP(D91,Validation!$A$2:$C$41,3,FALSE)</f>
        <v>CFB</v>
      </c>
      <c r="F91" t="s">
        <v>1351</v>
      </c>
    </row>
    <row r="92" spans="1:6" x14ac:dyDescent="0.15">
      <c r="A92" t="s">
        <v>1027</v>
      </c>
      <c r="B92" s="17">
        <v>82312</v>
      </c>
      <c r="C92" s="18">
        <f t="shared" si="2"/>
        <v>6.3353083067412316E-2</v>
      </c>
      <c r="D92">
        <v>5</v>
      </c>
      <c r="E92" t="str">
        <f>VLOOKUP(D92,Validation!$A$2:$C$41,3,FALSE)</f>
        <v>CFB</v>
      </c>
      <c r="F92" t="s">
        <v>1350</v>
      </c>
    </row>
    <row r="93" spans="1:6" x14ac:dyDescent="0.15">
      <c r="A93" t="s">
        <v>1029</v>
      </c>
      <c r="B93" s="17">
        <v>67485</v>
      </c>
      <c r="C93" s="18">
        <f t="shared" si="2"/>
        <v>5.1941184891684332E-2</v>
      </c>
      <c r="D93">
        <v>5</v>
      </c>
      <c r="E93" t="str">
        <f>VLOOKUP(D93,Validation!$A$2:$C$41,3,FALSE)</f>
        <v>CFB</v>
      </c>
      <c r="F93" t="s">
        <v>1350</v>
      </c>
    </row>
    <row r="94" spans="1:6" x14ac:dyDescent="0.15">
      <c r="A94" t="s">
        <v>1028</v>
      </c>
      <c r="B94" s="17">
        <v>46476</v>
      </c>
      <c r="C94" s="18">
        <f t="shared" si="2"/>
        <v>3.5771186323270664E-2</v>
      </c>
      <c r="D94">
        <v>4</v>
      </c>
      <c r="E94" t="str">
        <f>VLOOKUP(D94,Validation!$A$2:$C$41,3,FALSE)</f>
        <v>MCB</v>
      </c>
      <c r="F94" t="s">
        <v>1350</v>
      </c>
    </row>
    <row r="95" spans="1:6" x14ac:dyDescent="0.15">
      <c r="B95" s="17"/>
      <c r="C95" s="18"/>
    </row>
    <row r="96" spans="1:6" x14ac:dyDescent="0.15">
      <c r="B96" s="17"/>
      <c r="C96" s="18"/>
    </row>
    <row r="97" spans="2:3" x14ac:dyDescent="0.15">
      <c r="B97" s="17"/>
      <c r="C97" s="18"/>
    </row>
    <row r="98" spans="2:3" x14ac:dyDescent="0.15">
      <c r="B98" s="17"/>
      <c r="C98" s="18"/>
    </row>
  </sheetData>
  <pageMargins left="0.7" right="0.7" top="0.75" bottom="0.75" header="0.3" footer="0.3"/>
  <pageSetup orientation="portrait" verticalDpi="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 enableFormatConditionsCalculation="0"/>
  <dimension ref="A1:F103"/>
  <sheetViews>
    <sheetView topLeftCell="A71" zoomScale="85" zoomScaleNormal="85" zoomScalePageLayoutView="85" workbookViewId="0">
      <selection activeCell="A103" sqref="A103"/>
    </sheetView>
  </sheetViews>
  <sheetFormatPr baseColWidth="10" defaultColWidth="8.83203125" defaultRowHeight="13" x14ac:dyDescent="0.15"/>
  <cols>
    <col min="1" max="1" width="33.33203125" bestFit="1" customWidth="1"/>
    <col min="2" max="2" width="10.5" bestFit="1" customWidth="1"/>
  </cols>
  <sheetData>
    <row r="1" spans="1:3" x14ac:dyDescent="0.15">
      <c r="A1" t="s">
        <v>738</v>
      </c>
      <c r="B1" t="s">
        <v>807</v>
      </c>
      <c r="C1" t="s">
        <v>811</v>
      </c>
    </row>
    <row r="2" spans="1:3" x14ac:dyDescent="0.15">
      <c r="A2" t="s">
        <v>0</v>
      </c>
      <c r="B2" s="17">
        <f>IFERROR(SUMIFS('Full List'!B:B,'Full List'!A:A,MA!$A2,'Full List'!E:E,MA!$A$1),"")</f>
        <v>5443213</v>
      </c>
      <c r="C2" s="18">
        <f>IFERROR(B2/$B$2,"")</f>
        <v>1</v>
      </c>
    </row>
    <row r="3" spans="1:3" x14ac:dyDescent="0.15">
      <c r="A3" t="s">
        <v>3</v>
      </c>
      <c r="B3" s="17">
        <f>IFERROR(SUMIFS('Full List'!B:B,'Full List'!A:A,MA!$A3,'Full List'!E:E,MA!$A$1),"")</f>
        <v>24810</v>
      </c>
      <c r="C3" s="18">
        <f t="shared" ref="C3:C66" si="0">IFERROR(B3/$B$2,"")</f>
        <v>4.5579697138436433E-3</v>
      </c>
    </row>
    <row r="4" spans="1:3" x14ac:dyDescent="0.15">
      <c r="A4" t="s">
        <v>4</v>
      </c>
      <c r="B4" s="17">
        <f>IFERROR(SUMIFS('Full List'!B:B,'Full List'!A:A,MA!$A4,'Full List'!E:E,MA!$A$1),"")</f>
        <v>35392</v>
      </c>
      <c r="C4" s="18">
        <f t="shared" si="0"/>
        <v>6.5020420843351157E-3</v>
      </c>
    </row>
    <row r="5" spans="1:3" x14ac:dyDescent="0.15">
      <c r="A5" t="s">
        <v>5</v>
      </c>
      <c r="B5" s="17">
        <f>IFERROR(SUMIFS('Full List'!B:B,'Full List'!A:A,MA!$A5,'Full List'!E:E,MA!$A$1),"")</f>
        <v>54240</v>
      </c>
      <c r="C5" s="18">
        <f t="shared" si="0"/>
        <v>9.9647028326835634E-3</v>
      </c>
    </row>
    <row r="6" spans="1:3" x14ac:dyDescent="0.15">
      <c r="A6" t="s">
        <v>6</v>
      </c>
      <c r="B6" s="17">
        <f>IFERROR(SUMIFS('Full List'!B:B,'Full List'!A:A,MA!$A6,'Full List'!E:E,MA!$A$1),"")</f>
        <v>316220</v>
      </c>
      <c r="C6" s="18">
        <f t="shared" si="0"/>
        <v>5.8094364486563362E-2</v>
      </c>
    </row>
    <row r="7" spans="1:3" x14ac:dyDescent="0.15">
      <c r="A7" t="s">
        <v>7</v>
      </c>
      <c r="B7" s="17">
        <f>IFERROR(SUMIFS('Full List'!B:B,'Full List'!A:A,MA!$A7,'Full List'!E:E,MA!$A$1),"")</f>
        <v>450690</v>
      </c>
      <c r="C7" s="18">
        <f t="shared" si="0"/>
        <v>8.2798523592591364E-2</v>
      </c>
    </row>
    <row r="8" spans="1:3" x14ac:dyDescent="0.15">
      <c r="A8" t="s">
        <v>8</v>
      </c>
      <c r="B8" s="17">
        <f>IFERROR(SUMIFS('Full List'!B:B,'Full List'!A:A,MA!$A8,'Full List'!E:E,MA!$A$1),"")</f>
        <v>177621</v>
      </c>
      <c r="C8" s="18">
        <f t="shared" si="0"/>
        <v>3.2631646051697778E-2</v>
      </c>
    </row>
    <row r="9" spans="1:3" x14ac:dyDescent="0.15">
      <c r="A9" t="s">
        <v>9</v>
      </c>
      <c r="B9" s="17">
        <f>IFERROR(SUMIFS('Full List'!B:B,'Full List'!A:A,MA!$A9,'Full List'!E:E,MA!$A$1),"")</f>
        <v>207031</v>
      </c>
      <c r="C9" s="18">
        <f t="shared" si="0"/>
        <v>3.8034704870083168E-2</v>
      </c>
    </row>
    <row r="10" spans="1:3" x14ac:dyDescent="0.15">
      <c r="A10" t="s">
        <v>10</v>
      </c>
      <c r="B10" s="17">
        <f>IFERROR(SUMIFS('Full List'!B:B,'Full List'!A:A,MA!$A10,'Full List'!E:E,MA!$A$1),"")</f>
        <v>54294</v>
      </c>
      <c r="C10" s="18">
        <f t="shared" si="0"/>
        <v>9.9746234439107937E-3</v>
      </c>
    </row>
    <row r="11" spans="1:3" x14ac:dyDescent="0.15">
      <c r="A11" t="s">
        <v>11</v>
      </c>
      <c r="B11" s="17">
        <f>IFERROR(SUMIFS('Full List'!B:B,'Full List'!A:A,MA!$A11,'Full List'!E:E,MA!$A$1),"")</f>
        <v>344223</v>
      </c>
      <c r="C11" s="18">
        <f t="shared" si="0"/>
        <v>6.3238936267972612E-2</v>
      </c>
    </row>
    <row r="12" spans="1:3" x14ac:dyDescent="0.15">
      <c r="A12" t="s">
        <v>12</v>
      </c>
      <c r="B12" s="17">
        <f>IFERROR(SUMIFS('Full List'!B:B,'Full List'!A:A,MA!$A12,'Full List'!E:E,MA!$A$1),"")</f>
        <v>63127</v>
      </c>
      <c r="C12" s="18">
        <f t="shared" si="0"/>
        <v>1.1597378239653676E-2</v>
      </c>
    </row>
    <row r="13" spans="1:3" x14ac:dyDescent="0.15">
      <c r="A13" t="s">
        <v>13</v>
      </c>
      <c r="B13" s="17">
        <f>IFERROR(SUMIFS('Full List'!B:B,'Full List'!A:A,MA!$A13,'Full List'!E:E,MA!$A$1),"")</f>
        <v>23177</v>
      </c>
      <c r="C13" s="18">
        <f t="shared" si="0"/>
        <v>4.2579630817313231E-3</v>
      </c>
    </row>
    <row r="14" spans="1:3" x14ac:dyDescent="0.15">
      <c r="A14" t="s">
        <v>14</v>
      </c>
      <c r="B14" s="17">
        <f>IFERROR(SUMIFS('Full List'!B:B,'Full List'!A:A,MA!$A14,'Full List'!E:E,MA!$A$1),"")</f>
        <v>331793</v>
      </c>
      <c r="C14" s="18">
        <f t="shared" si="0"/>
        <v>6.0955358535482625E-2</v>
      </c>
    </row>
    <row r="15" spans="1:3" x14ac:dyDescent="0.15">
      <c r="A15" t="s">
        <v>15</v>
      </c>
      <c r="B15" s="17">
        <f>IFERROR(SUMIFS('Full List'!B:B,'Full List'!A:A,MA!$A15,'Full List'!E:E,MA!$A$1),"")</f>
        <v>272118</v>
      </c>
      <c r="C15" s="18">
        <f t="shared" si="0"/>
        <v>4.9992164554280717E-2</v>
      </c>
    </row>
    <row r="16" spans="1:3" x14ac:dyDescent="0.15">
      <c r="A16" t="s">
        <v>16</v>
      </c>
      <c r="B16" s="17">
        <f>IFERROR(SUMIFS('Full List'!B:B,'Full List'!A:A,MA!$A16,'Full List'!E:E,MA!$A$1),"")</f>
        <v>172189</v>
      </c>
      <c r="C16" s="18">
        <f t="shared" si="0"/>
        <v>3.1633706048247605E-2</v>
      </c>
    </row>
    <row r="17" spans="1:3" x14ac:dyDescent="0.15">
      <c r="A17" t="s">
        <v>17</v>
      </c>
      <c r="B17" s="17">
        <f>IFERROR(SUMIFS('Full List'!B:B,'Full List'!A:A,MA!$A17,'Full List'!E:E,MA!$A$1),"")</f>
        <v>54901</v>
      </c>
      <c r="C17" s="18">
        <f t="shared" si="0"/>
        <v>1.0086138462705759E-2</v>
      </c>
    </row>
    <row r="18" spans="1:3" x14ac:dyDescent="0.15">
      <c r="A18" t="s">
        <v>18</v>
      </c>
      <c r="B18" s="17">
        <f>IFERROR(SUMIFS('Full List'!B:B,'Full List'!A:A,MA!$A18,'Full List'!E:E,MA!$A$1),"")</f>
        <v>71132</v>
      </c>
      <c r="C18" s="18">
        <f t="shared" si="0"/>
        <v>1.3068016996579043E-2</v>
      </c>
    </row>
    <row r="19" spans="1:3" x14ac:dyDescent="0.15">
      <c r="A19" t="s">
        <v>19</v>
      </c>
      <c r="B19" s="17">
        <f>IFERROR(SUMIFS('Full List'!B:B,'Full List'!A:A,MA!$A19,'Full List'!E:E,MA!$A$1),"")</f>
        <v>1390221</v>
      </c>
      <c r="C19" s="18">
        <f t="shared" si="0"/>
        <v>0.25540448260981152</v>
      </c>
    </row>
    <row r="20" spans="1:3" x14ac:dyDescent="0.15">
      <c r="A20" t="s">
        <v>20</v>
      </c>
      <c r="B20" s="17">
        <f>IFERROR(SUMIFS('Full List'!B:B,'Full List'!A:A,MA!$A20,'Full List'!E:E,MA!$A$1),"")</f>
        <v>100626</v>
      </c>
      <c r="C20" s="18">
        <f t="shared" si="0"/>
        <v>1.8486507876873459E-2</v>
      </c>
    </row>
    <row r="21" spans="1:3" x14ac:dyDescent="0.15">
      <c r="A21" t="s">
        <v>21</v>
      </c>
      <c r="B21" s="17">
        <f>IFERROR(SUMIFS('Full List'!B:B,'Full List'!A:A,MA!$A21,'Full List'!E:E,MA!$A$1),"")</f>
        <v>166565</v>
      </c>
      <c r="C21" s="18">
        <f t="shared" si="0"/>
        <v>3.0600492760433955E-2</v>
      </c>
    </row>
    <row r="22" spans="1:3" x14ac:dyDescent="0.15">
      <c r="A22" t="s">
        <v>22</v>
      </c>
      <c r="B22" s="17">
        <f>IFERROR(SUMIFS('Full List'!B:B,'Full List'!A:A,MA!$A22,'Full List'!E:E,MA!$A$1),"")</f>
        <v>28469</v>
      </c>
      <c r="C22" s="18">
        <f t="shared" si="0"/>
        <v>5.2301829819997861E-3</v>
      </c>
    </row>
    <row r="23" spans="1:3" x14ac:dyDescent="0.15">
      <c r="A23" t="s">
        <v>23</v>
      </c>
      <c r="B23" s="17">
        <f>IFERROR(SUMIFS('Full List'!B:B,'Full List'!A:A,MA!$A23,'Full List'!E:E,MA!$A$1),"")</f>
        <v>71856</v>
      </c>
      <c r="C23" s="18">
        <f t="shared" si="0"/>
        <v>1.3201026673033005E-2</v>
      </c>
    </row>
    <row r="24" spans="1:3" x14ac:dyDescent="0.15">
      <c r="A24" t="s">
        <v>24</v>
      </c>
      <c r="B24" s="17">
        <f>IFERROR(SUMIFS('Full List'!B:B,'Full List'!A:A,MA!$A24,'Full List'!E:E,MA!$A$1),"")</f>
        <v>58494</v>
      </c>
      <c r="C24" s="18">
        <f t="shared" si="0"/>
        <v>1.0746226539361954E-2</v>
      </c>
    </row>
    <row r="25" spans="1:3" x14ac:dyDescent="0.15">
      <c r="A25" t="s">
        <v>25</v>
      </c>
      <c r="B25" s="17">
        <f>IFERROR(SUMIFS('Full List'!B:B,'Full List'!A:A,MA!$A25,'Full List'!E:E,MA!$A$1),"")</f>
        <v>43702</v>
      </c>
      <c r="C25" s="18">
        <f t="shared" si="0"/>
        <v>8.0287139231920556E-3</v>
      </c>
    </row>
    <row r="26" spans="1:3" x14ac:dyDescent="0.15">
      <c r="A26" t="s">
        <v>26</v>
      </c>
      <c r="B26" s="17">
        <f>IFERROR(SUMIFS('Full List'!B:B,'Full List'!A:A,MA!$A26,'Full List'!E:E,MA!$A$1),"")</f>
        <v>24601</v>
      </c>
      <c r="C26" s="18">
        <f t="shared" si="0"/>
        <v>4.5195732740938117E-3</v>
      </c>
    </row>
    <row r="27" spans="1:3" x14ac:dyDescent="0.15">
      <c r="A27" t="s">
        <v>27</v>
      </c>
      <c r="B27" s="17">
        <f>IFERROR(SUMIFS('Full List'!B:B,'Full List'!A:A,MA!$A27,'Full List'!E:E,MA!$A$1),"")</f>
        <v>225636</v>
      </c>
      <c r="C27" s="18">
        <f t="shared" si="0"/>
        <v>4.1452722867909082E-2</v>
      </c>
    </row>
    <row r="28" spans="1:3" x14ac:dyDescent="0.15">
      <c r="A28" t="s">
        <v>28</v>
      </c>
      <c r="B28" s="17">
        <f>IFERROR(SUMIFS('Full List'!B:B,'Full List'!A:A,MA!$A28,'Full List'!E:E,MA!$A$1),"")</f>
        <v>739674</v>
      </c>
      <c r="C28" s="18">
        <f t="shared" si="0"/>
        <v>0.13588922572017667</v>
      </c>
    </row>
    <row r="29" spans="1:3" x14ac:dyDescent="0.15">
      <c r="A29" t="s">
        <v>29</v>
      </c>
      <c r="B29" s="17">
        <f>IFERROR(SUMIFS('Full List'!B:B,'Full List'!A:A,MA!$A29,'Full List'!E:E,MA!$A$1),"")</f>
        <v>2183027</v>
      </c>
      <c r="C29" s="18">
        <f t="shared" si="0"/>
        <v>0.40105485491749082</v>
      </c>
    </row>
    <row r="30" spans="1:3" x14ac:dyDescent="0.15">
      <c r="A30" t="s">
        <v>30</v>
      </c>
      <c r="B30" s="17">
        <f>IFERROR(SUMIFS('Full List'!B:B,'Full List'!A:A,MA!$A30,'Full List'!E:E,MA!$A$1),"")</f>
        <v>801434</v>
      </c>
      <c r="C30" s="18">
        <f t="shared" si="0"/>
        <v>0.14723546552376326</v>
      </c>
    </row>
    <row r="31" spans="1:3" x14ac:dyDescent="0.15">
      <c r="A31" t="s">
        <v>31</v>
      </c>
      <c r="B31" s="17">
        <f>IFERROR(SUMIFS('Full List'!B:B,'Full List'!A:A,MA!$A31,'Full List'!E:E,MA!$A$1),"")</f>
        <v>31165</v>
      </c>
      <c r="C31" s="18">
        <f t="shared" si="0"/>
        <v>5.7254786832703405E-3</v>
      </c>
    </row>
    <row r="32" spans="1:3" x14ac:dyDescent="0.15">
      <c r="A32" t="s">
        <v>32</v>
      </c>
      <c r="B32" s="17">
        <f>IFERROR(SUMIFS('Full List'!B:B,'Full List'!A:A,MA!$A32,'Full List'!E:E,MA!$A$1),"")</f>
        <v>59037</v>
      </c>
      <c r="C32" s="18">
        <f t="shared" si="0"/>
        <v>1.0845983796702426E-2</v>
      </c>
    </row>
    <row r="33" spans="1:3" x14ac:dyDescent="0.15">
      <c r="A33" t="s">
        <v>33</v>
      </c>
      <c r="B33" s="17">
        <f>IFERROR(SUMIFS('Full List'!B:B,'Full List'!A:A,MA!$A33,'Full List'!E:E,MA!$A$1),"")</f>
        <v>1487339</v>
      </c>
      <c r="C33" s="18">
        <f t="shared" si="0"/>
        <v>0.27324651818696055</v>
      </c>
    </row>
    <row r="34" spans="1:3" x14ac:dyDescent="0.15">
      <c r="A34" t="s">
        <v>34</v>
      </c>
      <c r="B34" s="17">
        <f>IFERROR(SUMIFS('Full List'!B:B,'Full List'!A:A,MA!$A34,'Full List'!E:E,MA!$A$1),"")</f>
        <v>480775</v>
      </c>
      <c r="C34" s="18">
        <f t="shared" si="0"/>
        <v>8.8325590051317113E-2</v>
      </c>
    </row>
    <row r="35" spans="1:3" x14ac:dyDescent="0.15">
      <c r="A35" t="s">
        <v>35</v>
      </c>
      <c r="B35" s="17">
        <f>IFERROR(SUMIFS('Full List'!B:B,'Full List'!A:A,MA!$A35,'Full List'!E:E,MA!$A$1),"")</f>
        <v>139580</v>
      </c>
      <c r="C35" s="18">
        <f t="shared" si="0"/>
        <v>2.5642942872160249E-2</v>
      </c>
    </row>
    <row r="36" spans="1:3" x14ac:dyDescent="0.15">
      <c r="A36" t="s">
        <v>36</v>
      </c>
      <c r="B36" s="17">
        <f>IFERROR(SUMIFS('Full List'!B:B,'Full List'!A:A,MA!$A36,'Full List'!E:E,MA!$A$1),"")</f>
        <v>53928</v>
      </c>
      <c r="C36" s="18">
        <f t="shared" si="0"/>
        <v>9.9073837455929056E-3</v>
      </c>
    </row>
    <row r="37" spans="1:3" x14ac:dyDescent="0.15">
      <c r="A37" t="s">
        <v>37</v>
      </c>
      <c r="B37" s="17">
        <f>IFERROR(SUMIFS('Full List'!B:B,'Full List'!A:A,MA!$A37,'Full List'!E:E,MA!$A$1),"")</f>
        <v>26360</v>
      </c>
      <c r="C37" s="18">
        <f t="shared" si="0"/>
        <v>4.8427279990696671E-3</v>
      </c>
    </row>
    <row r="38" spans="1:3" x14ac:dyDescent="0.15">
      <c r="A38" t="s">
        <v>38</v>
      </c>
      <c r="B38" s="17">
        <f>IFERROR(SUMIFS('Full List'!B:B,'Full List'!A:A,MA!$A38,'Full List'!E:E,MA!$A$1),"")</f>
        <v>34103</v>
      </c>
      <c r="C38" s="18">
        <f t="shared" si="0"/>
        <v>6.2652334200407004E-3</v>
      </c>
    </row>
    <row r="39" spans="1:3" x14ac:dyDescent="0.15">
      <c r="A39" t="s">
        <v>39</v>
      </c>
      <c r="B39" s="17">
        <f>IFERROR(SUMIFS('Full List'!B:B,'Full List'!A:A,MA!$A39,'Full List'!E:E,MA!$A$1),"")</f>
        <v>87089</v>
      </c>
      <c r="C39" s="18">
        <f t="shared" si="0"/>
        <v>1.5999557614225276E-2</v>
      </c>
    </row>
    <row r="40" spans="1:3" x14ac:dyDescent="0.15">
      <c r="A40" t="s">
        <v>40</v>
      </c>
      <c r="B40" s="17">
        <f>IFERROR(SUMIFS('Full List'!B:B,'Full List'!A:A,MA!$A40,'Full List'!E:E,MA!$A$1),"")</f>
        <v>44475</v>
      </c>
      <c r="C40" s="18">
        <f t="shared" si="0"/>
        <v>8.1707256357596153E-3</v>
      </c>
    </row>
    <row r="41" spans="1:3" x14ac:dyDescent="0.15">
      <c r="A41" t="s">
        <v>41</v>
      </c>
      <c r="B41" s="17">
        <f>IFERROR(SUMIFS('Full List'!B:B,'Full List'!A:A,MA!$A41,'Full List'!E:E,MA!$A$1),"")</f>
        <v>139957</v>
      </c>
      <c r="C41" s="18">
        <f t="shared" si="0"/>
        <v>2.5712203435728127E-2</v>
      </c>
    </row>
    <row r="42" spans="1:3" x14ac:dyDescent="0.15">
      <c r="A42" t="s">
        <v>42</v>
      </c>
      <c r="B42" s="17">
        <f>IFERROR(SUMIFS('Full List'!B:B,'Full List'!A:A,MA!$A42,'Full List'!E:E,MA!$A$1),"")</f>
        <v>153637</v>
      </c>
      <c r="C42" s="18">
        <f t="shared" si="0"/>
        <v>2.8225424946626193E-2</v>
      </c>
    </row>
    <row r="43" spans="1:3" x14ac:dyDescent="0.15">
      <c r="A43" t="s">
        <v>43</v>
      </c>
      <c r="B43" s="17">
        <f>IFERROR(SUMIFS('Full List'!B:B,'Full List'!A:A,MA!$A43,'Full List'!E:E,MA!$A$1),"")</f>
        <v>207344</v>
      </c>
      <c r="C43" s="18">
        <f t="shared" si="0"/>
        <v>3.8092207672196551E-2</v>
      </c>
    </row>
    <row r="44" spans="1:3" x14ac:dyDescent="0.15">
      <c r="A44" t="s">
        <v>44</v>
      </c>
      <c r="B44" s="17">
        <f>IFERROR(SUMIFS('Full List'!B:B,'Full List'!A:A,MA!$A44,'Full List'!E:E,MA!$A$1),"")</f>
        <v>410382</v>
      </c>
      <c r="C44" s="18">
        <f t="shared" si="0"/>
        <v>7.5393338456532941E-2</v>
      </c>
    </row>
    <row r="45" spans="1:3" x14ac:dyDescent="0.15">
      <c r="A45" t="s">
        <v>45</v>
      </c>
      <c r="B45" s="17">
        <f>IFERROR(SUMIFS('Full List'!B:B,'Full List'!A:A,MA!$A45,'Full List'!E:E,MA!$A$1),"")</f>
        <v>672346</v>
      </c>
      <c r="C45" s="18">
        <f t="shared" si="0"/>
        <v>0.1235200606700491</v>
      </c>
    </row>
    <row r="46" spans="1:3" x14ac:dyDescent="0.15">
      <c r="A46" t="s">
        <v>46</v>
      </c>
      <c r="B46" s="17">
        <f>IFERROR(SUMIFS('Full List'!B:B,'Full List'!A:A,MA!$A46,'Full List'!E:E,MA!$A$1),"")</f>
        <v>1388854</v>
      </c>
      <c r="C46" s="18">
        <f t="shared" si="0"/>
        <v>0.25515334417374447</v>
      </c>
    </row>
    <row r="47" spans="1:3" x14ac:dyDescent="0.15">
      <c r="A47" t="s">
        <v>47</v>
      </c>
      <c r="B47" s="17">
        <f>IFERROR(SUMIFS('Full List'!B:B,'Full List'!A:A,MA!$A47,'Full List'!E:E,MA!$A$1),"")</f>
        <v>1798069</v>
      </c>
      <c r="C47" s="18">
        <f t="shared" si="0"/>
        <v>0.33033228719875557</v>
      </c>
    </row>
    <row r="48" spans="1:3" x14ac:dyDescent="0.15">
      <c r="A48" t="s">
        <v>48</v>
      </c>
      <c r="B48" s="17">
        <f>IFERROR(SUMIFS('Full List'!B:B,'Full List'!A:A,MA!$A48,'Full List'!E:E,MA!$A$1),"")</f>
        <v>1083053</v>
      </c>
      <c r="C48" s="18">
        <f t="shared" si="0"/>
        <v>0.19897310650896813</v>
      </c>
    </row>
    <row r="49" spans="1:3" x14ac:dyDescent="0.15">
      <c r="A49" t="s">
        <v>49</v>
      </c>
      <c r="B49" s="17">
        <f>IFERROR(SUMIFS('Full List'!B:B,'Full List'!A:A,MA!$A49,'Full List'!E:E,MA!$A$1),"")</f>
        <v>836646</v>
      </c>
      <c r="C49" s="18">
        <f t="shared" si="0"/>
        <v>0.15370443890400762</v>
      </c>
    </row>
    <row r="50" spans="1:3" x14ac:dyDescent="0.15">
      <c r="A50" t="s">
        <v>50</v>
      </c>
      <c r="B50" s="17">
        <f>IFERROR(SUMIFS('Full List'!B:B,'Full List'!A:A,MA!$A50,'Full List'!E:E,MA!$A$1),"")</f>
        <v>719046</v>
      </c>
      <c r="C50" s="18">
        <f t="shared" si="0"/>
        <v>0.13209955223137512</v>
      </c>
    </row>
    <row r="51" spans="1:3" x14ac:dyDescent="0.15">
      <c r="A51" t="s">
        <v>51</v>
      </c>
      <c r="B51" s="17">
        <f>IFERROR(SUMIFS('Full List'!B:B,'Full List'!A:A,MA!$A51,'Full List'!E:E,MA!$A$1),"")</f>
        <v>1753841</v>
      </c>
      <c r="C51" s="18">
        <f t="shared" si="0"/>
        <v>0.32220693917360943</v>
      </c>
    </row>
    <row r="52" spans="1:3" x14ac:dyDescent="0.15">
      <c r="A52" t="s">
        <v>52</v>
      </c>
      <c r="B52" s="17">
        <f>IFERROR(SUMIFS('Full List'!B:B,'Full List'!A:A,MA!$A52,'Full List'!E:E,MA!$A$1),"")</f>
        <v>503470</v>
      </c>
      <c r="C52" s="18">
        <f t="shared" si="0"/>
        <v>9.2495002492094289E-2</v>
      </c>
    </row>
    <row r="53" spans="1:3" x14ac:dyDescent="0.15">
      <c r="A53" t="s">
        <v>53</v>
      </c>
      <c r="B53" s="17">
        <f>IFERROR(SUMIFS('Full List'!B:B,'Full List'!A:A,MA!$A53,'Full List'!E:E,MA!$A$1),"")</f>
        <v>266889</v>
      </c>
      <c r="C53" s="18">
        <f t="shared" si="0"/>
        <v>4.9031518700444018E-2</v>
      </c>
    </row>
    <row r="54" spans="1:3" x14ac:dyDescent="0.15">
      <c r="A54" t="s">
        <v>54</v>
      </c>
      <c r="B54" s="17">
        <f>IFERROR(SUMIFS('Full List'!B:B,'Full List'!A:A,MA!$A54,'Full List'!E:E,MA!$A$1),"")</f>
        <v>1819039</v>
      </c>
      <c r="C54" s="18">
        <f t="shared" si="0"/>
        <v>0.33418479122532962</v>
      </c>
    </row>
    <row r="55" spans="1:3" x14ac:dyDescent="0.15">
      <c r="A55" t="s">
        <v>55</v>
      </c>
      <c r="B55" s="17">
        <f>IFERROR(SUMIFS('Full List'!B:B,'Full List'!A:A,MA!$A55,'Full List'!E:E,MA!$A$1),"")</f>
        <v>1294569</v>
      </c>
      <c r="C55" s="18">
        <f t="shared" si="0"/>
        <v>0.23783177325597951</v>
      </c>
    </row>
    <row r="56" spans="1:3" x14ac:dyDescent="0.15">
      <c r="A56" t="s">
        <v>56</v>
      </c>
      <c r="B56" s="17">
        <f>IFERROR(SUMIFS('Full List'!B:B,'Full List'!A:A,MA!$A56,'Full List'!E:E,MA!$A$1),"")</f>
        <v>1172810</v>
      </c>
      <c r="C56" s="18">
        <f t="shared" si="0"/>
        <v>0.21546281580382762</v>
      </c>
    </row>
    <row r="57" spans="1:3" x14ac:dyDescent="0.15">
      <c r="A57" t="s">
        <v>57</v>
      </c>
      <c r="B57" s="17">
        <f>IFERROR(SUMIFS('Full List'!B:B,'Full List'!A:A,MA!$A57,'Full List'!E:E,MA!$A$1),"")</f>
        <v>461621</v>
      </c>
      <c r="C57" s="18">
        <f t="shared" si="0"/>
        <v>8.4806712506014376E-2</v>
      </c>
    </row>
    <row r="58" spans="1:3" x14ac:dyDescent="0.15">
      <c r="A58" t="s">
        <v>58</v>
      </c>
      <c r="B58" s="17">
        <f>IFERROR(SUMIFS('Full List'!B:B,'Full List'!A:A,MA!$A58,'Full List'!E:E,MA!$A$1),"")</f>
        <v>712023</v>
      </c>
      <c r="C58" s="18">
        <f t="shared" si="0"/>
        <v>0.13080932162676714</v>
      </c>
    </row>
    <row r="59" spans="1:3" x14ac:dyDescent="0.15">
      <c r="A59" t="s">
        <v>59</v>
      </c>
      <c r="B59" s="17">
        <f>IFERROR(SUMIFS('Full List'!B:B,'Full List'!A:A,MA!$A59,'Full List'!E:E,MA!$A$1),"")</f>
        <v>3626009</v>
      </c>
      <c r="C59" s="18">
        <f t="shared" si="0"/>
        <v>0.66615232584137352</v>
      </c>
    </row>
    <row r="60" spans="1:3" x14ac:dyDescent="0.15">
      <c r="A60" t="s">
        <v>60</v>
      </c>
      <c r="B60" s="17">
        <f>IFERROR(SUMIFS('Full List'!B:B,'Full List'!A:A,MA!$A60,'Full List'!E:E,MA!$A$1),"")</f>
        <v>994727</v>
      </c>
      <c r="C60" s="18">
        <f t="shared" si="0"/>
        <v>0.18274629341163023</v>
      </c>
    </row>
    <row r="61" spans="1:3" x14ac:dyDescent="0.15">
      <c r="A61" t="s">
        <v>61</v>
      </c>
      <c r="B61" s="17">
        <f>IFERROR(SUMIFS('Full List'!B:B,'Full List'!A:A,MA!$A61,'Full List'!E:E,MA!$A$1),"")</f>
        <v>894837</v>
      </c>
      <c r="C61" s="18">
        <f t="shared" si="0"/>
        <v>0.16439499979148345</v>
      </c>
    </row>
    <row r="62" spans="1:3" x14ac:dyDescent="0.15">
      <c r="A62" t="s">
        <v>62</v>
      </c>
      <c r="B62" s="17">
        <f>IFERROR(SUMIFS('Full List'!B:B,'Full List'!A:A,MA!$A62,'Full List'!E:E,MA!$A$1),"")</f>
        <v>349524</v>
      </c>
      <c r="C62" s="18">
        <f t="shared" si="0"/>
        <v>6.4212809603445609E-2</v>
      </c>
    </row>
    <row r="63" spans="1:3" x14ac:dyDescent="0.15">
      <c r="A63" t="s">
        <v>63</v>
      </c>
      <c r="B63" s="17">
        <f>IFERROR(SUMIFS('Full List'!B:B,'Full List'!A:A,MA!$A63,'Full List'!E:E,MA!$A$1),"")</f>
        <v>905545</v>
      </c>
      <c r="C63" s="18">
        <f t="shared" si="0"/>
        <v>0.16636222025483846</v>
      </c>
    </row>
    <row r="64" spans="1:3" x14ac:dyDescent="0.15">
      <c r="A64" t="s">
        <v>64</v>
      </c>
      <c r="B64" s="17">
        <f>IFERROR(SUMIFS('Full List'!B:B,'Full List'!A:A,MA!$A64,'Full List'!E:E,MA!$A$1),"")</f>
        <v>517408</v>
      </c>
      <c r="C64" s="18">
        <f t="shared" si="0"/>
        <v>9.5055622478855781E-2</v>
      </c>
    </row>
    <row r="65" spans="1:3" x14ac:dyDescent="0.15">
      <c r="A65" t="s">
        <v>65</v>
      </c>
      <c r="B65" s="17">
        <f>IFERROR(SUMIFS('Full List'!B:B,'Full List'!A:A,MA!$A65,'Full List'!E:E,MA!$A$1),"")</f>
        <v>455306</v>
      </c>
      <c r="C65" s="18">
        <f t="shared" si="0"/>
        <v>8.3646552137496735E-2</v>
      </c>
    </row>
    <row r="66" spans="1:3" x14ac:dyDescent="0.15">
      <c r="A66" t="s">
        <v>66</v>
      </c>
      <c r="B66" s="17">
        <f>IFERROR(SUMIFS('Full List'!B:B,'Full List'!A:A,MA!$A66,'Full List'!E:E,MA!$A$1),"")</f>
        <v>230370</v>
      </c>
      <c r="C66" s="18">
        <f t="shared" si="0"/>
        <v>4.2322429785496177E-2</v>
      </c>
    </row>
    <row r="67" spans="1:3" x14ac:dyDescent="0.15">
      <c r="A67" t="s">
        <v>67</v>
      </c>
      <c r="B67" s="17">
        <f>IFERROR(SUMIFS('Full List'!B:B,'Full List'!A:A,MA!$A67,'Full List'!E:E,MA!$A$1),"")</f>
        <v>1028429</v>
      </c>
      <c r="C67" s="18">
        <f t="shared" ref="C67:C82" si="1">IFERROR(B67/$B$2,"")</f>
        <v>0.18893785710755762</v>
      </c>
    </row>
    <row r="68" spans="1:3" x14ac:dyDescent="0.15">
      <c r="A68" t="s">
        <v>68</v>
      </c>
      <c r="B68" s="17">
        <f>IFERROR(SUMIFS('Full List'!B:B,'Full List'!A:A,MA!$A68,'Full List'!E:E,MA!$A$1),"")</f>
        <v>2445726</v>
      </c>
      <c r="C68" s="18">
        <f t="shared" si="1"/>
        <v>0.44931660767271098</v>
      </c>
    </row>
    <row r="69" spans="1:3" x14ac:dyDescent="0.15">
      <c r="A69" t="s">
        <v>69</v>
      </c>
      <c r="B69" s="17">
        <f>IFERROR(SUMIFS('Full List'!B:B,'Full List'!A:A,MA!$A69,'Full List'!E:E,MA!$A$1),"")</f>
        <v>3781340</v>
      </c>
      <c r="C69" s="18">
        <f t="shared" si="1"/>
        <v>0.69468896403649827</v>
      </c>
    </row>
    <row r="70" spans="1:3" x14ac:dyDescent="0.15">
      <c r="A70" t="s">
        <v>70</v>
      </c>
      <c r="B70" s="17">
        <f>IFERROR(SUMIFS('Full List'!B:B,'Full List'!A:A,MA!$A70,'Full List'!E:E,MA!$A$1),"")</f>
        <v>2559999</v>
      </c>
      <c r="C70" s="18">
        <f t="shared" si="1"/>
        <v>0.4703102744647325</v>
      </c>
    </row>
    <row r="71" spans="1:3" x14ac:dyDescent="0.15">
      <c r="A71" t="s">
        <v>71</v>
      </c>
      <c r="B71" s="17">
        <f>IFERROR(SUMIFS('Full List'!B:B,'Full List'!A:A,MA!$A71,'Full List'!E:E,MA!$A$1),"")</f>
        <v>319846</v>
      </c>
      <c r="C71" s="18">
        <f t="shared" si="1"/>
        <v>5.8760515158969524E-2</v>
      </c>
    </row>
    <row r="72" spans="1:3" x14ac:dyDescent="0.15">
      <c r="A72" t="s">
        <v>72</v>
      </c>
      <c r="B72" s="17">
        <f>IFERROR(SUMIFS('Full List'!B:B,'Full List'!A:A,MA!$A72,'Full List'!E:E,MA!$A$1),"")</f>
        <v>359609</v>
      </c>
      <c r="C72" s="18">
        <f t="shared" si="1"/>
        <v>6.6065575607642035E-2</v>
      </c>
    </row>
    <row r="73" spans="1:3" x14ac:dyDescent="0.15">
      <c r="A73" t="s">
        <v>73</v>
      </c>
      <c r="B73" s="17">
        <f>IFERROR(SUMIFS('Full List'!B:B,'Full List'!A:A,MA!$A73,'Full List'!E:E,MA!$A$1),"")</f>
        <v>3364320</v>
      </c>
      <c r="C73" s="18">
        <f t="shared" si="1"/>
        <v>0.61807612525910705</v>
      </c>
    </row>
    <row r="74" spans="1:3" x14ac:dyDescent="0.15">
      <c r="A74" t="s">
        <v>74</v>
      </c>
      <c r="B74" s="17">
        <f>IFERROR(SUMIFS('Full List'!B:B,'Full List'!A:A,MA!$A74,'Full List'!E:E,MA!$A$1),"")</f>
        <v>1645780</v>
      </c>
      <c r="C74" s="18">
        <f t="shared" si="1"/>
        <v>0.30235451010276465</v>
      </c>
    </row>
    <row r="75" spans="1:3" x14ac:dyDescent="0.15">
      <c r="A75" t="s">
        <v>75</v>
      </c>
      <c r="B75" s="17">
        <f>IFERROR(SUMIFS('Full List'!B:B,'Full List'!A:A,MA!$A75,'Full List'!E:E,MA!$A$1),"")</f>
        <v>901968</v>
      </c>
      <c r="C75" s="18">
        <f t="shared" si="1"/>
        <v>0.16570507161854589</v>
      </c>
    </row>
    <row r="76" spans="1:3" x14ac:dyDescent="0.15">
      <c r="A76" t="s">
        <v>76</v>
      </c>
      <c r="B76" s="17">
        <f>IFERROR(SUMIFS('Full List'!B:B,'Full List'!A:A,MA!$A76,'Full List'!E:E,MA!$A$1),"")</f>
        <v>323839</v>
      </c>
      <c r="C76" s="18">
        <f t="shared" si="1"/>
        <v>5.949408924471631E-2</v>
      </c>
    </row>
    <row r="77" spans="1:3" x14ac:dyDescent="0.15">
      <c r="A77" t="s">
        <v>77</v>
      </c>
      <c r="B77" s="17">
        <f>IFERROR(SUMIFS('Full List'!B:B,'Full List'!A:A,MA!$A77,'Full List'!E:E,MA!$A$1),"")</f>
        <v>247733</v>
      </c>
      <c r="C77" s="18">
        <f t="shared" si="1"/>
        <v>4.5512273725095823E-2</v>
      </c>
    </row>
    <row r="78" spans="1:3" x14ac:dyDescent="0.15">
      <c r="A78" t="s">
        <v>78</v>
      </c>
      <c r="B78" s="17">
        <f>IFERROR(SUMIFS('Full List'!B:B,'Full List'!A:A,MA!$A78,'Full List'!E:E,MA!$A$1),"")</f>
        <v>286672</v>
      </c>
      <c r="C78" s="18">
        <f t="shared" si="1"/>
        <v>5.2665952995041718E-2</v>
      </c>
    </row>
    <row r="79" spans="1:3" x14ac:dyDescent="0.15">
      <c r="A79" t="s">
        <v>79</v>
      </c>
      <c r="B79" s="17">
        <f>IFERROR(SUMIFS('Full List'!B:B,'Full List'!A:A,MA!$A79,'Full List'!E:E,MA!$A$1),"")</f>
        <v>638525</v>
      </c>
      <c r="C79" s="18">
        <f t="shared" si="1"/>
        <v>0.11730663488641727</v>
      </c>
    </row>
    <row r="80" spans="1:3" x14ac:dyDescent="0.15">
      <c r="A80" t="s">
        <v>80</v>
      </c>
      <c r="B80" s="17">
        <f>IFERROR(SUMIFS('Full List'!B:B,'Full List'!A:A,MA!$A80,'Full List'!E:E,MA!$A$1),"")</f>
        <v>642349</v>
      </c>
      <c r="C80" s="18">
        <f t="shared" si="1"/>
        <v>0.11800916113332328</v>
      </c>
    </row>
    <row r="81" spans="1:6" x14ac:dyDescent="0.15">
      <c r="A81" t="s">
        <v>81</v>
      </c>
      <c r="B81" s="17">
        <f>IFERROR(SUMIFS('Full List'!B:B,'Full List'!A:A,MA!$A81,'Full List'!E:E,MA!$A$1),"")</f>
        <v>902651</v>
      </c>
      <c r="C81" s="18">
        <f t="shared" si="1"/>
        <v>0.16583054897906807</v>
      </c>
    </row>
    <row r="82" spans="1:6" x14ac:dyDescent="0.15">
      <c r="A82" t="s">
        <v>82</v>
      </c>
      <c r="B82" s="17">
        <f>IFERROR(SUMIFS('Full List'!B:B,'Full List'!A:A,MA!$A82,'Full List'!E:E,MA!$A$1),"")</f>
        <v>571224</v>
      </c>
      <c r="C82" s="18">
        <f t="shared" si="1"/>
        <v>0.10494243014190333</v>
      </c>
    </row>
    <row r="83" spans="1:6" x14ac:dyDescent="0.15">
      <c r="B83" s="17"/>
      <c r="C83" s="18"/>
      <c r="D83" t="s">
        <v>812</v>
      </c>
      <c r="E83" t="s">
        <v>860</v>
      </c>
    </row>
    <row r="84" spans="1:6" x14ac:dyDescent="0.15">
      <c r="A84" t="s">
        <v>924</v>
      </c>
      <c r="B84" s="17">
        <v>3644336</v>
      </c>
      <c r="C84" s="18">
        <f t="shared" ref="C84:C103" si="2">IFERROR(B84/$B$2,"")</f>
        <v>0.66951927106288145</v>
      </c>
      <c r="D84">
        <v>27</v>
      </c>
      <c r="E84" t="str">
        <f>VLOOKUP(D84,Validation!$A$2:$C$41,3,FALSE)</f>
        <v xml:space="preserve">NFL </v>
      </c>
      <c r="F84" t="s">
        <v>1351</v>
      </c>
    </row>
    <row r="85" spans="1:6" x14ac:dyDescent="0.15">
      <c r="A85" t="s">
        <v>923</v>
      </c>
      <c r="B85" s="17">
        <v>3619216</v>
      </c>
      <c r="C85" s="18">
        <f t="shared" si="2"/>
        <v>0.66490434969199252</v>
      </c>
      <c r="D85">
        <v>17</v>
      </c>
      <c r="E85" t="str">
        <f>VLOOKUP(D85,Validation!$A$2:$C$41,3,FALSE)</f>
        <v>MLB</v>
      </c>
      <c r="F85" t="s">
        <v>1350</v>
      </c>
    </row>
    <row r="86" spans="1:6" x14ac:dyDescent="0.15">
      <c r="A86" t="s">
        <v>922</v>
      </c>
      <c r="B86" s="17">
        <v>2418314</v>
      </c>
      <c r="C86" s="18">
        <f t="shared" si="2"/>
        <v>0.44428061146973302</v>
      </c>
      <c r="D86">
        <v>26</v>
      </c>
      <c r="E86" t="str">
        <f>VLOOKUP(D86,Validation!$A$2:$C$41,3,FALSE)</f>
        <v xml:space="preserve">NBA </v>
      </c>
    </row>
    <row r="87" spans="1:6" x14ac:dyDescent="0.15">
      <c r="A87" t="s">
        <v>1031</v>
      </c>
      <c r="B87" s="17">
        <v>2220521</v>
      </c>
      <c r="C87" s="18">
        <f t="shared" si="2"/>
        <v>0.40794306597959695</v>
      </c>
      <c r="D87">
        <v>28</v>
      </c>
      <c r="E87" t="str">
        <f>VLOOKUP(D87,Validation!$A$2:$C$41,3,FALSE)</f>
        <v xml:space="preserve">NHL </v>
      </c>
      <c r="F87" t="s">
        <v>1350</v>
      </c>
    </row>
    <row r="88" spans="1:6" x14ac:dyDescent="0.15">
      <c r="A88" t="s">
        <v>1033</v>
      </c>
      <c r="B88" s="17">
        <v>699536</v>
      </c>
      <c r="C88" s="18">
        <f t="shared" si="2"/>
        <v>0.12851527213798175</v>
      </c>
      <c r="D88">
        <v>5</v>
      </c>
      <c r="E88" t="str">
        <f>VLOOKUP(D88,Validation!$A$2:$C$41,3,FALSE)</f>
        <v>CFB</v>
      </c>
      <c r="F88" t="s">
        <v>1350</v>
      </c>
    </row>
    <row r="89" spans="1:6" x14ac:dyDescent="0.15">
      <c r="A89" t="s">
        <v>1034</v>
      </c>
      <c r="B89" s="17">
        <v>464342</v>
      </c>
      <c r="C89" s="18">
        <f t="shared" si="2"/>
        <v>8.5306601082853081E-2</v>
      </c>
      <c r="D89">
        <v>6</v>
      </c>
      <c r="E89" t="str">
        <f>VLOOKUP(D89,Validation!$A$2:$C$41,3,FALSE)</f>
        <v>CH</v>
      </c>
      <c r="F89" t="s">
        <v>1350</v>
      </c>
    </row>
    <row r="90" spans="1:6" x14ac:dyDescent="0.15">
      <c r="A90" t="s">
        <v>1030</v>
      </c>
      <c r="B90" s="17">
        <v>400297</v>
      </c>
      <c r="C90" s="18">
        <f t="shared" si="2"/>
        <v>7.3540572452336514E-2</v>
      </c>
      <c r="D90">
        <v>18</v>
      </c>
      <c r="E90" t="str">
        <f>VLOOKUP(D90,Validation!$A$2:$C$41,3,FALSE)</f>
        <v>MLS</v>
      </c>
    </row>
    <row r="91" spans="1:6" x14ac:dyDescent="0.15">
      <c r="A91" t="s">
        <v>1032</v>
      </c>
      <c r="B91" s="17">
        <v>395903</v>
      </c>
      <c r="C91" s="18">
        <f t="shared" si="2"/>
        <v>7.2733328642476419E-2</v>
      </c>
      <c r="D91">
        <v>4</v>
      </c>
      <c r="E91" t="str">
        <f>VLOOKUP(D91,Validation!$A$2:$C$41,3,FALSE)</f>
        <v>MCB</v>
      </c>
      <c r="F91" t="s">
        <v>1350</v>
      </c>
    </row>
    <row r="92" spans="1:6" x14ac:dyDescent="0.15">
      <c r="A92" t="s">
        <v>1035</v>
      </c>
      <c r="B92" s="17">
        <v>284020</v>
      </c>
      <c r="C92" s="18">
        <f t="shared" si="2"/>
        <v>5.2178740754771122E-2</v>
      </c>
      <c r="D92">
        <v>6</v>
      </c>
      <c r="E92" t="str">
        <f>VLOOKUP(D92,Validation!$A$2:$C$41,3,FALSE)</f>
        <v>CH</v>
      </c>
      <c r="F92" t="s">
        <v>1351</v>
      </c>
    </row>
    <row r="93" spans="1:6" x14ac:dyDescent="0.15">
      <c r="A93" t="s">
        <v>1045</v>
      </c>
      <c r="B93" s="17">
        <v>213629</v>
      </c>
      <c r="C93" s="18">
        <f t="shared" si="2"/>
        <v>3.9246856590032395E-2</v>
      </c>
      <c r="D93">
        <v>6</v>
      </c>
      <c r="E93" t="str">
        <f>VLOOKUP(D93,Validation!$A$2:$C$41,3,FALSE)</f>
        <v>CH</v>
      </c>
      <c r="F93" t="s">
        <v>1350</v>
      </c>
    </row>
    <row r="94" spans="1:6" x14ac:dyDescent="0.15">
      <c r="A94" t="s">
        <v>936</v>
      </c>
      <c r="B94" s="17">
        <v>202811</v>
      </c>
      <c r="C94" s="18">
        <f t="shared" si="2"/>
        <v>3.7259427474177473E-2</v>
      </c>
      <c r="D94">
        <v>4</v>
      </c>
      <c r="E94" t="str">
        <f>VLOOKUP(D94,Validation!$A$2:$C$41,3,FALSE)</f>
        <v>MCB</v>
      </c>
      <c r="F94" t="s">
        <v>1350</v>
      </c>
    </row>
    <row r="95" spans="1:6" x14ac:dyDescent="0.15">
      <c r="A95" t="s">
        <v>1044</v>
      </c>
      <c r="B95" s="17">
        <v>153537</v>
      </c>
      <c r="C95" s="18">
        <f t="shared" si="2"/>
        <v>2.8207053444353546E-2</v>
      </c>
      <c r="D95">
        <v>6</v>
      </c>
      <c r="E95" t="str">
        <f>VLOOKUP(D95,Validation!$A$2:$C$41,3,FALSE)</f>
        <v>CH</v>
      </c>
      <c r="F95" t="s">
        <v>1350</v>
      </c>
    </row>
    <row r="96" spans="1:6" x14ac:dyDescent="0.15">
      <c r="A96" t="s">
        <v>1043</v>
      </c>
      <c r="B96" s="17">
        <v>149196</v>
      </c>
      <c r="C96" s="18">
        <f t="shared" si="2"/>
        <v>2.7409546530697954E-2</v>
      </c>
      <c r="D96">
        <v>5</v>
      </c>
      <c r="E96" t="str">
        <f>VLOOKUP(D96,Validation!$A$2:$C$41,3,FALSE)</f>
        <v>CFB</v>
      </c>
      <c r="F96" t="s">
        <v>1350</v>
      </c>
    </row>
    <row r="97" spans="1:6" x14ac:dyDescent="0.15">
      <c r="A97" t="s">
        <v>1037</v>
      </c>
      <c r="B97" s="17">
        <v>146696</v>
      </c>
      <c r="C97" s="18">
        <f t="shared" si="2"/>
        <v>2.6950258973881785E-2</v>
      </c>
      <c r="D97">
        <v>6</v>
      </c>
      <c r="E97" t="str">
        <f>VLOOKUP(D97,Validation!$A$2:$C$41,3,FALSE)</f>
        <v>CH</v>
      </c>
      <c r="F97" t="s">
        <v>1350</v>
      </c>
    </row>
    <row r="98" spans="1:6" x14ac:dyDescent="0.15">
      <c r="A98" t="s">
        <v>1039</v>
      </c>
      <c r="B98" s="17">
        <v>118898</v>
      </c>
      <c r="C98" s="18">
        <f t="shared" si="2"/>
        <v>2.1843348772131461E-2</v>
      </c>
      <c r="D98">
        <v>5</v>
      </c>
      <c r="E98" t="str">
        <f>VLOOKUP(D98,Validation!$A$2:$C$41,3,FALSE)</f>
        <v>CFB</v>
      </c>
      <c r="F98" t="s">
        <v>1350</v>
      </c>
    </row>
    <row r="99" spans="1:6" x14ac:dyDescent="0.15">
      <c r="A99" t="s">
        <v>1038</v>
      </c>
      <c r="B99" s="17">
        <v>111814</v>
      </c>
      <c r="C99" s="18">
        <f t="shared" si="2"/>
        <v>2.054191155113717E-2</v>
      </c>
      <c r="D99">
        <v>4</v>
      </c>
      <c r="E99" t="str">
        <f>VLOOKUP(D99,Validation!$A$2:$C$41,3,FALSE)</f>
        <v>MCB</v>
      </c>
      <c r="F99" t="s">
        <v>1350</v>
      </c>
    </row>
    <row r="100" spans="1:6" x14ac:dyDescent="0.15">
      <c r="A100" t="s">
        <v>1040</v>
      </c>
      <c r="B100" s="17">
        <v>96659</v>
      </c>
      <c r="C100" s="18">
        <f t="shared" si="2"/>
        <v>1.7757710381717563E-2</v>
      </c>
      <c r="D100">
        <v>6</v>
      </c>
      <c r="E100" t="str">
        <f>VLOOKUP(D100,Validation!$A$2:$C$41,3,FALSE)</f>
        <v>CH</v>
      </c>
      <c r="F100" t="s">
        <v>1350</v>
      </c>
    </row>
    <row r="101" spans="1:6" x14ac:dyDescent="0.15">
      <c r="A101" t="s">
        <v>1042</v>
      </c>
      <c r="B101" s="17">
        <v>87355</v>
      </c>
      <c r="C101" s="18">
        <f t="shared" si="2"/>
        <v>1.6048425810270515E-2</v>
      </c>
      <c r="D101">
        <v>4</v>
      </c>
      <c r="E101" t="str">
        <f>VLOOKUP(D101,Validation!$A$2:$C$41,3,FALSE)</f>
        <v>MCB</v>
      </c>
      <c r="F101" t="s">
        <v>1350</v>
      </c>
    </row>
    <row r="102" spans="1:6" x14ac:dyDescent="0.15">
      <c r="A102" t="s">
        <v>1036</v>
      </c>
      <c r="B102" s="17">
        <v>61072</v>
      </c>
      <c r="C102" s="18">
        <f t="shared" si="2"/>
        <v>1.1219843867950786E-2</v>
      </c>
      <c r="D102">
        <v>4</v>
      </c>
      <c r="E102" t="str">
        <f>VLOOKUP(D102,Validation!$A$2:$C$41,3,FALSE)</f>
        <v>MCB</v>
      </c>
      <c r="F102" t="s">
        <v>1351</v>
      </c>
    </row>
    <row r="103" spans="1:6" x14ac:dyDescent="0.15">
      <c r="A103" t="s">
        <v>1041</v>
      </c>
      <c r="B103" s="17">
        <v>57979</v>
      </c>
      <c r="C103" s="18">
        <f t="shared" si="2"/>
        <v>1.0651613302657823E-2</v>
      </c>
      <c r="D103">
        <v>6</v>
      </c>
      <c r="E103" t="str">
        <f>VLOOKUP(D103,Validation!$A$2:$C$41,3,FALSE)</f>
        <v>CH</v>
      </c>
      <c r="F103" t="s">
        <v>1350</v>
      </c>
    </row>
  </sheetData>
  <pageMargins left="0.7" right="0.7" top="0.75" bottom="0.75" header="0.3" footer="0.3"/>
  <pageSetup orientation="portrait" verticalDpi="0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 enableFormatConditionsCalculation="0"/>
  <dimension ref="A1:F95"/>
  <sheetViews>
    <sheetView topLeftCell="A66" zoomScale="85" zoomScaleNormal="85" zoomScalePageLayoutView="85" workbookViewId="0">
      <selection activeCell="F86" sqref="F86"/>
    </sheetView>
  </sheetViews>
  <sheetFormatPr baseColWidth="10" defaultColWidth="8.83203125" defaultRowHeight="13" x14ac:dyDescent="0.15"/>
  <cols>
    <col min="1" max="1" width="33.33203125" bestFit="1" customWidth="1"/>
    <col min="2" max="2" width="10.5" bestFit="1" customWidth="1"/>
  </cols>
  <sheetData>
    <row r="1" spans="1:3" x14ac:dyDescent="0.15">
      <c r="A1" t="s">
        <v>763</v>
      </c>
      <c r="B1" t="s">
        <v>807</v>
      </c>
      <c r="C1" t="s">
        <v>811</v>
      </c>
    </row>
    <row r="2" spans="1:3" x14ac:dyDescent="0.15">
      <c r="A2" t="s">
        <v>0</v>
      </c>
      <c r="B2" s="17">
        <f>IFERROR(SUMIFS('Full List'!B:B,'Full List'!A:A,MD!$A2,'Full List'!E:E,MD!$A$1),"")</f>
        <v>2261829</v>
      </c>
      <c r="C2" s="18">
        <f>IFERROR(B2/$B$2,"")</f>
        <v>1</v>
      </c>
    </row>
    <row r="3" spans="1:3" x14ac:dyDescent="0.15">
      <c r="A3" t="s">
        <v>3</v>
      </c>
      <c r="B3" s="17">
        <f>IFERROR(SUMIFS('Full List'!B:B,'Full List'!A:A,MD!$A3,'Full List'!E:E,MD!$A$1),"")</f>
        <v>27495</v>
      </c>
      <c r="C3" s="18">
        <f t="shared" ref="C3:C66" si="0">IFERROR(B3/$B$2,"")</f>
        <v>1.2156091375607971E-2</v>
      </c>
    </row>
    <row r="4" spans="1:3" x14ac:dyDescent="0.15">
      <c r="A4" t="s">
        <v>4</v>
      </c>
      <c r="B4" s="17">
        <f>IFERROR(SUMIFS('Full List'!B:B,'Full List'!A:A,MD!$A4,'Full List'!E:E,MD!$A$1),"")</f>
        <v>20392</v>
      </c>
      <c r="C4" s="18">
        <f t="shared" si="0"/>
        <v>9.0157125052335967E-3</v>
      </c>
    </row>
    <row r="5" spans="1:3" x14ac:dyDescent="0.15">
      <c r="A5" t="s">
        <v>5</v>
      </c>
      <c r="B5" s="17">
        <f>IFERROR(SUMIFS('Full List'!B:B,'Full List'!A:A,MD!$A5,'Full List'!E:E,MD!$A$1),"")</f>
        <v>49287</v>
      </c>
      <c r="C5" s="18">
        <f t="shared" si="0"/>
        <v>2.1790771981436263E-2</v>
      </c>
    </row>
    <row r="6" spans="1:3" x14ac:dyDescent="0.15">
      <c r="A6" t="s">
        <v>6</v>
      </c>
      <c r="B6" s="17">
        <f>IFERROR(SUMIFS('Full List'!B:B,'Full List'!A:A,MD!$A6,'Full List'!E:E,MD!$A$1),"")</f>
        <v>232502</v>
      </c>
      <c r="C6" s="18">
        <f t="shared" si="0"/>
        <v>0.10279380094604854</v>
      </c>
    </row>
    <row r="7" spans="1:3" x14ac:dyDescent="0.15">
      <c r="A7" t="s">
        <v>7</v>
      </c>
      <c r="B7" s="17">
        <f>IFERROR(SUMIFS('Full List'!B:B,'Full List'!A:A,MD!$A7,'Full List'!E:E,MD!$A$1),"")</f>
        <v>288095</v>
      </c>
      <c r="C7" s="18">
        <f t="shared" si="0"/>
        <v>0.12737258210059205</v>
      </c>
    </row>
    <row r="8" spans="1:3" x14ac:dyDescent="0.15">
      <c r="A8" t="s">
        <v>8</v>
      </c>
      <c r="B8" s="17">
        <f>IFERROR(SUMIFS('Full List'!B:B,'Full List'!A:A,MD!$A8,'Full List'!E:E,MD!$A$1),"")</f>
        <v>22029</v>
      </c>
      <c r="C8" s="18">
        <f t="shared" si="0"/>
        <v>9.7394630628575372E-3</v>
      </c>
    </row>
    <row r="9" spans="1:3" x14ac:dyDescent="0.15">
      <c r="A9" t="s">
        <v>9</v>
      </c>
      <c r="B9" s="17">
        <f>IFERROR(SUMIFS('Full List'!B:B,'Full List'!A:A,MD!$A9,'Full List'!E:E,MD!$A$1),"")</f>
        <v>47390</v>
      </c>
      <c r="C9" s="18">
        <f t="shared" si="0"/>
        <v>2.0952070205130451E-2</v>
      </c>
    </row>
    <row r="10" spans="1:3" x14ac:dyDescent="0.15">
      <c r="A10" t="s">
        <v>10</v>
      </c>
      <c r="B10" s="17">
        <f>IFERROR(SUMIFS('Full List'!B:B,'Full List'!A:A,MD!$A10,'Full List'!E:E,MD!$A$1),"")</f>
        <v>25934</v>
      </c>
      <c r="C10" s="18">
        <f t="shared" si="0"/>
        <v>1.1465941943444885E-2</v>
      </c>
    </row>
    <row r="11" spans="1:3" x14ac:dyDescent="0.15">
      <c r="A11" t="s">
        <v>11</v>
      </c>
      <c r="B11" s="17">
        <f>IFERROR(SUMIFS('Full List'!B:B,'Full List'!A:A,MD!$A11,'Full List'!E:E,MD!$A$1),"")</f>
        <v>125041</v>
      </c>
      <c r="C11" s="18">
        <f t="shared" si="0"/>
        <v>5.5283135904615248E-2</v>
      </c>
    </row>
    <row r="12" spans="1:3" x14ac:dyDescent="0.15">
      <c r="A12" t="s">
        <v>12</v>
      </c>
      <c r="B12" s="17">
        <f>IFERROR(SUMIFS('Full List'!B:B,'Full List'!A:A,MD!$A12,'Full List'!E:E,MD!$A$1),"")</f>
        <v>21807</v>
      </c>
      <c r="C12" s="18">
        <f t="shared" si="0"/>
        <v>9.641312406906093E-3</v>
      </c>
    </row>
    <row r="13" spans="1:3" x14ac:dyDescent="0.15">
      <c r="A13" t="s">
        <v>13</v>
      </c>
      <c r="B13" s="17">
        <f>IFERROR(SUMIFS('Full List'!B:B,'Full List'!A:A,MD!$A13,'Full List'!E:E,MD!$A$1),"")</f>
        <v>10964</v>
      </c>
      <c r="C13" s="18">
        <f t="shared" si="0"/>
        <v>4.8474044678001741E-3</v>
      </c>
    </row>
    <row r="14" spans="1:3" x14ac:dyDescent="0.15">
      <c r="A14" t="s">
        <v>14</v>
      </c>
      <c r="B14" s="17">
        <f>IFERROR(SUMIFS('Full List'!B:B,'Full List'!A:A,MD!$A14,'Full List'!E:E,MD!$A$1),"")</f>
        <v>140690</v>
      </c>
      <c r="C14" s="18">
        <f t="shared" si="0"/>
        <v>6.2201872909048384E-2</v>
      </c>
    </row>
    <row r="15" spans="1:3" x14ac:dyDescent="0.15">
      <c r="A15" t="s">
        <v>15</v>
      </c>
      <c r="B15" s="17">
        <f>IFERROR(SUMIFS('Full List'!B:B,'Full List'!A:A,MD!$A15,'Full List'!E:E,MD!$A$1),"")</f>
        <v>65674</v>
      </c>
      <c r="C15" s="18">
        <f t="shared" si="0"/>
        <v>2.9035793598897176E-2</v>
      </c>
    </row>
    <row r="16" spans="1:3" x14ac:dyDescent="0.15">
      <c r="A16" t="s">
        <v>16</v>
      </c>
      <c r="B16" s="17">
        <f>IFERROR(SUMIFS('Full List'!B:B,'Full List'!A:A,MD!$A16,'Full List'!E:E,MD!$A$1),"")</f>
        <v>109048</v>
      </c>
      <c r="C16" s="18">
        <f t="shared" si="0"/>
        <v>4.8212309595464554E-2</v>
      </c>
    </row>
    <row r="17" spans="1:3" x14ac:dyDescent="0.15">
      <c r="A17" t="s">
        <v>17</v>
      </c>
      <c r="B17" s="17">
        <f>IFERROR(SUMIFS('Full List'!B:B,'Full List'!A:A,MD!$A17,'Full List'!E:E,MD!$A$1),"")</f>
        <v>37123</v>
      </c>
      <c r="C17" s="18">
        <f t="shared" si="0"/>
        <v>1.6412823427412064E-2</v>
      </c>
    </row>
    <row r="18" spans="1:3" x14ac:dyDescent="0.15">
      <c r="A18" t="s">
        <v>18</v>
      </c>
      <c r="B18" s="17">
        <f>IFERROR(SUMIFS('Full List'!B:B,'Full List'!A:A,MD!$A18,'Full List'!E:E,MD!$A$1),"")</f>
        <v>35223</v>
      </c>
      <c r="C18" s="18">
        <f t="shared" si="0"/>
        <v>1.557279529089069E-2</v>
      </c>
    </row>
    <row r="19" spans="1:3" x14ac:dyDescent="0.15">
      <c r="A19" t="s">
        <v>19</v>
      </c>
      <c r="B19" s="17">
        <f>IFERROR(SUMIFS('Full List'!B:B,'Full List'!A:A,MD!$A19,'Full List'!E:E,MD!$A$1),"")</f>
        <v>403697</v>
      </c>
      <c r="C19" s="18">
        <f t="shared" si="0"/>
        <v>0.17848254664698349</v>
      </c>
    </row>
    <row r="20" spans="1:3" x14ac:dyDescent="0.15">
      <c r="A20" t="s">
        <v>20</v>
      </c>
      <c r="B20" s="17">
        <f>IFERROR(SUMIFS('Full List'!B:B,'Full List'!A:A,MD!$A20,'Full List'!E:E,MD!$A$1),"")</f>
        <v>55800</v>
      </c>
      <c r="C20" s="18">
        <f t="shared" si="0"/>
        <v>2.4670300009417157E-2</v>
      </c>
    </row>
    <row r="21" spans="1:3" x14ac:dyDescent="0.15">
      <c r="A21" t="s">
        <v>21</v>
      </c>
      <c r="B21" s="17">
        <f>IFERROR(SUMIFS('Full List'!B:B,'Full List'!A:A,MD!$A21,'Full List'!E:E,MD!$A$1),"")</f>
        <v>64955</v>
      </c>
      <c r="C21" s="18">
        <f t="shared" si="0"/>
        <v>2.8717909267234613E-2</v>
      </c>
    </row>
    <row r="22" spans="1:3" x14ac:dyDescent="0.15">
      <c r="A22" t="s">
        <v>22</v>
      </c>
      <c r="B22" s="17">
        <f>IFERROR(SUMIFS('Full List'!B:B,'Full List'!A:A,MD!$A22,'Full List'!E:E,MD!$A$1),"")</f>
        <v>22577</v>
      </c>
      <c r="C22" s="18">
        <f t="shared" si="0"/>
        <v>9.9817448622331745E-3</v>
      </c>
    </row>
    <row r="23" spans="1:3" x14ac:dyDescent="0.15">
      <c r="A23" t="s">
        <v>23</v>
      </c>
      <c r="B23" s="17">
        <f>IFERROR(SUMIFS('Full List'!B:B,'Full List'!A:A,MD!$A23,'Full List'!E:E,MD!$A$1),"")</f>
        <v>31712</v>
      </c>
      <c r="C23" s="18">
        <f t="shared" si="0"/>
        <v>1.4020511718613564E-2</v>
      </c>
    </row>
    <row r="24" spans="1:3" x14ac:dyDescent="0.15">
      <c r="A24" t="s">
        <v>24</v>
      </c>
      <c r="B24" s="17">
        <f>IFERROR(SUMIFS('Full List'!B:B,'Full List'!A:A,MD!$A24,'Full List'!E:E,MD!$A$1),"")</f>
        <v>1812</v>
      </c>
      <c r="C24" s="18">
        <f t="shared" si="0"/>
        <v>8.0112157019827761E-4</v>
      </c>
    </row>
    <row r="25" spans="1:3" x14ac:dyDescent="0.15">
      <c r="A25" t="s">
        <v>25</v>
      </c>
      <c r="B25" s="17">
        <f>IFERROR(SUMIFS('Full List'!B:B,'Full List'!A:A,MD!$A25,'Full List'!E:E,MD!$A$1),"")</f>
        <v>32359</v>
      </c>
      <c r="C25" s="18">
        <f t="shared" si="0"/>
        <v>1.4306563405102685E-2</v>
      </c>
    </row>
    <row r="26" spans="1:3" x14ac:dyDescent="0.15">
      <c r="A26" t="s">
        <v>26</v>
      </c>
      <c r="B26" s="17">
        <f>IFERROR(SUMIFS('Full List'!B:B,'Full List'!A:A,MD!$A26,'Full List'!E:E,MD!$A$1),"")</f>
        <v>27547</v>
      </c>
      <c r="C26" s="18">
        <f t="shared" si="0"/>
        <v>1.2179081619344344E-2</v>
      </c>
    </row>
    <row r="27" spans="1:3" x14ac:dyDescent="0.15">
      <c r="A27" t="s">
        <v>27</v>
      </c>
      <c r="B27" s="17">
        <f>IFERROR(SUMIFS('Full List'!B:B,'Full List'!A:A,MD!$A27,'Full List'!E:E,MD!$A$1),"")</f>
        <v>164358</v>
      </c>
      <c r="C27" s="18">
        <f t="shared" si="0"/>
        <v>7.2665970769673571E-2</v>
      </c>
    </row>
    <row r="28" spans="1:3" x14ac:dyDescent="0.15">
      <c r="A28" t="s">
        <v>28</v>
      </c>
      <c r="B28" s="17">
        <f>IFERROR(SUMIFS('Full List'!B:B,'Full List'!A:A,MD!$A28,'Full List'!E:E,MD!$A$1),"")</f>
        <v>202944</v>
      </c>
      <c r="C28" s="18">
        <f t="shared" si="0"/>
        <v>8.9725615862207092E-2</v>
      </c>
    </row>
    <row r="29" spans="1:3" x14ac:dyDescent="0.15">
      <c r="A29" t="s">
        <v>29</v>
      </c>
      <c r="B29" s="17">
        <f>IFERROR(SUMIFS('Full List'!B:B,'Full List'!A:A,MD!$A29,'Full List'!E:E,MD!$A$1),"")</f>
        <v>1038743</v>
      </c>
      <c r="C29" s="18">
        <f t="shared" si="0"/>
        <v>0.45924912979716859</v>
      </c>
    </row>
    <row r="30" spans="1:3" x14ac:dyDescent="0.15">
      <c r="A30" t="s">
        <v>30</v>
      </c>
      <c r="B30" s="17">
        <f>IFERROR(SUMIFS('Full List'!B:B,'Full List'!A:A,MD!$A30,'Full List'!E:E,MD!$A$1),"")</f>
        <v>88266</v>
      </c>
      <c r="C30" s="18">
        <f t="shared" si="0"/>
        <v>3.9024170262208148E-2</v>
      </c>
    </row>
    <row r="31" spans="1:3" x14ac:dyDescent="0.15">
      <c r="A31" t="s">
        <v>31</v>
      </c>
      <c r="B31" s="17">
        <f>IFERROR(SUMIFS('Full List'!B:B,'Full List'!A:A,MD!$A31,'Full List'!E:E,MD!$A$1),"")</f>
        <v>14767</v>
      </c>
      <c r="C31" s="18">
        <f t="shared" si="0"/>
        <v>6.5287871010584796E-3</v>
      </c>
    </row>
    <row r="32" spans="1:3" x14ac:dyDescent="0.15">
      <c r="A32" t="s">
        <v>32</v>
      </c>
      <c r="B32" s="17">
        <f>IFERROR(SUMIFS('Full List'!B:B,'Full List'!A:A,MD!$A32,'Full List'!E:E,MD!$A$1),"")</f>
        <v>66840</v>
      </c>
      <c r="C32" s="18">
        <f t="shared" si="0"/>
        <v>2.9551305602678185E-2</v>
      </c>
    </row>
    <row r="33" spans="1:3" x14ac:dyDescent="0.15">
      <c r="A33" t="s">
        <v>33</v>
      </c>
      <c r="B33" s="17">
        <f>IFERROR(SUMIFS('Full List'!B:B,'Full List'!A:A,MD!$A33,'Full List'!E:E,MD!$A$1),"")</f>
        <v>655700</v>
      </c>
      <c r="C33" s="18">
        <f t="shared" si="0"/>
        <v>0.28989813111424428</v>
      </c>
    </row>
    <row r="34" spans="1:3" x14ac:dyDescent="0.15">
      <c r="A34" t="s">
        <v>34</v>
      </c>
      <c r="B34" s="17">
        <f>IFERROR(SUMIFS('Full List'!B:B,'Full List'!A:A,MD!$A34,'Full List'!E:E,MD!$A$1),"")</f>
        <v>189827</v>
      </c>
      <c r="C34" s="18">
        <f t="shared" si="0"/>
        <v>8.392632687970665E-2</v>
      </c>
    </row>
    <row r="35" spans="1:3" x14ac:dyDescent="0.15">
      <c r="A35" t="s">
        <v>35</v>
      </c>
      <c r="B35" s="17">
        <f>IFERROR(SUMIFS('Full List'!B:B,'Full List'!A:A,MD!$A35,'Full List'!E:E,MD!$A$1),"")</f>
        <v>125489</v>
      </c>
      <c r="C35" s="18">
        <f t="shared" si="0"/>
        <v>5.5481205696805549E-2</v>
      </c>
    </row>
    <row r="36" spans="1:3" x14ac:dyDescent="0.15">
      <c r="A36" t="s">
        <v>36</v>
      </c>
      <c r="B36" s="17">
        <f>IFERROR(SUMIFS('Full List'!B:B,'Full List'!A:A,MD!$A36,'Full List'!E:E,MD!$A$1),"")</f>
        <v>28222</v>
      </c>
      <c r="C36" s="18">
        <f t="shared" si="0"/>
        <v>1.2477512667845359E-2</v>
      </c>
    </row>
    <row r="37" spans="1:3" x14ac:dyDescent="0.15">
      <c r="A37" t="s">
        <v>37</v>
      </c>
      <c r="B37" s="17">
        <f>IFERROR(SUMIFS('Full List'!B:B,'Full List'!A:A,MD!$A37,'Full List'!E:E,MD!$A$1),"")</f>
        <v>19232</v>
      </c>
      <c r="C37" s="18">
        <f t="shared" si="0"/>
        <v>8.5028532218837053E-3</v>
      </c>
    </row>
    <row r="38" spans="1:3" x14ac:dyDescent="0.15">
      <c r="A38" t="s">
        <v>38</v>
      </c>
      <c r="B38" s="17">
        <f>IFERROR(SUMIFS('Full List'!B:B,'Full List'!A:A,MD!$A38,'Full List'!E:E,MD!$A$1),"")</f>
        <v>35751</v>
      </c>
      <c r="C38" s="18">
        <f t="shared" si="0"/>
        <v>1.5806234688829263E-2</v>
      </c>
    </row>
    <row r="39" spans="1:3" x14ac:dyDescent="0.15">
      <c r="A39" t="s">
        <v>39</v>
      </c>
      <c r="B39" s="17">
        <f>IFERROR(SUMIFS('Full List'!B:B,'Full List'!A:A,MD!$A39,'Full List'!E:E,MD!$A$1),"")</f>
        <v>76457</v>
      </c>
      <c r="C39" s="18">
        <f t="shared" si="0"/>
        <v>3.3803174333691892E-2</v>
      </c>
    </row>
    <row r="40" spans="1:3" x14ac:dyDescent="0.15">
      <c r="A40" t="s">
        <v>40</v>
      </c>
      <c r="B40" s="17">
        <f>IFERROR(SUMIFS('Full List'!B:B,'Full List'!A:A,MD!$A40,'Full List'!E:E,MD!$A$1),"")</f>
        <v>29591</v>
      </c>
      <c r="C40" s="18">
        <f t="shared" si="0"/>
        <v>1.3082775046212601E-2</v>
      </c>
    </row>
    <row r="41" spans="1:3" x14ac:dyDescent="0.15">
      <c r="A41" t="s">
        <v>41</v>
      </c>
      <c r="B41" s="17">
        <f>IFERROR(SUMIFS('Full List'!B:B,'Full List'!A:A,MD!$A41,'Full List'!E:E,MD!$A$1),"")</f>
        <v>85194</v>
      </c>
      <c r="C41" s="18">
        <f t="shared" si="0"/>
        <v>3.7665977401474648E-2</v>
      </c>
    </row>
    <row r="42" spans="1:3" x14ac:dyDescent="0.15">
      <c r="A42" t="s">
        <v>42</v>
      </c>
      <c r="B42" s="17">
        <f>IFERROR(SUMIFS('Full List'!B:B,'Full List'!A:A,MD!$A42,'Full List'!E:E,MD!$A$1),"")</f>
        <v>70976</v>
      </c>
      <c r="C42" s="18">
        <f t="shared" si="0"/>
        <v>3.1379914219863657E-2</v>
      </c>
    </row>
    <row r="43" spans="1:3" x14ac:dyDescent="0.15">
      <c r="A43" t="s">
        <v>43</v>
      </c>
      <c r="B43" s="17">
        <f>IFERROR(SUMIFS('Full List'!B:B,'Full List'!A:A,MD!$A43,'Full List'!E:E,MD!$A$1),"")</f>
        <v>192276</v>
      </c>
      <c r="C43" s="18">
        <f t="shared" si="0"/>
        <v>8.5009078935675511E-2</v>
      </c>
    </row>
    <row r="44" spans="1:3" x14ac:dyDescent="0.15">
      <c r="A44" t="s">
        <v>44</v>
      </c>
      <c r="B44" s="17">
        <f>IFERROR(SUMIFS('Full List'!B:B,'Full List'!A:A,MD!$A44,'Full List'!E:E,MD!$A$1),"")</f>
        <v>241360</v>
      </c>
      <c r="C44" s="18">
        <f t="shared" si="0"/>
        <v>0.10671010054252554</v>
      </c>
    </row>
    <row r="45" spans="1:3" x14ac:dyDescent="0.15">
      <c r="A45" t="s">
        <v>45</v>
      </c>
      <c r="B45" s="17">
        <f>IFERROR(SUMIFS('Full List'!B:B,'Full List'!A:A,MD!$A45,'Full List'!E:E,MD!$A$1),"")</f>
        <v>333824</v>
      </c>
      <c r="C45" s="18">
        <f t="shared" si="0"/>
        <v>0.14759029086637407</v>
      </c>
    </row>
    <row r="46" spans="1:3" x14ac:dyDescent="0.15">
      <c r="A46" t="s">
        <v>46</v>
      </c>
      <c r="B46" s="17">
        <f>IFERROR(SUMIFS('Full List'!B:B,'Full List'!A:A,MD!$A46,'Full List'!E:E,MD!$A$1),"")</f>
        <v>761820</v>
      </c>
      <c r="C46" s="18">
        <f t="shared" si="0"/>
        <v>0.33681591313932219</v>
      </c>
    </row>
    <row r="47" spans="1:3" x14ac:dyDescent="0.15">
      <c r="A47" t="s">
        <v>47</v>
      </c>
      <c r="B47" s="17">
        <f>IFERROR(SUMIFS('Full List'!B:B,'Full List'!A:A,MD!$A47,'Full List'!E:E,MD!$A$1),"")</f>
        <v>881891</v>
      </c>
      <c r="C47" s="18">
        <f t="shared" si="0"/>
        <v>0.3899017122868263</v>
      </c>
    </row>
    <row r="48" spans="1:3" x14ac:dyDescent="0.15">
      <c r="A48" t="s">
        <v>48</v>
      </c>
      <c r="B48" s="17">
        <f>IFERROR(SUMIFS('Full List'!B:B,'Full List'!A:A,MD!$A48,'Full List'!E:E,MD!$A$1),"")</f>
        <v>199916</v>
      </c>
      <c r="C48" s="18">
        <f t="shared" si="0"/>
        <v>8.8386876284635138E-2</v>
      </c>
    </row>
    <row r="49" spans="1:3" x14ac:dyDescent="0.15">
      <c r="A49" t="s">
        <v>49</v>
      </c>
      <c r="B49" s="17">
        <f>IFERROR(SUMIFS('Full List'!B:B,'Full List'!A:A,MD!$A49,'Full List'!E:E,MD!$A$1),"")</f>
        <v>265775</v>
      </c>
      <c r="C49" s="18">
        <f t="shared" si="0"/>
        <v>0.11750446209682518</v>
      </c>
    </row>
    <row r="50" spans="1:3" x14ac:dyDescent="0.15">
      <c r="A50" t="s">
        <v>50</v>
      </c>
      <c r="B50" s="17">
        <f>IFERROR(SUMIFS('Full List'!B:B,'Full List'!A:A,MD!$A50,'Full List'!E:E,MD!$A$1),"")</f>
        <v>329885</v>
      </c>
      <c r="C50" s="18">
        <f t="shared" si="0"/>
        <v>0.14584877990334372</v>
      </c>
    </row>
    <row r="51" spans="1:3" x14ac:dyDescent="0.15">
      <c r="A51" t="s">
        <v>51</v>
      </c>
      <c r="B51" s="17">
        <f>IFERROR(SUMIFS('Full List'!B:B,'Full List'!A:A,MD!$A51,'Full List'!E:E,MD!$A$1),"")</f>
        <v>745855</v>
      </c>
      <c r="C51" s="18">
        <f t="shared" si="0"/>
        <v>0.32975746619218338</v>
      </c>
    </row>
    <row r="52" spans="1:3" x14ac:dyDescent="0.15">
      <c r="A52" t="s">
        <v>52</v>
      </c>
      <c r="B52" s="17">
        <f>IFERROR(SUMIFS('Full List'!B:B,'Full List'!A:A,MD!$A52,'Full List'!E:E,MD!$A$1),"")</f>
        <v>240083</v>
      </c>
      <c r="C52" s="18">
        <f t="shared" si="0"/>
        <v>0.1061455132107688</v>
      </c>
    </row>
    <row r="53" spans="1:3" x14ac:dyDescent="0.15">
      <c r="A53" t="s">
        <v>53</v>
      </c>
      <c r="B53" s="17">
        <f>IFERROR(SUMIFS('Full List'!B:B,'Full List'!A:A,MD!$A53,'Full List'!E:E,MD!$A$1),"")</f>
        <v>194252</v>
      </c>
      <c r="C53" s="18">
        <f t="shared" si="0"/>
        <v>8.5882708197657739E-2</v>
      </c>
    </row>
    <row r="54" spans="1:3" x14ac:dyDescent="0.15">
      <c r="A54" t="s">
        <v>54</v>
      </c>
      <c r="B54" s="17">
        <f>IFERROR(SUMIFS('Full List'!B:B,'Full List'!A:A,MD!$A54,'Full List'!E:E,MD!$A$1),"")</f>
        <v>822991</v>
      </c>
      <c r="C54" s="18">
        <f t="shared" si="0"/>
        <v>0.36386084005466374</v>
      </c>
    </row>
    <row r="55" spans="1:3" x14ac:dyDescent="0.15">
      <c r="A55" t="s">
        <v>55</v>
      </c>
      <c r="B55" s="17">
        <f>IFERROR(SUMIFS('Full List'!B:B,'Full List'!A:A,MD!$A55,'Full List'!E:E,MD!$A$1),"")</f>
        <v>519607</v>
      </c>
      <c r="C55" s="18">
        <f t="shared" si="0"/>
        <v>0.22972868417550577</v>
      </c>
    </row>
    <row r="56" spans="1:3" x14ac:dyDescent="0.15">
      <c r="A56" t="s">
        <v>56</v>
      </c>
      <c r="B56" s="17">
        <f>IFERROR(SUMIFS('Full List'!B:B,'Full List'!A:A,MD!$A56,'Full List'!E:E,MD!$A$1),"")</f>
        <v>652907</v>
      </c>
      <c r="C56" s="18">
        <f t="shared" si="0"/>
        <v>0.28866328975355787</v>
      </c>
    </row>
    <row r="57" spans="1:3" x14ac:dyDescent="0.15">
      <c r="A57" t="s">
        <v>57</v>
      </c>
      <c r="B57" s="17">
        <f>IFERROR(SUMIFS('Full List'!B:B,'Full List'!A:A,MD!$A57,'Full List'!E:E,MD!$A$1),"")</f>
        <v>295202</v>
      </c>
      <c r="C57" s="18">
        <f t="shared" si="0"/>
        <v>0.13051472945125384</v>
      </c>
    </row>
    <row r="58" spans="1:3" x14ac:dyDescent="0.15">
      <c r="A58" t="s">
        <v>58</v>
      </c>
      <c r="B58" s="17">
        <f>IFERROR(SUMIFS('Full List'!B:B,'Full List'!A:A,MD!$A58,'Full List'!E:E,MD!$A$1),"")</f>
        <v>346815</v>
      </c>
      <c r="C58" s="18">
        <f t="shared" si="0"/>
        <v>0.15333387271982099</v>
      </c>
    </row>
    <row r="59" spans="1:3" x14ac:dyDescent="0.15">
      <c r="A59" t="s">
        <v>59</v>
      </c>
      <c r="B59" s="17">
        <f>IFERROR(SUMIFS('Full List'!B:B,'Full List'!A:A,MD!$A59,'Full List'!E:E,MD!$A$1),"")</f>
        <v>1287786</v>
      </c>
      <c r="C59" s="18">
        <f t="shared" si="0"/>
        <v>0.56935603885174346</v>
      </c>
    </row>
    <row r="60" spans="1:3" x14ac:dyDescent="0.15">
      <c r="A60" t="s">
        <v>60</v>
      </c>
      <c r="B60" s="17">
        <f>IFERROR(SUMIFS('Full List'!B:B,'Full List'!A:A,MD!$A60,'Full List'!E:E,MD!$A$1),"")</f>
        <v>340327</v>
      </c>
      <c r="C60" s="18">
        <f t="shared" si="0"/>
        <v>0.15046539769363643</v>
      </c>
    </row>
    <row r="61" spans="1:3" x14ac:dyDescent="0.15">
      <c r="A61" t="s">
        <v>61</v>
      </c>
      <c r="B61" s="17">
        <f>IFERROR(SUMIFS('Full List'!B:B,'Full List'!A:A,MD!$A61,'Full List'!E:E,MD!$A$1),"")</f>
        <v>445136</v>
      </c>
      <c r="C61" s="18">
        <f t="shared" si="0"/>
        <v>0.19680356030451462</v>
      </c>
    </row>
    <row r="62" spans="1:3" x14ac:dyDescent="0.15">
      <c r="A62" t="s">
        <v>62</v>
      </c>
      <c r="B62" s="17">
        <f>IFERROR(SUMIFS('Full List'!B:B,'Full List'!A:A,MD!$A62,'Full List'!E:E,MD!$A$1),"")</f>
        <v>156117</v>
      </c>
      <c r="C62" s="18">
        <f t="shared" si="0"/>
        <v>6.9022459257530075E-2</v>
      </c>
    </row>
    <row r="63" spans="1:3" x14ac:dyDescent="0.15">
      <c r="A63" t="s">
        <v>63</v>
      </c>
      <c r="B63" s="17">
        <f>IFERROR(SUMIFS('Full List'!B:B,'Full List'!A:A,MD!$A63,'Full List'!E:E,MD!$A$1),"")</f>
        <v>372558</v>
      </c>
      <c r="C63" s="18">
        <f t="shared" si="0"/>
        <v>0.1647153697295419</v>
      </c>
    </row>
    <row r="64" spans="1:3" x14ac:dyDescent="0.15">
      <c r="A64" t="s">
        <v>64</v>
      </c>
      <c r="B64" s="17">
        <f>IFERROR(SUMIFS('Full List'!B:B,'Full List'!A:A,MD!$A64,'Full List'!E:E,MD!$A$1),"")</f>
        <v>113623</v>
      </c>
      <c r="C64" s="18">
        <f t="shared" si="0"/>
        <v>5.023500892419365E-2</v>
      </c>
    </row>
    <row r="65" spans="1:3" x14ac:dyDescent="0.15">
      <c r="A65" t="s">
        <v>65</v>
      </c>
      <c r="B65" s="17">
        <f>IFERROR(SUMIFS('Full List'!B:B,'Full List'!A:A,MD!$A65,'Full List'!E:E,MD!$A$1),"")</f>
        <v>289590</v>
      </c>
      <c r="C65" s="18">
        <f t="shared" si="0"/>
        <v>0.1280335516080128</v>
      </c>
    </row>
    <row r="66" spans="1:3" x14ac:dyDescent="0.15">
      <c r="A66" t="s">
        <v>66</v>
      </c>
      <c r="B66" s="17">
        <f>IFERROR(SUMIFS('Full List'!B:B,'Full List'!A:A,MD!$A66,'Full List'!E:E,MD!$A$1),"")</f>
        <v>193784</v>
      </c>
      <c r="C66" s="18">
        <f t="shared" si="0"/>
        <v>8.5675796004030372E-2</v>
      </c>
    </row>
    <row r="67" spans="1:3" x14ac:dyDescent="0.15">
      <c r="A67" t="s">
        <v>67</v>
      </c>
      <c r="B67" s="17">
        <f>IFERROR(SUMIFS('Full List'!B:B,'Full List'!A:A,MD!$A67,'Full List'!E:E,MD!$A$1),"")</f>
        <v>520592</v>
      </c>
      <c r="C67" s="18">
        <f t="shared" ref="C67:C82" si="1">IFERROR(B67/$B$2,"")</f>
        <v>0.23016417244628132</v>
      </c>
    </row>
    <row r="68" spans="1:3" x14ac:dyDescent="0.15">
      <c r="A68" t="s">
        <v>68</v>
      </c>
      <c r="B68" s="17">
        <f>IFERROR(SUMIFS('Full List'!B:B,'Full List'!A:A,MD!$A68,'Full List'!E:E,MD!$A$1),"")</f>
        <v>675581</v>
      </c>
      <c r="C68" s="18">
        <f t="shared" si="1"/>
        <v>0.29868792026276081</v>
      </c>
    </row>
    <row r="69" spans="1:3" x14ac:dyDescent="0.15">
      <c r="A69" t="s">
        <v>69</v>
      </c>
      <c r="B69" s="17">
        <f>IFERROR(SUMIFS('Full List'!B:B,'Full List'!A:A,MD!$A69,'Full List'!E:E,MD!$A$1),"")</f>
        <v>1671539</v>
      </c>
      <c r="C69" s="18">
        <f t="shared" si="1"/>
        <v>0.73902094278568364</v>
      </c>
    </row>
    <row r="70" spans="1:3" x14ac:dyDescent="0.15">
      <c r="A70" t="s">
        <v>70</v>
      </c>
      <c r="B70" s="17">
        <f>IFERROR(SUMIFS('Full List'!B:B,'Full List'!A:A,MD!$A70,'Full List'!E:E,MD!$A$1),"")</f>
        <v>591087</v>
      </c>
      <c r="C70" s="18">
        <f t="shared" si="1"/>
        <v>0.26133142691158351</v>
      </c>
    </row>
    <row r="71" spans="1:3" x14ac:dyDescent="0.15">
      <c r="A71" t="s">
        <v>71</v>
      </c>
      <c r="B71" s="17">
        <f>IFERROR(SUMIFS('Full List'!B:B,'Full List'!A:A,MD!$A71,'Full List'!E:E,MD!$A$1),"")</f>
        <v>127930</v>
      </c>
      <c r="C71" s="18">
        <f t="shared" si="1"/>
        <v>5.6560420792199584E-2</v>
      </c>
    </row>
    <row r="72" spans="1:3" x14ac:dyDescent="0.15">
      <c r="A72" t="s">
        <v>72</v>
      </c>
      <c r="B72" s="17">
        <f>IFERROR(SUMIFS('Full List'!B:B,'Full List'!A:A,MD!$A72,'Full List'!E:E,MD!$A$1),"")</f>
        <v>260278</v>
      </c>
      <c r="C72" s="18">
        <f t="shared" si="1"/>
        <v>0.11507412806184729</v>
      </c>
    </row>
    <row r="73" spans="1:3" x14ac:dyDescent="0.15">
      <c r="A73" t="s">
        <v>73</v>
      </c>
      <c r="B73" s="17">
        <f>IFERROR(SUMIFS('Full List'!B:B,'Full List'!A:A,MD!$A73,'Full List'!E:E,MD!$A$1),"")</f>
        <v>1424782</v>
      </c>
      <c r="C73" s="18">
        <f t="shared" si="1"/>
        <v>0.6299247202153655</v>
      </c>
    </row>
    <row r="74" spans="1:3" x14ac:dyDescent="0.15">
      <c r="A74" t="s">
        <v>74</v>
      </c>
      <c r="B74" s="17">
        <f>IFERROR(SUMIFS('Full List'!B:B,'Full List'!A:A,MD!$A74,'Full List'!E:E,MD!$A$1),"")</f>
        <v>619674</v>
      </c>
      <c r="C74" s="18">
        <f t="shared" si="1"/>
        <v>0.27397031340565531</v>
      </c>
    </row>
    <row r="75" spans="1:3" x14ac:dyDescent="0.15">
      <c r="A75" t="s">
        <v>75</v>
      </c>
      <c r="B75" s="17">
        <f>IFERROR(SUMIFS('Full List'!B:B,'Full List'!A:A,MD!$A75,'Full List'!E:E,MD!$A$1),"")</f>
        <v>485536</v>
      </c>
      <c r="C75" s="18">
        <f t="shared" si="1"/>
        <v>0.21466521120739013</v>
      </c>
    </row>
    <row r="76" spans="1:3" x14ac:dyDescent="0.15">
      <c r="A76" t="s">
        <v>76</v>
      </c>
      <c r="B76" s="17">
        <f>IFERROR(SUMIFS('Full List'!B:B,'Full List'!A:A,MD!$A76,'Full List'!E:E,MD!$A$1),"")</f>
        <v>269315</v>
      </c>
      <c r="C76" s="18">
        <f t="shared" si="1"/>
        <v>0.11906956715118605</v>
      </c>
    </row>
    <row r="77" spans="1:3" x14ac:dyDescent="0.15">
      <c r="A77" t="s">
        <v>77</v>
      </c>
      <c r="B77" s="17">
        <f>IFERROR(SUMIFS('Full List'!B:B,'Full List'!A:A,MD!$A77,'Full List'!E:E,MD!$A$1),"")</f>
        <v>187329</v>
      </c>
      <c r="C77" s="18">
        <f t="shared" si="1"/>
        <v>8.2821910940216972E-2</v>
      </c>
    </row>
    <row r="78" spans="1:3" x14ac:dyDescent="0.15">
      <c r="A78" t="s">
        <v>78</v>
      </c>
      <c r="B78" s="17">
        <f>IFERROR(SUMIFS('Full List'!B:B,'Full List'!A:A,MD!$A78,'Full List'!E:E,MD!$A$1),"")</f>
        <v>223341</v>
      </c>
      <c r="C78" s="18">
        <f t="shared" si="1"/>
        <v>9.8743538967799957E-2</v>
      </c>
    </row>
    <row r="79" spans="1:3" x14ac:dyDescent="0.15">
      <c r="A79" t="s">
        <v>79</v>
      </c>
      <c r="B79" s="17">
        <f>IFERROR(SUMIFS('Full List'!B:B,'Full List'!A:A,MD!$A79,'Full List'!E:E,MD!$A$1),"")</f>
        <v>385807</v>
      </c>
      <c r="C79" s="18">
        <f t="shared" si="1"/>
        <v>0.17057301856152698</v>
      </c>
    </row>
    <row r="80" spans="1:3" x14ac:dyDescent="0.15">
      <c r="A80" t="s">
        <v>80</v>
      </c>
      <c r="B80" s="17">
        <f>IFERROR(SUMIFS('Full List'!B:B,'Full List'!A:A,MD!$A80,'Full List'!E:E,MD!$A$1),"")</f>
        <v>296649</v>
      </c>
      <c r="C80" s="18">
        <f t="shared" si="1"/>
        <v>0.13115447719522563</v>
      </c>
    </row>
    <row r="81" spans="1:6" x14ac:dyDescent="0.15">
      <c r="A81" t="s">
        <v>81</v>
      </c>
      <c r="B81" s="17">
        <f>IFERROR(SUMIFS('Full List'!B:B,'Full List'!A:A,MD!$A81,'Full List'!E:E,MD!$A$1),"")</f>
        <v>535405</v>
      </c>
      <c r="C81" s="18">
        <f t="shared" si="1"/>
        <v>0.23671329707064503</v>
      </c>
    </row>
    <row r="82" spans="1:6" x14ac:dyDescent="0.15">
      <c r="A82" t="s">
        <v>82</v>
      </c>
      <c r="B82" s="17">
        <f>IFERROR(SUMIFS('Full List'!B:B,'Full List'!A:A,MD!$A82,'Full List'!E:E,MD!$A$1),"")</f>
        <v>336713</v>
      </c>
      <c r="C82" s="18">
        <f t="shared" si="1"/>
        <v>0.1488675757539584</v>
      </c>
    </row>
    <row r="83" spans="1:6" x14ac:dyDescent="0.15">
      <c r="B83" s="17"/>
      <c r="C83" s="18"/>
      <c r="D83" t="s">
        <v>812</v>
      </c>
      <c r="E83" t="s">
        <v>860</v>
      </c>
    </row>
    <row r="84" spans="1:6" x14ac:dyDescent="0.15">
      <c r="A84" t="s">
        <v>1047</v>
      </c>
      <c r="B84" s="17">
        <v>1581001</v>
      </c>
      <c r="C84" s="18">
        <f t="shared" ref="C84:C95" si="2">IFERROR(B84/$B$2,"")</f>
        <v>0.6989922757202246</v>
      </c>
      <c r="D84">
        <v>27</v>
      </c>
      <c r="E84" t="str">
        <f>VLOOKUP(D84,Validation!$A$2:$C$41,3,FALSE)</f>
        <v xml:space="preserve">NFL </v>
      </c>
      <c r="F84" t="s">
        <v>1350</v>
      </c>
    </row>
    <row r="85" spans="1:6" x14ac:dyDescent="0.15">
      <c r="A85" t="s">
        <v>1046</v>
      </c>
      <c r="B85" s="17">
        <v>1305414</v>
      </c>
      <c r="C85" s="18">
        <f t="shared" si="2"/>
        <v>0.57714973147837434</v>
      </c>
      <c r="D85">
        <v>17</v>
      </c>
      <c r="E85" t="str">
        <f>VLOOKUP(D85,Validation!$A$2:$C$41,3,FALSE)</f>
        <v>MLB</v>
      </c>
      <c r="F85" t="s">
        <v>1350</v>
      </c>
    </row>
    <row r="86" spans="1:6" x14ac:dyDescent="0.15">
      <c r="A86" t="s">
        <v>1051</v>
      </c>
      <c r="B86" s="17">
        <v>526195</v>
      </c>
      <c r="C86" s="18">
        <f t="shared" si="2"/>
        <v>0.23264137120887565</v>
      </c>
      <c r="D86">
        <v>27</v>
      </c>
      <c r="E86" t="str">
        <f>VLOOKUP(D86,Validation!$A$2:$C$41,3,FALSE)</f>
        <v xml:space="preserve">NFL </v>
      </c>
      <c r="F86" t="s">
        <v>1350</v>
      </c>
    </row>
    <row r="87" spans="1:6" x14ac:dyDescent="0.15">
      <c r="A87" t="s">
        <v>1248</v>
      </c>
      <c r="B87" s="17">
        <v>463121</v>
      </c>
      <c r="C87" s="18">
        <f t="shared" si="2"/>
        <v>0.20475508979679719</v>
      </c>
      <c r="D87">
        <v>4</v>
      </c>
      <c r="E87" t="str">
        <f>VLOOKUP(D87,Validation!$A$2:$C$41,3,FALSE)</f>
        <v>MCB</v>
      </c>
      <c r="F87" t="s">
        <v>1351</v>
      </c>
    </row>
    <row r="88" spans="1:6" x14ac:dyDescent="0.15">
      <c r="A88" t="s">
        <v>1249</v>
      </c>
      <c r="B88" s="17">
        <v>449197</v>
      </c>
      <c r="C88" s="18">
        <f t="shared" si="2"/>
        <v>0.1985990099163111</v>
      </c>
      <c r="D88">
        <v>5</v>
      </c>
      <c r="E88" t="str">
        <f>VLOOKUP(D88,Validation!$A$2:$C$41,3,FALSE)</f>
        <v>CFB</v>
      </c>
      <c r="F88" t="s">
        <v>1351</v>
      </c>
    </row>
    <row r="89" spans="1:6" x14ac:dyDescent="0.15">
      <c r="A89" t="s">
        <v>1050</v>
      </c>
      <c r="B89" s="17">
        <v>395438</v>
      </c>
      <c r="C89" s="18">
        <f t="shared" si="2"/>
        <v>0.17483107697354663</v>
      </c>
      <c r="D89">
        <v>17</v>
      </c>
      <c r="E89" t="str">
        <f>VLOOKUP(D89,Validation!$A$2:$C$41,3,FALSE)</f>
        <v>MLB</v>
      </c>
      <c r="F89" t="s">
        <v>1350</v>
      </c>
    </row>
    <row r="90" spans="1:6" x14ac:dyDescent="0.15">
      <c r="A90" t="s">
        <v>1049</v>
      </c>
      <c r="B90" s="17">
        <v>340055</v>
      </c>
      <c r="C90" s="18">
        <f t="shared" si="2"/>
        <v>0.15034514103409233</v>
      </c>
      <c r="D90">
        <v>28</v>
      </c>
      <c r="E90" t="str">
        <f>VLOOKUP(D90,Validation!$A$2:$C$41,3,FALSE)</f>
        <v xml:space="preserve">NHL </v>
      </c>
      <c r="F90" t="s">
        <v>1350</v>
      </c>
    </row>
    <row r="91" spans="1:6" x14ac:dyDescent="0.15">
      <c r="A91" t="s">
        <v>1052</v>
      </c>
      <c r="B91" s="17">
        <v>250952</v>
      </c>
      <c r="C91" s="18">
        <f t="shared" si="2"/>
        <v>0.11095091627174292</v>
      </c>
      <c r="D91">
        <v>26</v>
      </c>
      <c r="E91" t="str">
        <f>VLOOKUP(D91,Validation!$A$2:$C$41,3,FALSE)</f>
        <v xml:space="preserve">NBA </v>
      </c>
      <c r="F91" t="s">
        <v>1351</v>
      </c>
    </row>
    <row r="92" spans="1:6" x14ac:dyDescent="0.15">
      <c r="A92" t="s">
        <v>1055</v>
      </c>
      <c r="B92" s="17">
        <v>219302</v>
      </c>
      <c r="C92" s="18">
        <f t="shared" si="2"/>
        <v>9.6957815997584254E-2</v>
      </c>
      <c r="D92">
        <v>5</v>
      </c>
      <c r="E92" t="str">
        <f>VLOOKUP(D92,Validation!$A$2:$C$41,3,FALSE)</f>
        <v>CFB</v>
      </c>
      <c r="F92" t="s">
        <v>1350</v>
      </c>
    </row>
    <row r="93" spans="1:6" x14ac:dyDescent="0.15">
      <c r="A93" t="s">
        <v>1054</v>
      </c>
      <c r="B93" s="17">
        <v>97839</v>
      </c>
      <c r="C93" s="18">
        <f t="shared" si="2"/>
        <v>4.3256585710060309E-2</v>
      </c>
      <c r="D93">
        <v>4</v>
      </c>
      <c r="E93" t="str">
        <f>VLOOKUP(D93,Validation!$A$2:$C$41,3,FALSE)</f>
        <v>MCB</v>
      </c>
      <c r="F93" t="s">
        <v>1350</v>
      </c>
    </row>
    <row r="94" spans="1:6" x14ac:dyDescent="0.15">
      <c r="A94" t="s">
        <v>1048</v>
      </c>
      <c r="B94" s="17">
        <v>86112</v>
      </c>
      <c r="C94" s="18">
        <f t="shared" si="2"/>
        <v>3.8071843627436028E-2</v>
      </c>
      <c r="D94">
        <v>18</v>
      </c>
      <c r="E94" t="str">
        <f>VLOOKUP(D94,Validation!$A$2:$C$41,3,FALSE)</f>
        <v>MLS</v>
      </c>
    </row>
    <row r="95" spans="1:6" x14ac:dyDescent="0.15">
      <c r="A95" t="s">
        <v>1053</v>
      </c>
      <c r="B95" s="17">
        <v>70915</v>
      </c>
      <c r="C95" s="18">
        <f t="shared" si="2"/>
        <v>3.1352944895480607E-2</v>
      </c>
      <c r="D95">
        <v>4</v>
      </c>
      <c r="E95" t="str">
        <f>VLOOKUP(D95,Validation!$A$2:$C$41,3,FALSE)</f>
        <v>MCB</v>
      </c>
    </row>
  </sheetData>
  <pageMargins left="0.7" right="0.7" top="0.75" bottom="0.75" header="0.3" footer="0.3"/>
  <pageSetup orientation="portrait" verticalDpi="0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 enableFormatConditionsCalculation="0"/>
  <dimension ref="A1:F101"/>
  <sheetViews>
    <sheetView topLeftCell="A72" zoomScale="85" zoomScaleNormal="85" zoomScalePageLayoutView="85" workbookViewId="0">
      <selection activeCell="A95" sqref="A95"/>
    </sheetView>
  </sheetViews>
  <sheetFormatPr baseColWidth="10" defaultColWidth="8.83203125" defaultRowHeight="13" x14ac:dyDescent="0.15"/>
  <cols>
    <col min="1" max="1" width="33.33203125" bestFit="1" customWidth="1"/>
    <col min="2" max="2" width="10.5" bestFit="1" customWidth="1"/>
  </cols>
  <sheetData>
    <row r="1" spans="1:3" x14ac:dyDescent="0.15">
      <c r="A1" t="s">
        <v>603</v>
      </c>
      <c r="B1" t="s">
        <v>807</v>
      </c>
      <c r="C1" t="s">
        <v>811</v>
      </c>
    </row>
    <row r="2" spans="1:3" x14ac:dyDescent="0.15">
      <c r="A2" t="s">
        <v>0</v>
      </c>
      <c r="B2" s="17">
        <f>IFERROR(SUMIFS('Full List'!B:B,'Full List'!A:A,MI!$A2,'Full List'!E:E,MI!$A$1),"")</f>
        <v>5186568</v>
      </c>
      <c r="C2" s="18">
        <f>IFERROR(B2/$B$2,"")</f>
        <v>1</v>
      </c>
    </row>
    <row r="3" spans="1:3" x14ac:dyDescent="0.15">
      <c r="A3" t="s">
        <v>3</v>
      </c>
      <c r="B3" s="17">
        <f>IFERROR(SUMIFS('Full List'!B:B,'Full List'!A:A,MI!$A3,'Full List'!E:E,MI!$A$1),"")</f>
        <v>58105</v>
      </c>
      <c r="C3" s="18">
        <f t="shared" ref="C3:C66" si="0">IFERROR(B3/$B$2,"")</f>
        <v>1.1202976611894417E-2</v>
      </c>
    </row>
    <row r="4" spans="1:3" x14ac:dyDescent="0.15">
      <c r="A4" t="s">
        <v>4</v>
      </c>
      <c r="B4" s="17">
        <f>IFERROR(SUMIFS('Full List'!B:B,'Full List'!A:A,MI!$A4,'Full List'!E:E,MI!$A$1),"")</f>
        <v>50759</v>
      </c>
      <c r="C4" s="18">
        <f t="shared" si="0"/>
        <v>9.7866257610041939E-3</v>
      </c>
    </row>
    <row r="5" spans="1:3" x14ac:dyDescent="0.15">
      <c r="A5" t="s">
        <v>5</v>
      </c>
      <c r="B5" s="17">
        <f>IFERROR(SUMIFS('Full List'!B:B,'Full List'!A:A,MI!$A5,'Full List'!E:E,MI!$A$1),"")</f>
        <v>119307</v>
      </c>
      <c r="C5" s="18">
        <f t="shared" si="0"/>
        <v>2.300307255202284E-2</v>
      </c>
    </row>
    <row r="6" spans="1:3" x14ac:dyDescent="0.15">
      <c r="A6" t="s">
        <v>6</v>
      </c>
      <c r="B6" s="17">
        <f>IFERROR(SUMIFS('Full List'!B:B,'Full List'!A:A,MI!$A6,'Full List'!E:E,MI!$A$1),"")</f>
        <v>565042</v>
      </c>
      <c r="C6" s="18">
        <f t="shared" si="0"/>
        <v>0.10894333208395224</v>
      </c>
    </row>
    <row r="7" spans="1:3" x14ac:dyDescent="0.15">
      <c r="A7" t="s">
        <v>7</v>
      </c>
      <c r="B7" s="17">
        <f>IFERROR(SUMIFS('Full List'!B:B,'Full List'!A:A,MI!$A7,'Full List'!E:E,MI!$A$1),"")</f>
        <v>1241317</v>
      </c>
      <c r="C7" s="18">
        <f t="shared" si="0"/>
        <v>0.23933302330172862</v>
      </c>
    </row>
    <row r="8" spans="1:3" x14ac:dyDescent="0.15">
      <c r="A8" t="s">
        <v>8</v>
      </c>
      <c r="B8" s="17">
        <f>IFERROR(SUMIFS('Full List'!B:B,'Full List'!A:A,MI!$A8,'Full List'!E:E,MI!$A$1),"")</f>
        <v>159044</v>
      </c>
      <c r="C8" s="18">
        <f t="shared" si="0"/>
        <v>3.0664593619518725E-2</v>
      </c>
    </row>
    <row r="9" spans="1:3" x14ac:dyDescent="0.15">
      <c r="A9" t="s">
        <v>9</v>
      </c>
      <c r="B9" s="17">
        <f>IFERROR(SUMIFS('Full List'!B:B,'Full List'!A:A,MI!$A9,'Full List'!E:E,MI!$A$1),"")</f>
        <v>106658</v>
      </c>
      <c r="C9" s="18">
        <f t="shared" si="0"/>
        <v>2.0564272945038028E-2</v>
      </c>
    </row>
    <row r="10" spans="1:3" x14ac:dyDescent="0.15">
      <c r="A10" t="s">
        <v>10</v>
      </c>
      <c r="B10" s="17">
        <f>IFERROR(SUMIFS('Full List'!B:B,'Full List'!A:A,MI!$A10,'Full List'!E:E,MI!$A$1),"")</f>
        <v>82788</v>
      </c>
      <c r="C10" s="18">
        <f t="shared" si="0"/>
        <v>1.5962000305404268E-2</v>
      </c>
    </row>
    <row r="11" spans="1:3" x14ac:dyDescent="0.15">
      <c r="A11" t="s">
        <v>11</v>
      </c>
      <c r="B11" s="17">
        <f>IFERROR(SUMIFS('Full List'!B:B,'Full List'!A:A,MI!$A11,'Full List'!E:E,MI!$A$1),"")</f>
        <v>294479</v>
      </c>
      <c r="C11" s="18">
        <f t="shared" si="0"/>
        <v>5.6777236893452473E-2</v>
      </c>
    </row>
    <row r="12" spans="1:3" x14ac:dyDescent="0.15">
      <c r="A12" t="s">
        <v>12</v>
      </c>
      <c r="B12" s="17">
        <f>IFERROR(SUMIFS('Full List'!B:B,'Full List'!A:A,MI!$A12,'Full List'!E:E,MI!$A$1),"")</f>
        <v>71990</v>
      </c>
      <c r="C12" s="18">
        <f t="shared" si="0"/>
        <v>1.3880084094144721E-2</v>
      </c>
    </row>
    <row r="13" spans="1:3" x14ac:dyDescent="0.15">
      <c r="A13" t="s">
        <v>13</v>
      </c>
      <c r="B13" s="17">
        <f>IFERROR(SUMIFS('Full List'!B:B,'Full List'!A:A,MI!$A13,'Full List'!E:E,MI!$A$1),"")</f>
        <v>28305</v>
      </c>
      <c r="C13" s="18">
        <f t="shared" si="0"/>
        <v>5.4573660270143959E-3</v>
      </c>
    </row>
    <row r="14" spans="1:3" x14ac:dyDescent="0.15">
      <c r="A14" t="s">
        <v>14</v>
      </c>
      <c r="B14" s="17">
        <f>IFERROR(SUMIFS('Full List'!B:B,'Full List'!A:A,MI!$A14,'Full List'!E:E,MI!$A$1),"")</f>
        <v>340643</v>
      </c>
      <c r="C14" s="18">
        <f t="shared" si="0"/>
        <v>6.5677920351184055E-2</v>
      </c>
    </row>
    <row r="15" spans="1:3" x14ac:dyDescent="0.15">
      <c r="A15" t="s">
        <v>15</v>
      </c>
      <c r="B15" s="17">
        <f>IFERROR(SUMIFS('Full List'!B:B,'Full List'!A:A,MI!$A15,'Full List'!E:E,MI!$A$1),"")</f>
        <v>390090</v>
      </c>
      <c r="C15" s="18">
        <f t="shared" si="0"/>
        <v>7.5211585001874068E-2</v>
      </c>
    </row>
    <row r="16" spans="1:3" x14ac:dyDescent="0.15">
      <c r="A16" t="s">
        <v>16</v>
      </c>
      <c r="B16" s="17">
        <f>IFERROR(SUMIFS('Full List'!B:B,'Full List'!A:A,MI!$A16,'Full List'!E:E,MI!$A$1),"")</f>
        <v>139731</v>
      </c>
      <c r="C16" s="18">
        <f t="shared" si="0"/>
        <v>2.6940936665633228E-2</v>
      </c>
    </row>
    <row r="17" spans="1:3" x14ac:dyDescent="0.15">
      <c r="A17" t="s">
        <v>17</v>
      </c>
      <c r="B17" s="17">
        <f>IFERROR(SUMIFS('Full List'!B:B,'Full List'!A:A,MI!$A17,'Full List'!E:E,MI!$A$1),"")</f>
        <v>127151</v>
      </c>
      <c r="C17" s="18">
        <f t="shared" si="0"/>
        <v>2.4515440653626829E-2</v>
      </c>
    </row>
    <row r="18" spans="1:3" x14ac:dyDescent="0.15">
      <c r="A18" t="s">
        <v>18</v>
      </c>
      <c r="B18" s="17">
        <f>IFERROR(SUMIFS('Full List'!B:B,'Full List'!A:A,MI!$A18,'Full List'!E:E,MI!$A$1),"")</f>
        <v>94717</v>
      </c>
      <c r="C18" s="18">
        <f t="shared" si="0"/>
        <v>1.82619797908752E-2</v>
      </c>
    </row>
    <row r="19" spans="1:3" x14ac:dyDescent="0.15">
      <c r="A19" t="s">
        <v>19</v>
      </c>
      <c r="B19" s="17">
        <f>IFERROR(SUMIFS('Full List'!B:B,'Full List'!A:A,MI!$A19,'Full List'!E:E,MI!$A$1),"")</f>
        <v>1224423</v>
      </c>
      <c r="C19" s="18">
        <f t="shared" si="0"/>
        <v>0.2360757633949849</v>
      </c>
    </row>
    <row r="20" spans="1:3" x14ac:dyDescent="0.15">
      <c r="A20" t="s">
        <v>20</v>
      </c>
      <c r="B20" s="17">
        <f>IFERROR(SUMIFS('Full List'!B:B,'Full List'!A:A,MI!$A20,'Full List'!E:E,MI!$A$1),"")</f>
        <v>71155</v>
      </c>
      <c r="C20" s="18">
        <f t="shared" si="0"/>
        <v>1.3719091314333486E-2</v>
      </c>
    </row>
    <row r="21" spans="1:3" x14ac:dyDescent="0.15">
      <c r="A21" t="s">
        <v>21</v>
      </c>
      <c r="B21" s="17">
        <f>IFERROR(SUMIFS('Full List'!B:B,'Full List'!A:A,MI!$A21,'Full List'!E:E,MI!$A$1),"")</f>
        <v>96328</v>
      </c>
      <c r="C21" s="18">
        <f t="shared" si="0"/>
        <v>1.8572589812762504E-2</v>
      </c>
    </row>
    <row r="22" spans="1:3" x14ac:dyDescent="0.15">
      <c r="A22" t="s">
        <v>22</v>
      </c>
      <c r="B22" s="17">
        <f>IFERROR(SUMIFS('Full List'!B:B,'Full List'!A:A,MI!$A22,'Full List'!E:E,MI!$A$1),"")</f>
        <v>31928</v>
      </c>
      <c r="C22" s="18">
        <f t="shared" si="0"/>
        <v>6.1559011662432649E-3</v>
      </c>
    </row>
    <row r="23" spans="1:3" x14ac:dyDescent="0.15">
      <c r="A23" t="s">
        <v>23</v>
      </c>
      <c r="B23" s="17">
        <f>IFERROR(SUMIFS('Full List'!B:B,'Full List'!A:A,MI!$A23,'Full List'!E:E,MI!$A$1),"")</f>
        <v>93087</v>
      </c>
      <c r="C23" s="18">
        <f t="shared" si="0"/>
        <v>1.7947706460225723E-2</v>
      </c>
    </row>
    <row r="24" spans="1:3" x14ac:dyDescent="0.15">
      <c r="A24" t="s">
        <v>24</v>
      </c>
      <c r="B24" s="17">
        <f>IFERROR(SUMIFS('Full List'!B:B,'Full List'!A:A,MI!$A24,'Full List'!E:E,MI!$A$1),"")</f>
        <v>58509</v>
      </c>
      <c r="C24" s="18">
        <f t="shared" si="0"/>
        <v>1.1280870124521648E-2</v>
      </c>
    </row>
    <row r="25" spans="1:3" x14ac:dyDescent="0.15">
      <c r="A25" t="s">
        <v>25</v>
      </c>
      <c r="B25" s="17">
        <f>IFERROR(SUMIFS('Full List'!B:B,'Full List'!A:A,MI!$A25,'Full List'!E:E,MI!$A$1),"")</f>
        <v>127939</v>
      </c>
      <c r="C25" s="18">
        <f t="shared" si="0"/>
        <v>2.4667371564394799E-2</v>
      </c>
    </row>
    <row r="26" spans="1:3" x14ac:dyDescent="0.15">
      <c r="A26" t="s">
        <v>26</v>
      </c>
      <c r="B26" s="17">
        <f>IFERROR(SUMIFS('Full List'!B:B,'Full List'!A:A,MI!$A26,'Full List'!E:E,MI!$A$1),"")</f>
        <v>32208</v>
      </c>
      <c r="C26" s="18">
        <f t="shared" si="0"/>
        <v>6.2098867690542183E-3</v>
      </c>
    </row>
    <row r="27" spans="1:3" x14ac:dyDescent="0.15">
      <c r="A27" t="s">
        <v>27</v>
      </c>
      <c r="B27" s="17">
        <f>IFERROR(SUMIFS('Full List'!B:B,'Full List'!A:A,MI!$A27,'Full List'!E:E,MI!$A$1),"")</f>
        <v>385534</v>
      </c>
      <c r="C27" s="18">
        <f t="shared" si="0"/>
        <v>7.4333162121850135E-2</v>
      </c>
    </row>
    <row r="28" spans="1:3" x14ac:dyDescent="0.15">
      <c r="A28" t="s">
        <v>28</v>
      </c>
      <c r="B28" s="17">
        <f>IFERROR(SUMIFS('Full List'!B:B,'Full List'!A:A,MI!$A28,'Full List'!E:E,MI!$A$1),"")</f>
        <v>413737</v>
      </c>
      <c r="C28" s="18">
        <f t="shared" si="0"/>
        <v>7.9770861964983397E-2</v>
      </c>
    </row>
    <row r="29" spans="1:3" x14ac:dyDescent="0.15">
      <c r="A29" t="s">
        <v>29</v>
      </c>
      <c r="B29" s="17">
        <f>IFERROR(SUMIFS('Full List'!B:B,'Full List'!A:A,MI!$A29,'Full List'!E:E,MI!$A$1),"")</f>
        <v>1414032</v>
      </c>
      <c r="C29" s="18">
        <f t="shared" si="0"/>
        <v>0.27263346397849214</v>
      </c>
    </row>
    <row r="30" spans="1:3" x14ac:dyDescent="0.15">
      <c r="A30" t="s">
        <v>30</v>
      </c>
      <c r="B30" s="17">
        <f>IFERROR(SUMIFS('Full List'!B:B,'Full List'!A:A,MI!$A30,'Full List'!E:E,MI!$A$1),"")</f>
        <v>762748</v>
      </c>
      <c r="C30" s="18">
        <f t="shared" si="0"/>
        <v>0.14706218061731766</v>
      </c>
    </row>
    <row r="31" spans="1:3" x14ac:dyDescent="0.15">
      <c r="A31" t="s">
        <v>31</v>
      </c>
      <c r="B31" s="17">
        <f>IFERROR(SUMIFS('Full List'!B:B,'Full List'!A:A,MI!$A31,'Full List'!E:E,MI!$A$1),"")</f>
        <v>49037</v>
      </c>
      <c r="C31" s="18">
        <f t="shared" si="0"/>
        <v>9.4546143037168313E-3</v>
      </c>
    </row>
    <row r="32" spans="1:3" x14ac:dyDescent="0.15">
      <c r="A32" t="s">
        <v>32</v>
      </c>
      <c r="B32" s="17">
        <f>IFERROR(SUMIFS('Full List'!B:B,'Full List'!A:A,MI!$A32,'Full List'!E:E,MI!$A$1),"")</f>
        <v>170779</v>
      </c>
      <c r="C32" s="18">
        <f t="shared" si="0"/>
        <v>3.2927168794470642E-2</v>
      </c>
    </row>
    <row r="33" spans="1:3" x14ac:dyDescent="0.15">
      <c r="A33" t="s">
        <v>33</v>
      </c>
      <c r="B33" s="17">
        <f>IFERROR(SUMIFS('Full List'!B:B,'Full List'!A:A,MI!$A33,'Full List'!E:E,MI!$A$1),"")</f>
        <v>1279244</v>
      </c>
      <c r="C33" s="18">
        <f t="shared" si="0"/>
        <v>0.24664556600819657</v>
      </c>
    </row>
    <row r="34" spans="1:3" x14ac:dyDescent="0.15">
      <c r="A34" t="s">
        <v>34</v>
      </c>
      <c r="B34" s="17">
        <f>IFERROR(SUMIFS('Full List'!B:B,'Full List'!A:A,MI!$A34,'Full List'!E:E,MI!$A$1),"")</f>
        <v>415464</v>
      </c>
      <c r="C34" s="18">
        <f t="shared" si="0"/>
        <v>8.0103837450892376E-2</v>
      </c>
    </row>
    <row r="35" spans="1:3" x14ac:dyDescent="0.15">
      <c r="A35" t="s">
        <v>35</v>
      </c>
      <c r="B35" s="17">
        <f>IFERROR(SUMIFS('Full List'!B:B,'Full List'!A:A,MI!$A35,'Full List'!E:E,MI!$A$1),"")</f>
        <v>191934</v>
      </c>
      <c r="C35" s="18">
        <f t="shared" si="0"/>
        <v>3.700597389256248E-2</v>
      </c>
    </row>
    <row r="36" spans="1:3" x14ac:dyDescent="0.15">
      <c r="A36" t="s">
        <v>36</v>
      </c>
      <c r="B36" s="17">
        <f>IFERROR(SUMIFS('Full List'!B:B,'Full List'!A:A,MI!$A36,'Full List'!E:E,MI!$A$1),"")</f>
        <v>56060</v>
      </c>
      <c r="C36" s="18">
        <f t="shared" si="0"/>
        <v>1.0808688905650133E-2</v>
      </c>
    </row>
    <row r="37" spans="1:3" x14ac:dyDescent="0.15">
      <c r="A37" t="s">
        <v>37</v>
      </c>
      <c r="B37" s="17">
        <f>IFERROR(SUMIFS('Full List'!B:B,'Full List'!A:A,MI!$A37,'Full List'!E:E,MI!$A$1),"")</f>
        <v>44957</v>
      </c>
      <c r="C37" s="18">
        <f t="shared" si="0"/>
        <v>8.667966948471514E-3</v>
      </c>
    </row>
    <row r="38" spans="1:3" x14ac:dyDescent="0.15">
      <c r="A38" t="s">
        <v>38</v>
      </c>
      <c r="B38" s="17">
        <f>IFERROR(SUMIFS('Full List'!B:B,'Full List'!A:A,MI!$A38,'Full List'!E:E,MI!$A$1),"")</f>
        <v>67935</v>
      </c>
      <c r="C38" s="18">
        <f t="shared" si="0"/>
        <v>1.3098256882007523E-2</v>
      </c>
    </row>
    <row r="39" spans="1:3" x14ac:dyDescent="0.15">
      <c r="A39" t="s">
        <v>39</v>
      </c>
      <c r="B39" s="17">
        <f>IFERROR(SUMIFS('Full List'!B:B,'Full List'!A:A,MI!$A39,'Full List'!E:E,MI!$A$1),"")</f>
        <v>242492</v>
      </c>
      <c r="C39" s="18">
        <f t="shared" si="0"/>
        <v>4.675384570297738E-2</v>
      </c>
    </row>
    <row r="40" spans="1:3" x14ac:dyDescent="0.15">
      <c r="A40" t="s">
        <v>40</v>
      </c>
      <c r="B40" s="17">
        <f>IFERROR(SUMIFS('Full List'!B:B,'Full List'!A:A,MI!$A40,'Full List'!E:E,MI!$A$1),"")</f>
        <v>67509</v>
      </c>
      <c r="C40" s="18">
        <f t="shared" si="0"/>
        <v>1.3016121643445145E-2</v>
      </c>
    </row>
    <row r="41" spans="1:3" x14ac:dyDescent="0.15">
      <c r="A41" t="s">
        <v>41</v>
      </c>
      <c r="B41" s="17">
        <f>IFERROR(SUMIFS('Full List'!B:B,'Full List'!A:A,MI!$A41,'Full List'!E:E,MI!$A$1),"")</f>
        <v>104304</v>
      </c>
      <c r="C41" s="18">
        <f t="shared" si="0"/>
        <v>2.0110408269977374E-2</v>
      </c>
    </row>
    <row r="42" spans="1:3" x14ac:dyDescent="0.15">
      <c r="A42" t="s">
        <v>42</v>
      </c>
      <c r="B42" s="17">
        <f>IFERROR(SUMIFS('Full List'!B:B,'Full List'!A:A,MI!$A42,'Full List'!E:E,MI!$A$1),"")</f>
        <v>142282</v>
      </c>
      <c r="C42" s="18">
        <f t="shared" si="0"/>
        <v>2.7432784068385875E-2</v>
      </c>
    </row>
    <row r="43" spans="1:3" x14ac:dyDescent="0.15">
      <c r="A43" t="s">
        <v>43</v>
      </c>
      <c r="B43" s="17">
        <f>IFERROR(SUMIFS('Full List'!B:B,'Full List'!A:A,MI!$A43,'Full List'!E:E,MI!$A$1),"")</f>
        <v>422092</v>
      </c>
      <c r="C43" s="18">
        <f t="shared" si="0"/>
        <v>8.1381753791717373E-2</v>
      </c>
    </row>
    <row r="44" spans="1:3" x14ac:dyDescent="0.15">
      <c r="A44" t="s">
        <v>44</v>
      </c>
      <c r="B44" s="17">
        <f>IFERROR(SUMIFS('Full List'!B:B,'Full List'!A:A,MI!$A44,'Full List'!E:E,MI!$A$1),"")</f>
        <v>532661</v>
      </c>
      <c r="C44" s="18">
        <f t="shared" si="0"/>
        <v>0.10270008992458983</v>
      </c>
    </row>
    <row r="45" spans="1:3" x14ac:dyDescent="0.15">
      <c r="A45" t="s">
        <v>45</v>
      </c>
      <c r="B45" s="17">
        <f>IFERROR(SUMIFS('Full List'!B:B,'Full List'!A:A,MI!$A45,'Full List'!E:E,MI!$A$1),"")</f>
        <v>939097</v>
      </c>
      <c r="C45" s="18">
        <f t="shared" si="0"/>
        <v>0.18106327729627761</v>
      </c>
    </row>
    <row r="46" spans="1:3" x14ac:dyDescent="0.15">
      <c r="A46" t="s">
        <v>46</v>
      </c>
      <c r="B46" s="17">
        <f>IFERROR(SUMIFS('Full List'!B:B,'Full List'!A:A,MI!$A46,'Full List'!E:E,MI!$A$1),"")</f>
        <v>1798314</v>
      </c>
      <c r="C46" s="18">
        <f t="shared" si="0"/>
        <v>0.34672523333348759</v>
      </c>
    </row>
    <row r="47" spans="1:3" x14ac:dyDescent="0.15">
      <c r="A47" t="s">
        <v>47</v>
      </c>
      <c r="B47" s="17">
        <f>IFERROR(SUMIFS('Full List'!B:B,'Full List'!A:A,MI!$A47,'Full List'!E:E,MI!$A$1),"")</f>
        <v>2576901</v>
      </c>
      <c r="C47" s="18">
        <f t="shared" si="0"/>
        <v>0.49684126381838628</v>
      </c>
    </row>
    <row r="48" spans="1:3" x14ac:dyDescent="0.15">
      <c r="A48" t="s">
        <v>48</v>
      </c>
      <c r="B48" s="17">
        <f>IFERROR(SUMIFS('Full List'!B:B,'Full List'!A:A,MI!$A48,'Full List'!E:E,MI!$A$1),"")</f>
        <v>1138867</v>
      </c>
      <c r="C48" s="18">
        <f t="shared" si="0"/>
        <v>0.21958007684464947</v>
      </c>
    </row>
    <row r="49" spans="1:3" x14ac:dyDescent="0.15">
      <c r="A49" t="s">
        <v>49</v>
      </c>
      <c r="B49" s="17">
        <f>IFERROR(SUMIFS('Full List'!B:B,'Full List'!A:A,MI!$A49,'Full List'!E:E,MI!$A$1),"")</f>
        <v>484009</v>
      </c>
      <c r="C49" s="18">
        <f t="shared" si="0"/>
        <v>9.3319705824738058E-2</v>
      </c>
    </row>
    <row r="50" spans="1:3" x14ac:dyDescent="0.15">
      <c r="A50" t="s">
        <v>50</v>
      </c>
      <c r="B50" s="17">
        <f>IFERROR(SUMIFS('Full List'!B:B,'Full List'!A:A,MI!$A50,'Full List'!E:E,MI!$A$1),"")</f>
        <v>804770</v>
      </c>
      <c r="C50" s="18">
        <f t="shared" si="0"/>
        <v>0.15516426276489578</v>
      </c>
    </row>
    <row r="51" spans="1:3" x14ac:dyDescent="0.15">
      <c r="A51" t="s">
        <v>51</v>
      </c>
      <c r="B51" s="17">
        <f>IFERROR(SUMIFS('Full List'!B:B,'Full List'!A:A,MI!$A51,'Full List'!E:E,MI!$A$1),"")</f>
        <v>1612610</v>
      </c>
      <c r="C51" s="18">
        <f t="shared" si="0"/>
        <v>0.31092043910346878</v>
      </c>
    </row>
    <row r="52" spans="1:3" x14ac:dyDescent="0.15">
      <c r="A52" t="s">
        <v>52</v>
      </c>
      <c r="B52" s="17">
        <f>IFERROR(SUMIFS('Full List'!B:B,'Full List'!A:A,MI!$A52,'Full List'!E:E,MI!$A$1),"")</f>
        <v>616871</v>
      </c>
      <c r="C52" s="18">
        <f t="shared" si="0"/>
        <v>0.118936259969984</v>
      </c>
    </row>
    <row r="53" spans="1:3" x14ac:dyDescent="0.15">
      <c r="A53" t="s">
        <v>53</v>
      </c>
      <c r="B53" s="17">
        <f>IFERROR(SUMIFS('Full List'!B:B,'Full List'!A:A,MI!$A53,'Full List'!E:E,MI!$A$1),"")</f>
        <v>427770</v>
      </c>
      <c r="C53" s="18">
        <f t="shared" si="0"/>
        <v>8.247650469443378E-2</v>
      </c>
    </row>
    <row r="54" spans="1:3" x14ac:dyDescent="0.15">
      <c r="A54" t="s">
        <v>54</v>
      </c>
      <c r="B54" s="17">
        <f>IFERROR(SUMIFS('Full List'!B:B,'Full List'!A:A,MI!$A54,'Full List'!E:E,MI!$A$1),"")</f>
        <v>1809337</v>
      </c>
      <c r="C54" s="18">
        <f t="shared" si="0"/>
        <v>0.34885053083272022</v>
      </c>
    </row>
    <row r="55" spans="1:3" x14ac:dyDescent="0.15">
      <c r="A55" t="s">
        <v>55</v>
      </c>
      <c r="B55" s="17">
        <f>IFERROR(SUMIFS('Full List'!B:B,'Full List'!A:A,MI!$A55,'Full List'!E:E,MI!$A$1),"")</f>
        <v>1541323</v>
      </c>
      <c r="C55" s="18">
        <f t="shared" si="0"/>
        <v>0.29717589743352446</v>
      </c>
    </row>
    <row r="56" spans="1:3" x14ac:dyDescent="0.15">
      <c r="A56" t="s">
        <v>56</v>
      </c>
      <c r="B56" s="17">
        <f>IFERROR(SUMIFS('Full List'!B:B,'Full List'!A:A,MI!$A56,'Full List'!E:E,MI!$A$1),"")</f>
        <v>1167820</v>
      </c>
      <c r="C56" s="18">
        <f t="shared" si="0"/>
        <v>0.22516238098102637</v>
      </c>
    </row>
    <row r="57" spans="1:3" x14ac:dyDescent="0.15">
      <c r="A57" t="s">
        <v>57</v>
      </c>
      <c r="B57" s="17">
        <f>IFERROR(SUMIFS('Full List'!B:B,'Full List'!A:A,MI!$A57,'Full List'!E:E,MI!$A$1),"")</f>
        <v>841048</v>
      </c>
      <c r="C57" s="18">
        <f t="shared" si="0"/>
        <v>0.16215886883195207</v>
      </c>
    </row>
    <row r="58" spans="1:3" x14ac:dyDescent="0.15">
      <c r="A58" t="s">
        <v>58</v>
      </c>
      <c r="B58" s="17">
        <f>IFERROR(SUMIFS('Full List'!B:B,'Full List'!A:A,MI!$A58,'Full List'!E:E,MI!$A$1),"")</f>
        <v>661876</v>
      </c>
      <c r="C58" s="18">
        <f t="shared" si="0"/>
        <v>0.12761348159322311</v>
      </c>
    </row>
    <row r="59" spans="1:3" x14ac:dyDescent="0.15">
      <c r="A59" t="s">
        <v>59</v>
      </c>
      <c r="B59" s="17">
        <f>IFERROR(SUMIFS('Full List'!B:B,'Full List'!A:A,MI!$A59,'Full List'!E:E,MI!$A$1),"")</f>
        <v>3088247</v>
      </c>
      <c r="C59" s="18">
        <f t="shared" si="0"/>
        <v>0.59543169972899224</v>
      </c>
    </row>
    <row r="60" spans="1:3" x14ac:dyDescent="0.15">
      <c r="A60" t="s">
        <v>60</v>
      </c>
      <c r="B60" s="17">
        <f>IFERROR(SUMIFS('Full List'!B:B,'Full List'!A:A,MI!$A60,'Full List'!E:E,MI!$A$1),"")</f>
        <v>571280</v>
      </c>
      <c r="C60" s="18">
        <f t="shared" si="0"/>
        <v>0.11014605419229055</v>
      </c>
    </row>
    <row r="61" spans="1:3" x14ac:dyDescent="0.15">
      <c r="A61" t="s">
        <v>61</v>
      </c>
      <c r="B61" s="17">
        <f>IFERROR(SUMIFS('Full List'!B:B,'Full List'!A:A,MI!$A61,'Full List'!E:E,MI!$A$1),"")</f>
        <v>817340</v>
      </c>
      <c r="C61" s="18">
        <f t="shared" si="0"/>
        <v>0.15758783071965893</v>
      </c>
    </row>
    <row r="62" spans="1:3" x14ac:dyDescent="0.15">
      <c r="A62" t="s">
        <v>62</v>
      </c>
      <c r="B62" s="17">
        <f>IFERROR(SUMIFS('Full List'!B:B,'Full List'!A:A,MI!$A62,'Full List'!E:E,MI!$A$1),"")</f>
        <v>241275</v>
      </c>
      <c r="C62" s="18">
        <f t="shared" si="0"/>
        <v>4.6519201136474064E-2</v>
      </c>
    </row>
    <row r="63" spans="1:3" x14ac:dyDescent="0.15">
      <c r="A63" t="s">
        <v>63</v>
      </c>
      <c r="B63" s="17">
        <f>IFERROR(SUMIFS('Full List'!B:B,'Full List'!A:A,MI!$A63,'Full List'!E:E,MI!$A$1),"")</f>
        <v>858310</v>
      </c>
      <c r="C63" s="18">
        <f t="shared" si="0"/>
        <v>0.16548708124524733</v>
      </c>
    </row>
    <row r="64" spans="1:3" x14ac:dyDescent="0.15">
      <c r="A64" t="s">
        <v>64</v>
      </c>
      <c r="B64" s="17">
        <f>IFERROR(SUMIFS('Full List'!B:B,'Full List'!A:A,MI!$A64,'Full List'!E:E,MI!$A$1),"")</f>
        <v>613144</v>
      </c>
      <c r="C64" s="18">
        <f t="shared" si="0"/>
        <v>0.11821767303542535</v>
      </c>
    </row>
    <row r="65" spans="1:3" x14ac:dyDescent="0.15">
      <c r="A65" t="s">
        <v>65</v>
      </c>
      <c r="B65" s="17">
        <f>IFERROR(SUMIFS('Full List'!B:B,'Full List'!A:A,MI!$A65,'Full List'!E:E,MI!$A$1),"")</f>
        <v>695456</v>
      </c>
      <c r="C65" s="18">
        <f t="shared" si="0"/>
        <v>0.13408789781605099</v>
      </c>
    </row>
    <row r="66" spans="1:3" x14ac:dyDescent="0.15">
      <c r="A66" t="s">
        <v>66</v>
      </c>
      <c r="B66" s="17">
        <f>IFERROR(SUMIFS('Full List'!B:B,'Full List'!A:A,MI!$A66,'Full List'!E:E,MI!$A$1),"")</f>
        <v>392261</v>
      </c>
      <c r="C66" s="18">
        <f t="shared" si="0"/>
        <v>7.5630166229383289E-2</v>
      </c>
    </row>
    <row r="67" spans="1:3" x14ac:dyDescent="0.15">
      <c r="A67" t="s">
        <v>67</v>
      </c>
      <c r="B67" s="17">
        <f>IFERROR(SUMIFS('Full List'!B:B,'Full List'!A:A,MI!$A67,'Full List'!E:E,MI!$A$1),"")</f>
        <v>1393279</v>
      </c>
      <c r="C67" s="18">
        <f t="shared" ref="C67:C82" si="1">IFERROR(B67/$B$2,"")</f>
        <v>0.26863216678157886</v>
      </c>
    </row>
    <row r="68" spans="1:3" x14ac:dyDescent="0.15">
      <c r="A68" t="s">
        <v>68</v>
      </c>
      <c r="B68" s="17">
        <f>IFERROR(SUMIFS('Full List'!B:B,'Full List'!A:A,MI!$A68,'Full List'!E:E,MI!$A$1),"")</f>
        <v>1827224</v>
      </c>
      <c r="C68" s="18">
        <f t="shared" si="1"/>
        <v>0.35229924682371849</v>
      </c>
    </row>
    <row r="69" spans="1:3" x14ac:dyDescent="0.15">
      <c r="A69" t="s">
        <v>69</v>
      </c>
      <c r="B69" s="17">
        <f>IFERROR(SUMIFS('Full List'!B:B,'Full List'!A:A,MI!$A69,'Full List'!E:E,MI!$A$1),"")</f>
        <v>3138814</v>
      </c>
      <c r="C69" s="18">
        <f t="shared" si="1"/>
        <v>0.60518130679092608</v>
      </c>
    </row>
    <row r="70" spans="1:3" x14ac:dyDescent="0.15">
      <c r="A70" t="s">
        <v>70</v>
      </c>
      <c r="B70" s="17">
        <f>IFERROR(SUMIFS('Full List'!B:B,'Full List'!A:A,MI!$A70,'Full List'!E:E,MI!$A$1),"")</f>
        <v>2402455</v>
      </c>
      <c r="C70" s="18">
        <f t="shared" si="1"/>
        <v>0.46320707643281644</v>
      </c>
    </row>
    <row r="71" spans="1:3" x14ac:dyDescent="0.15">
      <c r="A71" t="s">
        <v>71</v>
      </c>
      <c r="B71" s="17">
        <f>IFERROR(SUMIFS('Full List'!B:B,'Full List'!A:A,MI!$A71,'Full List'!E:E,MI!$A$1),"")</f>
        <v>306187</v>
      </c>
      <c r="C71" s="18">
        <f t="shared" si="1"/>
        <v>5.9034606313847618E-2</v>
      </c>
    </row>
    <row r="72" spans="1:3" x14ac:dyDescent="0.15">
      <c r="A72" t="s">
        <v>72</v>
      </c>
      <c r="B72" s="17">
        <f>IFERROR(SUMIFS('Full List'!B:B,'Full List'!A:A,MI!$A72,'Full List'!E:E,MI!$A$1),"")</f>
        <v>675422</v>
      </c>
      <c r="C72" s="18">
        <f t="shared" si="1"/>
        <v>0.1302252279349273</v>
      </c>
    </row>
    <row r="73" spans="1:3" x14ac:dyDescent="0.15">
      <c r="A73" t="s">
        <v>73</v>
      </c>
      <c r="B73" s="17">
        <f>IFERROR(SUMIFS('Full List'!B:B,'Full List'!A:A,MI!$A73,'Full List'!E:E,MI!$A$1),"")</f>
        <v>3039561</v>
      </c>
      <c r="C73" s="18">
        <f t="shared" si="1"/>
        <v>0.58604476023451346</v>
      </c>
    </row>
    <row r="74" spans="1:3" x14ac:dyDescent="0.15">
      <c r="A74" t="s">
        <v>74</v>
      </c>
      <c r="B74" s="17">
        <f>IFERROR(SUMIFS('Full List'!B:B,'Full List'!A:A,MI!$A74,'Full List'!E:E,MI!$A$1),"")</f>
        <v>1512803</v>
      </c>
      <c r="C74" s="18">
        <f t="shared" si="1"/>
        <v>0.2916770781757802</v>
      </c>
    </row>
    <row r="75" spans="1:3" x14ac:dyDescent="0.15">
      <c r="A75" t="s">
        <v>75</v>
      </c>
      <c r="B75" s="17">
        <f>IFERROR(SUMIFS('Full List'!B:B,'Full List'!A:A,MI!$A75,'Full List'!E:E,MI!$A$1),"")</f>
        <v>920167</v>
      </c>
      <c r="C75" s="18">
        <f t="shared" si="1"/>
        <v>0.17741346493480853</v>
      </c>
    </row>
    <row r="76" spans="1:3" x14ac:dyDescent="0.15">
      <c r="A76" t="s">
        <v>76</v>
      </c>
      <c r="B76" s="17">
        <f>IFERROR(SUMIFS('Full List'!B:B,'Full List'!A:A,MI!$A76,'Full List'!E:E,MI!$A$1),"")</f>
        <v>514939</v>
      </c>
      <c r="C76" s="18">
        <f t="shared" si="1"/>
        <v>9.928318687810514E-2</v>
      </c>
    </row>
    <row r="77" spans="1:3" x14ac:dyDescent="0.15">
      <c r="A77" t="s">
        <v>77</v>
      </c>
      <c r="B77" s="17">
        <f>IFERROR(SUMIFS('Full List'!B:B,'Full List'!A:A,MI!$A77,'Full List'!E:E,MI!$A$1),"")</f>
        <v>451806</v>
      </c>
      <c r="C77" s="18">
        <f t="shared" si="1"/>
        <v>8.7110783084305463E-2</v>
      </c>
    </row>
    <row r="78" spans="1:3" x14ac:dyDescent="0.15">
      <c r="A78" t="s">
        <v>78</v>
      </c>
      <c r="B78" s="17">
        <f>IFERROR(SUMIFS('Full List'!B:B,'Full List'!A:A,MI!$A78,'Full List'!E:E,MI!$A$1),"")</f>
        <v>560838</v>
      </c>
      <c r="C78" s="18">
        <f t="shared" si="1"/>
        <v>0.10813277681889064</v>
      </c>
    </row>
    <row r="79" spans="1:3" x14ac:dyDescent="0.15">
      <c r="A79" t="s">
        <v>79</v>
      </c>
      <c r="B79" s="17">
        <f>IFERROR(SUMIFS('Full List'!B:B,'Full List'!A:A,MI!$A79,'Full List'!E:E,MI!$A$1),"")</f>
        <v>790330</v>
      </c>
      <c r="C79" s="18">
        <f t="shared" si="1"/>
        <v>0.15238014810564521</v>
      </c>
    </row>
    <row r="80" spans="1:3" x14ac:dyDescent="0.15">
      <c r="A80" t="s">
        <v>80</v>
      </c>
      <c r="B80" s="17">
        <f>IFERROR(SUMIFS('Full List'!B:B,'Full List'!A:A,MI!$A80,'Full List'!E:E,MI!$A$1),"")</f>
        <v>528978</v>
      </c>
      <c r="C80" s="18">
        <f t="shared" si="1"/>
        <v>0.10198998644190146</v>
      </c>
    </row>
    <row r="81" spans="1:6" x14ac:dyDescent="0.15">
      <c r="A81" t="s">
        <v>81</v>
      </c>
      <c r="B81" s="17">
        <f>IFERROR(SUMIFS('Full List'!B:B,'Full List'!A:A,MI!$A81,'Full List'!E:E,MI!$A$1),"")</f>
        <v>792844</v>
      </c>
      <c r="C81" s="18">
        <f t="shared" si="1"/>
        <v>0.15286486169659783</v>
      </c>
    </row>
    <row r="82" spans="1:6" x14ac:dyDescent="0.15">
      <c r="A82" t="s">
        <v>82</v>
      </c>
      <c r="B82" s="17">
        <f>IFERROR(SUMIFS('Full List'!B:B,'Full List'!A:A,MI!$A82,'Full List'!E:E,MI!$A$1),"")</f>
        <v>514201</v>
      </c>
      <c r="C82" s="18">
        <f t="shared" si="1"/>
        <v>9.9140896253553407E-2</v>
      </c>
    </row>
    <row r="83" spans="1:6" x14ac:dyDescent="0.15">
      <c r="B83" s="17"/>
      <c r="C83" s="18"/>
      <c r="D83" t="s">
        <v>812</v>
      </c>
      <c r="E83" t="s">
        <v>860</v>
      </c>
    </row>
    <row r="84" spans="1:6" x14ac:dyDescent="0.15">
      <c r="A84" t="s">
        <v>1059</v>
      </c>
      <c r="B84" s="17">
        <v>3381991</v>
      </c>
      <c r="C84" s="18">
        <f t="shared" ref="C84:C101" si="2">IFERROR(B84/$B$2,"")</f>
        <v>0.65206722441506604</v>
      </c>
      <c r="D84">
        <v>17</v>
      </c>
      <c r="E84" t="str">
        <f>VLOOKUP(D84,Validation!$A$2:$C$41,3,FALSE)</f>
        <v>MLB</v>
      </c>
      <c r="F84" t="s">
        <v>1351</v>
      </c>
    </row>
    <row r="85" spans="1:6" x14ac:dyDescent="0.15">
      <c r="A85" t="s">
        <v>1056</v>
      </c>
      <c r="B85" s="17">
        <v>2938566</v>
      </c>
      <c r="C85" s="18">
        <f t="shared" si="2"/>
        <v>0.56657234610632701</v>
      </c>
      <c r="D85">
        <v>27</v>
      </c>
      <c r="E85" t="str">
        <f>VLOOKUP(D85,Validation!$A$2:$C$41,3,FALSE)</f>
        <v xml:space="preserve">NFL </v>
      </c>
      <c r="F85" t="s">
        <v>1351</v>
      </c>
    </row>
    <row r="86" spans="1:6" x14ac:dyDescent="0.15">
      <c r="A86" t="s">
        <v>1058</v>
      </c>
      <c r="B86" s="17">
        <v>2084882</v>
      </c>
      <c r="C86" s="18">
        <f t="shared" si="2"/>
        <v>0.40197718414180628</v>
      </c>
      <c r="D86">
        <v>28</v>
      </c>
      <c r="E86" t="str">
        <f>VLOOKUP(D86,Validation!$A$2:$C$41,3,FALSE)</f>
        <v xml:space="preserve">NHL </v>
      </c>
      <c r="F86" t="s">
        <v>1350</v>
      </c>
    </row>
    <row r="87" spans="1:6" x14ac:dyDescent="0.15">
      <c r="A87" t="s">
        <v>1061</v>
      </c>
      <c r="B87" s="17">
        <v>2084784</v>
      </c>
      <c r="C87" s="18">
        <f t="shared" si="2"/>
        <v>0.40195828918082244</v>
      </c>
      <c r="D87">
        <v>5</v>
      </c>
      <c r="E87" t="str">
        <f>VLOOKUP(D87,Validation!$A$2:$C$41,3,FALSE)</f>
        <v>CFB</v>
      </c>
      <c r="F87" t="s">
        <v>1350</v>
      </c>
    </row>
    <row r="88" spans="1:6" x14ac:dyDescent="0.15">
      <c r="A88" t="s">
        <v>1069</v>
      </c>
      <c r="B88" s="17">
        <v>1808393</v>
      </c>
      <c r="C88" s="18">
        <f t="shared" si="2"/>
        <v>0.34866852222895756</v>
      </c>
      <c r="D88">
        <v>5</v>
      </c>
      <c r="E88" t="str">
        <f>VLOOKUP(D88,Validation!$A$2:$C$41,3,FALSE)</f>
        <v>CFB</v>
      </c>
      <c r="F88" t="s">
        <v>1351</v>
      </c>
    </row>
    <row r="89" spans="1:6" x14ac:dyDescent="0.15">
      <c r="A89" t="s">
        <v>1060</v>
      </c>
      <c r="B89" s="17">
        <v>1383714</v>
      </c>
      <c r="C89" s="18">
        <f t="shared" si="2"/>
        <v>0.26678798002841186</v>
      </c>
      <c r="D89">
        <v>4</v>
      </c>
      <c r="E89" t="str">
        <f>VLOOKUP(D89,Validation!$A$2:$C$41,3,FALSE)</f>
        <v>MCB</v>
      </c>
      <c r="F89" t="s">
        <v>1350</v>
      </c>
    </row>
    <row r="90" spans="1:6" x14ac:dyDescent="0.15">
      <c r="A90" t="s">
        <v>1070</v>
      </c>
      <c r="B90" s="17">
        <v>1363927</v>
      </c>
      <c r="C90" s="18">
        <f t="shared" si="2"/>
        <v>0.26297293316119641</v>
      </c>
      <c r="D90">
        <v>4</v>
      </c>
      <c r="E90" t="str">
        <f>VLOOKUP(D90,Validation!$A$2:$C$41,3,FALSE)</f>
        <v>MCB</v>
      </c>
      <c r="F90" t="s">
        <v>1351</v>
      </c>
    </row>
    <row r="91" spans="1:6" x14ac:dyDescent="0.15">
      <c r="A91" t="s">
        <v>1057</v>
      </c>
      <c r="B91" s="17">
        <v>1362029</v>
      </c>
      <c r="C91" s="18">
        <f t="shared" si="2"/>
        <v>0.26260698789642783</v>
      </c>
      <c r="D91">
        <v>26</v>
      </c>
      <c r="E91" t="str">
        <f>VLOOKUP(D91,Validation!$A$2:$C$41,3,FALSE)</f>
        <v xml:space="preserve">NBA </v>
      </c>
      <c r="F91" t="s">
        <v>1350</v>
      </c>
    </row>
    <row r="92" spans="1:6" x14ac:dyDescent="0.15">
      <c r="A92" t="s">
        <v>1068</v>
      </c>
      <c r="B92" s="17">
        <v>436614</v>
      </c>
      <c r="C92" s="18">
        <f t="shared" si="2"/>
        <v>8.4181678520362596E-2</v>
      </c>
      <c r="D92">
        <v>6</v>
      </c>
      <c r="E92" t="str">
        <f>VLOOKUP(D92,Validation!$A$2:$C$41,3,FALSE)</f>
        <v>CH</v>
      </c>
      <c r="F92" t="s">
        <v>1350</v>
      </c>
    </row>
    <row r="93" spans="1:6" x14ac:dyDescent="0.15">
      <c r="A93" t="s">
        <v>1071</v>
      </c>
      <c r="B93" s="17">
        <v>332920</v>
      </c>
      <c r="C93" s="18">
        <f t="shared" si="2"/>
        <v>6.4188881742223369E-2</v>
      </c>
      <c r="D93">
        <v>6</v>
      </c>
      <c r="E93" t="str">
        <f>VLOOKUP(D93,Validation!$A$2:$C$41,3,FALSE)</f>
        <v>CH</v>
      </c>
      <c r="F93" t="s">
        <v>1351</v>
      </c>
    </row>
    <row r="94" spans="1:6" x14ac:dyDescent="0.15">
      <c r="A94" t="s">
        <v>1012</v>
      </c>
      <c r="B94" s="17">
        <v>225212</v>
      </c>
      <c r="C94" s="18">
        <f t="shared" si="2"/>
        <v>4.3422162786644271E-2</v>
      </c>
      <c r="D94">
        <v>5</v>
      </c>
      <c r="E94" t="str">
        <f>VLOOKUP(D94,Validation!$A$2:$C$41,3,FALSE)</f>
        <v>CFB</v>
      </c>
      <c r="F94" t="s">
        <v>1350</v>
      </c>
    </row>
    <row r="95" spans="1:6" x14ac:dyDescent="0.15">
      <c r="A95" t="s">
        <v>1067</v>
      </c>
      <c r="B95" s="17">
        <v>169094</v>
      </c>
      <c r="C95" s="18">
        <f t="shared" si="2"/>
        <v>3.2602291148983296E-2</v>
      </c>
      <c r="D95">
        <v>5</v>
      </c>
      <c r="E95" t="str">
        <f>VLOOKUP(D95,Validation!$A$2:$C$41,3,FALSE)</f>
        <v>CFB</v>
      </c>
      <c r="F95" t="s">
        <v>1351</v>
      </c>
    </row>
    <row r="96" spans="1:6" x14ac:dyDescent="0.15">
      <c r="A96" t="s">
        <v>1064</v>
      </c>
      <c r="B96" s="17">
        <v>156279</v>
      </c>
      <c r="C96" s="18">
        <f t="shared" si="2"/>
        <v>3.0131485791760563E-2</v>
      </c>
      <c r="D96">
        <v>5</v>
      </c>
      <c r="E96" t="str">
        <f>VLOOKUP(D96,Validation!$A$2:$C$41,3,FALSE)</f>
        <v>CFB</v>
      </c>
      <c r="F96" t="s">
        <v>1351</v>
      </c>
    </row>
    <row r="97" spans="1:6" x14ac:dyDescent="0.15">
      <c r="A97" t="s">
        <v>1062</v>
      </c>
      <c r="B97" s="17">
        <v>133820</v>
      </c>
      <c r="C97" s="18">
        <f t="shared" si="2"/>
        <v>2.580126202914914E-2</v>
      </c>
      <c r="D97">
        <v>4</v>
      </c>
      <c r="E97" t="str">
        <f>VLOOKUP(D97,Validation!$A$2:$C$41,3,FALSE)</f>
        <v>MCB</v>
      </c>
      <c r="F97" t="s">
        <v>1350</v>
      </c>
    </row>
    <row r="98" spans="1:6" x14ac:dyDescent="0.15">
      <c r="A98" t="s">
        <v>1072</v>
      </c>
      <c r="B98" s="17">
        <v>120346</v>
      </c>
      <c r="C98" s="18">
        <f t="shared" si="2"/>
        <v>2.3203397699596343E-2</v>
      </c>
      <c r="D98">
        <v>5</v>
      </c>
      <c r="E98" t="str">
        <f>VLOOKUP(D98,Validation!$A$2:$C$41,3,FALSE)</f>
        <v>CFB</v>
      </c>
      <c r="F98" t="s">
        <v>1351</v>
      </c>
    </row>
    <row r="99" spans="1:6" x14ac:dyDescent="0.15">
      <c r="A99" t="s">
        <v>1063</v>
      </c>
      <c r="B99" s="17">
        <v>103711</v>
      </c>
      <c r="C99" s="18">
        <f t="shared" si="2"/>
        <v>1.9996074475452746E-2</v>
      </c>
      <c r="D99">
        <v>4</v>
      </c>
      <c r="E99" t="str">
        <f>VLOOKUP(D99,Validation!$A$2:$C$41,3,FALSE)</f>
        <v>MCB</v>
      </c>
      <c r="F99" t="s">
        <v>1351</v>
      </c>
    </row>
    <row r="100" spans="1:6" x14ac:dyDescent="0.15">
      <c r="A100" t="s">
        <v>1065</v>
      </c>
      <c r="B100" s="17">
        <v>96747</v>
      </c>
      <c r="C100" s="18">
        <f t="shared" si="2"/>
        <v>1.865337541125461E-2</v>
      </c>
      <c r="D100">
        <v>5</v>
      </c>
      <c r="E100" t="str">
        <f>VLOOKUP(D100,Validation!$A$2:$C$41,3,FALSE)</f>
        <v>CFB</v>
      </c>
      <c r="F100" s="17" t="s">
        <v>1351</v>
      </c>
    </row>
    <row r="101" spans="1:6" x14ac:dyDescent="0.15">
      <c r="A101" t="s">
        <v>1066</v>
      </c>
      <c r="B101" s="17">
        <v>93951</v>
      </c>
      <c r="C101" s="18">
        <f t="shared" si="2"/>
        <v>1.8114290606042378E-2</v>
      </c>
      <c r="D101">
        <v>4</v>
      </c>
      <c r="E101" t="str">
        <f>VLOOKUP(D101,Validation!$A$2:$C$41,3,FALSE)</f>
        <v>MCB</v>
      </c>
      <c r="F101" t="s">
        <v>1351</v>
      </c>
    </row>
  </sheetData>
  <pageMargins left="0.7" right="0.7" top="0.75" bottom="0.75" header="0.3" footer="0.3"/>
  <pageSetup orientation="portrait" verticalDpi="0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 enableFormatConditionsCalculation="0"/>
  <dimension ref="A1:F97"/>
  <sheetViews>
    <sheetView topLeftCell="A60" zoomScale="85" zoomScaleNormal="85" zoomScalePageLayoutView="85" workbookViewId="0">
      <selection activeCell="F83" sqref="F83"/>
    </sheetView>
  </sheetViews>
  <sheetFormatPr baseColWidth="10" defaultColWidth="8.83203125" defaultRowHeight="13" x14ac:dyDescent="0.15"/>
  <cols>
    <col min="1" max="1" width="33.33203125" bestFit="1" customWidth="1"/>
    <col min="2" max="2" width="10.5" bestFit="1" customWidth="1"/>
  </cols>
  <sheetData>
    <row r="1" spans="1:3" x14ac:dyDescent="0.15">
      <c r="A1" t="s">
        <v>440</v>
      </c>
      <c r="B1" t="s">
        <v>807</v>
      </c>
      <c r="C1" t="s">
        <v>811</v>
      </c>
    </row>
    <row r="2" spans="1:3" x14ac:dyDescent="0.15">
      <c r="A2" t="s">
        <v>0</v>
      </c>
      <c r="B2" s="17">
        <f>IFERROR(SUMIFS('Full List'!B:B,'Full List'!A:A,MN!$A2,'Full List'!E:E,MN!$A$1),"")</f>
        <v>3475930</v>
      </c>
      <c r="C2" s="18">
        <f>IFERROR(B2/$B$2,"")</f>
        <v>1</v>
      </c>
    </row>
    <row r="3" spans="1:3" x14ac:dyDescent="0.15">
      <c r="A3" t="s">
        <v>3</v>
      </c>
      <c r="B3" s="17">
        <f>IFERROR(SUMIFS('Full List'!B:B,'Full List'!A:A,MN!$A3,'Full List'!E:E,MN!$A$1),"")</f>
        <v>47499</v>
      </c>
      <c r="C3" s="18">
        <f t="shared" ref="C3:C66" si="0">IFERROR(B3/$B$2,"")</f>
        <v>1.3665119838431728E-2</v>
      </c>
    </row>
    <row r="4" spans="1:3" x14ac:dyDescent="0.15">
      <c r="A4" t="s">
        <v>4</v>
      </c>
      <c r="B4" s="17">
        <f>IFERROR(SUMIFS('Full List'!B:B,'Full List'!A:A,MN!$A4,'Full List'!E:E,MN!$A$1),"")</f>
        <v>16434</v>
      </c>
      <c r="C4" s="18">
        <f t="shared" si="0"/>
        <v>4.7279433130126324E-3</v>
      </c>
    </row>
    <row r="5" spans="1:3" x14ac:dyDescent="0.15">
      <c r="A5" t="s">
        <v>5</v>
      </c>
      <c r="B5" s="17">
        <f>IFERROR(SUMIFS('Full List'!B:B,'Full List'!A:A,MN!$A5,'Full List'!E:E,MN!$A$1),"")</f>
        <v>44839</v>
      </c>
      <c r="C5" s="18">
        <f t="shared" si="0"/>
        <v>1.2899857016683305E-2</v>
      </c>
    </row>
    <row r="6" spans="1:3" x14ac:dyDescent="0.15">
      <c r="A6" t="s">
        <v>6</v>
      </c>
      <c r="B6" s="17">
        <f>IFERROR(SUMIFS('Full List'!B:B,'Full List'!A:A,MN!$A6,'Full List'!E:E,MN!$A$1),"")</f>
        <v>308536</v>
      </c>
      <c r="C6" s="18">
        <f t="shared" si="0"/>
        <v>8.8763582695854062E-2</v>
      </c>
    </row>
    <row r="7" spans="1:3" x14ac:dyDescent="0.15">
      <c r="A7" t="s">
        <v>7</v>
      </c>
      <c r="B7" s="17">
        <f>IFERROR(SUMIFS('Full List'!B:B,'Full List'!A:A,MN!$A7,'Full List'!E:E,MN!$A$1),"")</f>
        <v>438657</v>
      </c>
      <c r="C7" s="18">
        <f t="shared" si="0"/>
        <v>0.12619845624048814</v>
      </c>
    </row>
    <row r="8" spans="1:3" x14ac:dyDescent="0.15">
      <c r="A8" t="s">
        <v>8</v>
      </c>
      <c r="B8" s="17">
        <f>IFERROR(SUMIFS('Full List'!B:B,'Full List'!A:A,MN!$A8,'Full List'!E:E,MN!$A$1),"")</f>
        <v>251877</v>
      </c>
      <c r="C8" s="18">
        <f t="shared" si="0"/>
        <v>7.2463196899822488E-2</v>
      </c>
    </row>
    <row r="9" spans="1:3" x14ac:dyDescent="0.15">
      <c r="A9" t="s">
        <v>9</v>
      </c>
      <c r="B9" s="17">
        <f>IFERROR(SUMIFS('Full List'!B:B,'Full List'!A:A,MN!$A9,'Full List'!E:E,MN!$A$1),"")</f>
        <v>43078</v>
      </c>
      <c r="C9" s="18">
        <f t="shared" si="0"/>
        <v>1.2393230013262637E-2</v>
      </c>
    </row>
    <row r="10" spans="1:3" x14ac:dyDescent="0.15">
      <c r="A10" t="s">
        <v>10</v>
      </c>
      <c r="B10" s="17">
        <f>IFERROR(SUMIFS('Full List'!B:B,'Full List'!A:A,MN!$A10,'Full List'!E:E,MN!$A$1),"")</f>
        <v>60824</v>
      </c>
      <c r="C10" s="18">
        <f t="shared" si="0"/>
        <v>1.7498626266927126E-2</v>
      </c>
    </row>
    <row r="11" spans="1:3" x14ac:dyDescent="0.15">
      <c r="A11" t="s">
        <v>11</v>
      </c>
      <c r="B11" s="17">
        <f>IFERROR(SUMIFS('Full List'!B:B,'Full List'!A:A,MN!$A11,'Full List'!E:E,MN!$A$1),"")</f>
        <v>200762</v>
      </c>
      <c r="C11" s="18">
        <f t="shared" si="0"/>
        <v>5.7757779932277119E-2</v>
      </c>
    </row>
    <row r="12" spans="1:3" x14ac:dyDescent="0.15">
      <c r="A12" t="s">
        <v>12</v>
      </c>
      <c r="B12" s="17">
        <f>IFERROR(SUMIFS('Full List'!B:B,'Full List'!A:A,MN!$A12,'Full List'!E:E,MN!$A$1),"")</f>
        <v>29304</v>
      </c>
      <c r="C12" s="18">
        <f t="shared" si="0"/>
        <v>8.4305495219984296E-3</v>
      </c>
    </row>
    <row r="13" spans="1:3" x14ac:dyDescent="0.15">
      <c r="A13" t="s">
        <v>13</v>
      </c>
      <c r="B13" s="17">
        <f>IFERROR(SUMIFS('Full List'!B:B,'Full List'!A:A,MN!$A13,'Full List'!E:E,MN!$A$1),"")</f>
        <v>24184</v>
      </c>
      <c r="C13" s="18">
        <f t="shared" si="0"/>
        <v>6.9575624365277779E-3</v>
      </c>
    </row>
    <row r="14" spans="1:3" x14ac:dyDescent="0.15">
      <c r="A14" t="s">
        <v>14</v>
      </c>
      <c r="B14" s="17">
        <f>IFERROR(SUMIFS('Full List'!B:B,'Full List'!A:A,MN!$A14,'Full List'!E:E,MN!$A$1),"")</f>
        <v>197986</v>
      </c>
      <c r="C14" s="18">
        <f t="shared" si="0"/>
        <v>5.6959144746873497E-2</v>
      </c>
    </row>
    <row r="15" spans="1:3" x14ac:dyDescent="0.15">
      <c r="A15" t="s">
        <v>15</v>
      </c>
      <c r="B15" s="17">
        <f>IFERROR(SUMIFS('Full List'!B:B,'Full List'!A:A,MN!$A15,'Full List'!E:E,MN!$A$1),"")</f>
        <v>269190</v>
      </c>
      <c r="C15" s="18">
        <f t="shared" si="0"/>
        <v>7.7444022175360269E-2</v>
      </c>
    </row>
    <row r="16" spans="1:3" x14ac:dyDescent="0.15">
      <c r="A16" t="s">
        <v>16</v>
      </c>
      <c r="B16" s="17">
        <f>IFERROR(SUMIFS('Full List'!B:B,'Full List'!A:A,MN!$A16,'Full List'!E:E,MN!$A$1),"")</f>
        <v>85791</v>
      </c>
      <c r="C16" s="18">
        <f t="shared" si="0"/>
        <v>2.4681452158127466E-2</v>
      </c>
    </row>
    <row r="17" spans="1:3" x14ac:dyDescent="0.15">
      <c r="A17" t="s">
        <v>17</v>
      </c>
      <c r="B17" s="17">
        <f>IFERROR(SUMIFS('Full List'!B:B,'Full List'!A:A,MN!$A17,'Full List'!E:E,MN!$A$1),"")</f>
        <v>34179</v>
      </c>
      <c r="C17" s="18">
        <f t="shared" si="0"/>
        <v>9.8330518738869877E-3</v>
      </c>
    </row>
    <row r="18" spans="1:3" x14ac:dyDescent="0.15">
      <c r="A18" t="s">
        <v>18</v>
      </c>
      <c r="B18" s="17">
        <f>IFERROR(SUMIFS('Full List'!B:B,'Full List'!A:A,MN!$A18,'Full List'!E:E,MN!$A$1),"")</f>
        <v>30829</v>
      </c>
      <c r="C18" s="18">
        <f t="shared" si="0"/>
        <v>8.869281026948183E-3</v>
      </c>
    </row>
    <row r="19" spans="1:3" x14ac:dyDescent="0.15">
      <c r="A19" t="s">
        <v>19</v>
      </c>
      <c r="B19" s="17">
        <f>IFERROR(SUMIFS('Full List'!B:B,'Full List'!A:A,MN!$A19,'Full List'!E:E,MN!$A$1),"")</f>
        <v>540201</v>
      </c>
      <c r="C19" s="18">
        <f t="shared" si="0"/>
        <v>0.15541193292154906</v>
      </c>
    </row>
    <row r="20" spans="1:3" x14ac:dyDescent="0.15">
      <c r="A20" t="s">
        <v>20</v>
      </c>
      <c r="B20" s="17">
        <f>IFERROR(SUMIFS('Full List'!B:B,'Full List'!A:A,MN!$A20,'Full List'!E:E,MN!$A$1),"")</f>
        <v>47307</v>
      </c>
      <c r="C20" s="18">
        <f t="shared" si="0"/>
        <v>1.360988282272658E-2</v>
      </c>
    </row>
    <row r="21" spans="1:3" x14ac:dyDescent="0.15">
      <c r="A21" t="s">
        <v>21</v>
      </c>
      <c r="B21" s="17">
        <f>IFERROR(SUMIFS('Full List'!B:B,'Full List'!A:A,MN!$A21,'Full List'!E:E,MN!$A$1),"")</f>
        <v>65355</v>
      </c>
      <c r="C21" s="18">
        <f t="shared" si="0"/>
        <v>1.8802162299010626E-2</v>
      </c>
    </row>
    <row r="22" spans="1:3" x14ac:dyDescent="0.15">
      <c r="A22" t="s">
        <v>22</v>
      </c>
      <c r="B22" s="17">
        <f>IFERROR(SUMIFS('Full List'!B:B,'Full List'!A:A,MN!$A22,'Full List'!E:E,MN!$A$1),"")</f>
        <v>29282</v>
      </c>
      <c r="C22" s="18">
        <f t="shared" si="0"/>
        <v>8.4242202806155478E-3</v>
      </c>
    </row>
    <row r="23" spans="1:3" x14ac:dyDescent="0.15">
      <c r="A23" t="s">
        <v>23</v>
      </c>
      <c r="B23" s="17">
        <f>IFERROR(SUMIFS('Full List'!B:B,'Full List'!A:A,MN!$A23,'Full List'!E:E,MN!$A$1),"")</f>
        <v>42630</v>
      </c>
      <c r="C23" s="18">
        <f t="shared" si="0"/>
        <v>1.2264343643283956E-2</v>
      </c>
    </row>
    <row r="24" spans="1:3" x14ac:dyDescent="0.15">
      <c r="A24" t="s">
        <v>24</v>
      </c>
      <c r="B24" s="17">
        <f>IFERROR(SUMIFS('Full List'!B:B,'Full List'!A:A,MN!$A24,'Full List'!E:E,MN!$A$1),"")</f>
        <v>15887</v>
      </c>
      <c r="C24" s="18">
        <f t="shared" si="0"/>
        <v>4.570575356810983E-3</v>
      </c>
    </row>
    <row r="25" spans="1:3" x14ac:dyDescent="0.15">
      <c r="A25" t="s">
        <v>25</v>
      </c>
      <c r="B25" s="17">
        <f>IFERROR(SUMIFS('Full List'!B:B,'Full List'!A:A,MN!$A25,'Full List'!E:E,MN!$A$1),"")</f>
        <v>49719</v>
      </c>
      <c r="C25" s="18">
        <f t="shared" si="0"/>
        <v>1.430379783252252E-2</v>
      </c>
    </row>
    <row r="26" spans="1:3" x14ac:dyDescent="0.15">
      <c r="A26" t="s">
        <v>26</v>
      </c>
      <c r="B26" s="17">
        <f>IFERROR(SUMIFS('Full List'!B:B,'Full List'!A:A,MN!$A26,'Full List'!E:E,MN!$A$1),"")</f>
        <v>30234</v>
      </c>
      <c r="C26" s="18">
        <f t="shared" si="0"/>
        <v>8.6981038168202473E-3</v>
      </c>
    </row>
    <row r="27" spans="1:3" x14ac:dyDescent="0.15">
      <c r="A27" t="s">
        <v>27</v>
      </c>
      <c r="B27" s="17">
        <f>IFERROR(SUMIFS('Full List'!B:B,'Full List'!A:A,MN!$A27,'Full List'!E:E,MN!$A$1),"")</f>
        <v>173590</v>
      </c>
      <c r="C27" s="18">
        <f t="shared" si="0"/>
        <v>4.9940591438837952E-2</v>
      </c>
    </row>
    <row r="28" spans="1:3" x14ac:dyDescent="0.15">
      <c r="A28" t="s">
        <v>28</v>
      </c>
      <c r="B28" s="17">
        <f>IFERROR(SUMIFS('Full List'!B:B,'Full List'!A:A,MN!$A28,'Full List'!E:E,MN!$A$1),"")</f>
        <v>321212</v>
      </c>
      <c r="C28" s="18">
        <f t="shared" si="0"/>
        <v>9.2410376503554451E-2</v>
      </c>
    </row>
    <row r="29" spans="1:3" x14ac:dyDescent="0.15">
      <c r="A29" t="s">
        <v>29</v>
      </c>
      <c r="B29" s="17">
        <f>IFERROR(SUMIFS('Full List'!B:B,'Full List'!A:A,MN!$A29,'Full List'!E:E,MN!$A$1),"")</f>
        <v>1163539</v>
      </c>
      <c r="C29" s="18">
        <f t="shared" si="0"/>
        <v>0.33474178133621796</v>
      </c>
    </row>
    <row r="30" spans="1:3" x14ac:dyDescent="0.15">
      <c r="A30" t="s">
        <v>30</v>
      </c>
      <c r="B30" s="17">
        <f>IFERROR(SUMIFS('Full List'!B:B,'Full List'!A:A,MN!$A30,'Full List'!E:E,MN!$A$1),"")</f>
        <v>263975</v>
      </c>
      <c r="C30" s="18">
        <f t="shared" si="0"/>
        <v>7.5943704274827162E-2</v>
      </c>
    </row>
    <row r="31" spans="1:3" x14ac:dyDescent="0.15">
      <c r="A31" t="s">
        <v>31</v>
      </c>
      <c r="B31" s="17">
        <f>IFERROR(SUMIFS('Full List'!B:B,'Full List'!A:A,MN!$A31,'Full List'!E:E,MN!$A$1),"")</f>
        <v>28605</v>
      </c>
      <c r="C31" s="18">
        <f t="shared" si="0"/>
        <v>8.229452261696869E-3</v>
      </c>
    </row>
    <row r="32" spans="1:3" x14ac:dyDescent="0.15">
      <c r="A32" t="s">
        <v>32</v>
      </c>
      <c r="B32" s="17">
        <f>IFERROR(SUMIFS('Full List'!B:B,'Full List'!A:A,MN!$A32,'Full List'!E:E,MN!$A$1),"")</f>
        <v>69814</v>
      </c>
      <c r="C32" s="18">
        <f t="shared" si="0"/>
        <v>2.0084984450204693E-2</v>
      </c>
    </row>
    <row r="33" spans="1:3" x14ac:dyDescent="0.15">
      <c r="A33" t="s">
        <v>33</v>
      </c>
      <c r="B33" s="17">
        <f>IFERROR(SUMIFS('Full List'!B:B,'Full List'!A:A,MN!$A33,'Full List'!E:E,MN!$A$1),"")</f>
        <v>927438</v>
      </c>
      <c r="C33" s="18">
        <f t="shared" si="0"/>
        <v>0.26681722589350187</v>
      </c>
    </row>
    <row r="34" spans="1:3" x14ac:dyDescent="0.15">
      <c r="A34" t="s">
        <v>34</v>
      </c>
      <c r="B34" s="17">
        <f>IFERROR(SUMIFS('Full List'!B:B,'Full List'!A:A,MN!$A34,'Full List'!E:E,MN!$A$1),"")</f>
        <v>252355</v>
      </c>
      <c r="C34" s="18">
        <f t="shared" si="0"/>
        <v>7.26007140535051E-2</v>
      </c>
    </row>
    <row r="35" spans="1:3" x14ac:dyDescent="0.15">
      <c r="A35" t="s">
        <v>35</v>
      </c>
      <c r="B35" s="17">
        <f>IFERROR(SUMIFS('Full List'!B:B,'Full List'!A:A,MN!$A35,'Full List'!E:E,MN!$A$1),"")</f>
        <v>90887</v>
      </c>
      <c r="C35" s="18">
        <f t="shared" si="0"/>
        <v>2.6147534616634972E-2</v>
      </c>
    </row>
    <row r="36" spans="1:3" x14ac:dyDescent="0.15">
      <c r="A36" t="s">
        <v>36</v>
      </c>
      <c r="B36" s="17">
        <f>IFERROR(SUMIFS('Full List'!B:B,'Full List'!A:A,MN!$A36,'Full List'!E:E,MN!$A$1),"")</f>
        <v>78339</v>
      </c>
      <c r="C36" s="18">
        <f t="shared" si="0"/>
        <v>2.2537565486071352E-2</v>
      </c>
    </row>
    <row r="37" spans="1:3" x14ac:dyDescent="0.15">
      <c r="A37" t="s">
        <v>37</v>
      </c>
      <c r="B37" s="17">
        <f>IFERROR(SUMIFS('Full List'!B:B,'Full List'!A:A,MN!$A37,'Full List'!E:E,MN!$A$1),"")</f>
        <v>50288</v>
      </c>
      <c r="C37" s="18">
        <f t="shared" si="0"/>
        <v>1.4467495030107051E-2</v>
      </c>
    </row>
    <row r="38" spans="1:3" x14ac:dyDescent="0.15">
      <c r="A38" t="s">
        <v>38</v>
      </c>
      <c r="B38" s="17">
        <f>IFERROR(SUMIFS('Full List'!B:B,'Full List'!A:A,MN!$A38,'Full List'!E:E,MN!$A$1),"")</f>
        <v>49468</v>
      </c>
      <c r="C38" s="18">
        <f t="shared" si="0"/>
        <v>1.4231586942199642E-2</v>
      </c>
    </row>
    <row r="39" spans="1:3" x14ac:dyDescent="0.15">
      <c r="A39" t="s">
        <v>39</v>
      </c>
      <c r="B39" s="17">
        <f>IFERROR(SUMIFS('Full List'!B:B,'Full List'!A:A,MN!$A39,'Full List'!E:E,MN!$A$1),"")</f>
        <v>81321</v>
      </c>
      <c r="C39" s="18">
        <f t="shared" si="0"/>
        <v>2.3395465386241956E-2</v>
      </c>
    </row>
    <row r="40" spans="1:3" x14ac:dyDescent="0.15">
      <c r="A40" t="s">
        <v>40</v>
      </c>
      <c r="B40" s="17">
        <f>IFERROR(SUMIFS('Full List'!B:B,'Full List'!A:A,MN!$A40,'Full List'!E:E,MN!$A$1),"")</f>
        <v>88649</v>
      </c>
      <c r="C40" s="18">
        <f t="shared" si="0"/>
        <v>2.5503678152321824E-2</v>
      </c>
    </row>
    <row r="41" spans="1:3" x14ac:dyDescent="0.15">
      <c r="A41" t="s">
        <v>41</v>
      </c>
      <c r="B41" s="17">
        <f>IFERROR(SUMIFS('Full List'!B:B,'Full List'!A:A,MN!$A41,'Full List'!E:E,MN!$A$1),"")</f>
        <v>52979</v>
      </c>
      <c r="C41" s="18">
        <f t="shared" si="0"/>
        <v>1.5241676328349536E-2</v>
      </c>
    </row>
    <row r="42" spans="1:3" x14ac:dyDescent="0.15">
      <c r="A42" t="s">
        <v>42</v>
      </c>
      <c r="B42" s="17">
        <f>IFERROR(SUMIFS('Full List'!B:B,'Full List'!A:A,MN!$A42,'Full List'!E:E,MN!$A$1),"")</f>
        <v>93972</v>
      </c>
      <c r="C42" s="18">
        <f t="shared" si="0"/>
        <v>2.7035066874189065E-2</v>
      </c>
    </row>
    <row r="43" spans="1:3" x14ac:dyDescent="0.15">
      <c r="A43" t="s">
        <v>43</v>
      </c>
      <c r="B43" s="17">
        <f>IFERROR(SUMIFS('Full List'!B:B,'Full List'!A:A,MN!$A43,'Full List'!E:E,MN!$A$1),"")</f>
        <v>254184</v>
      </c>
      <c r="C43" s="18">
        <f t="shared" si="0"/>
        <v>7.3126904166654683E-2</v>
      </c>
    </row>
    <row r="44" spans="1:3" x14ac:dyDescent="0.15">
      <c r="A44" t="s">
        <v>44</v>
      </c>
      <c r="B44" s="17">
        <f>IFERROR(SUMIFS('Full List'!B:B,'Full List'!A:A,MN!$A44,'Full List'!E:E,MN!$A$1),"")</f>
        <v>220594</v>
      </c>
      <c r="C44" s="18">
        <f t="shared" si="0"/>
        <v>6.346330334615484E-2</v>
      </c>
    </row>
    <row r="45" spans="1:3" x14ac:dyDescent="0.15">
      <c r="A45" t="s">
        <v>45</v>
      </c>
      <c r="B45" s="17">
        <f>IFERROR(SUMIFS('Full List'!B:B,'Full List'!A:A,MN!$A45,'Full List'!E:E,MN!$A$1),"")</f>
        <v>571886</v>
      </c>
      <c r="C45" s="18">
        <f t="shared" si="0"/>
        <v>0.16452747897684936</v>
      </c>
    </row>
    <row r="46" spans="1:3" x14ac:dyDescent="0.15">
      <c r="A46" t="s">
        <v>46</v>
      </c>
      <c r="B46" s="17">
        <f>IFERROR(SUMIFS('Full List'!B:B,'Full List'!A:A,MN!$A46,'Full List'!E:E,MN!$A$1),"")</f>
        <v>1199001</v>
      </c>
      <c r="C46" s="18">
        <f t="shared" si="0"/>
        <v>0.34494394305984299</v>
      </c>
    </row>
    <row r="47" spans="1:3" x14ac:dyDescent="0.15">
      <c r="A47" t="s">
        <v>47</v>
      </c>
      <c r="B47" s="17">
        <f>IFERROR(SUMIFS('Full List'!B:B,'Full List'!A:A,MN!$A47,'Full List'!E:E,MN!$A$1),"")</f>
        <v>1441309</v>
      </c>
      <c r="C47" s="18">
        <f t="shared" si="0"/>
        <v>0.41465420765090205</v>
      </c>
    </row>
    <row r="48" spans="1:3" x14ac:dyDescent="0.15">
      <c r="A48" t="s">
        <v>48</v>
      </c>
      <c r="B48" s="17">
        <f>IFERROR(SUMIFS('Full List'!B:B,'Full List'!A:A,MN!$A48,'Full List'!E:E,MN!$A$1),"")</f>
        <v>971511</v>
      </c>
      <c r="C48" s="18">
        <f t="shared" si="0"/>
        <v>0.27949671023294487</v>
      </c>
    </row>
    <row r="49" spans="1:3" x14ac:dyDescent="0.15">
      <c r="A49" t="s">
        <v>49</v>
      </c>
      <c r="B49" s="17">
        <f>IFERROR(SUMIFS('Full List'!B:B,'Full List'!A:A,MN!$A49,'Full List'!E:E,MN!$A$1),"")</f>
        <v>341596</v>
      </c>
      <c r="C49" s="18">
        <f t="shared" si="0"/>
        <v>9.8274706337584478E-2</v>
      </c>
    </row>
    <row r="50" spans="1:3" x14ac:dyDescent="0.15">
      <c r="A50" t="s">
        <v>50</v>
      </c>
      <c r="B50" s="17">
        <f>IFERROR(SUMIFS('Full List'!B:B,'Full List'!A:A,MN!$A50,'Full List'!E:E,MN!$A$1),"")</f>
        <v>530917</v>
      </c>
      <c r="C50" s="18">
        <f t="shared" si="0"/>
        <v>0.15274099305797298</v>
      </c>
    </row>
    <row r="51" spans="1:3" x14ac:dyDescent="0.15">
      <c r="A51" t="s">
        <v>51</v>
      </c>
      <c r="B51" s="17">
        <f>IFERROR(SUMIFS('Full List'!B:B,'Full List'!A:A,MN!$A51,'Full List'!E:E,MN!$A$1),"")</f>
        <v>1170334</v>
      </c>
      <c r="C51" s="18">
        <f t="shared" si="0"/>
        <v>0.33669665384515801</v>
      </c>
    </row>
    <row r="52" spans="1:3" x14ac:dyDescent="0.15">
      <c r="A52" t="s">
        <v>52</v>
      </c>
      <c r="B52" s="17">
        <f>IFERROR(SUMIFS('Full List'!B:B,'Full List'!A:A,MN!$A52,'Full List'!E:E,MN!$A$1),"")</f>
        <v>281143</v>
      </c>
      <c r="C52" s="18">
        <f t="shared" si="0"/>
        <v>8.0882814095795952E-2</v>
      </c>
    </row>
    <row r="53" spans="1:3" x14ac:dyDescent="0.15">
      <c r="A53" t="s">
        <v>53</v>
      </c>
      <c r="B53" s="17">
        <f>IFERROR(SUMIFS('Full List'!B:B,'Full List'!A:A,MN!$A53,'Full List'!E:E,MN!$A$1),"")</f>
        <v>192887</v>
      </c>
      <c r="C53" s="18">
        <f t="shared" si="0"/>
        <v>5.5492199209995596E-2</v>
      </c>
    </row>
    <row r="54" spans="1:3" x14ac:dyDescent="0.15">
      <c r="A54" t="s">
        <v>54</v>
      </c>
      <c r="B54" s="17">
        <f>IFERROR(SUMIFS('Full List'!B:B,'Full List'!A:A,MN!$A54,'Full List'!E:E,MN!$A$1),"")</f>
        <v>1230639</v>
      </c>
      <c r="C54" s="18">
        <f t="shared" si="0"/>
        <v>0.35404596755400713</v>
      </c>
    </row>
    <row r="55" spans="1:3" x14ac:dyDescent="0.15">
      <c r="A55" t="s">
        <v>55</v>
      </c>
      <c r="B55" s="17">
        <f>IFERROR(SUMIFS('Full List'!B:B,'Full List'!A:A,MN!$A55,'Full List'!E:E,MN!$A$1),"")</f>
        <v>1319668</v>
      </c>
      <c r="C55" s="18">
        <f t="shared" si="0"/>
        <v>0.37965896896657875</v>
      </c>
    </row>
    <row r="56" spans="1:3" x14ac:dyDescent="0.15">
      <c r="A56" t="s">
        <v>56</v>
      </c>
      <c r="B56" s="17">
        <f>IFERROR(SUMIFS('Full List'!B:B,'Full List'!A:A,MN!$A56,'Full List'!E:E,MN!$A$1),"")</f>
        <v>765933</v>
      </c>
      <c r="C56" s="18">
        <f t="shared" si="0"/>
        <v>0.22035340182339691</v>
      </c>
    </row>
    <row r="57" spans="1:3" x14ac:dyDescent="0.15">
      <c r="A57" t="s">
        <v>57</v>
      </c>
      <c r="B57" s="17">
        <f>IFERROR(SUMIFS('Full List'!B:B,'Full List'!A:A,MN!$A57,'Full List'!E:E,MN!$A$1),"")</f>
        <v>372440</v>
      </c>
      <c r="C57" s="18">
        <f t="shared" si="0"/>
        <v>0.10714830275638462</v>
      </c>
    </row>
    <row r="58" spans="1:3" x14ac:dyDescent="0.15">
      <c r="A58" t="s">
        <v>58</v>
      </c>
      <c r="B58" s="17">
        <f>IFERROR(SUMIFS('Full List'!B:B,'Full List'!A:A,MN!$A58,'Full List'!E:E,MN!$A$1),"")</f>
        <v>496716</v>
      </c>
      <c r="C58" s="18">
        <f t="shared" si="0"/>
        <v>0.14290161194270309</v>
      </c>
    </row>
    <row r="59" spans="1:3" x14ac:dyDescent="0.15">
      <c r="A59" t="s">
        <v>59</v>
      </c>
      <c r="B59" s="17">
        <f>IFERROR(SUMIFS('Full List'!B:B,'Full List'!A:A,MN!$A59,'Full List'!E:E,MN!$A$1),"")</f>
        <v>2028693</v>
      </c>
      <c r="C59" s="18">
        <f t="shared" si="0"/>
        <v>0.5836403494892014</v>
      </c>
    </row>
    <row r="60" spans="1:3" x14ac:dyDescent="0.15">
      <c r="A60" t="s">
        <v>60</v>
      </c>
      <c r="B60" s="17">
        <f>IFERROR(SUMIFS('Full List'!B:B,'Full List'!A:A,MN!$A60,'Full List'!E:E,MN!$A$1),"")</f>
        <v>396859</v>
      </c>
      <c r="C60" s="18">
        <f t="shared" si="0"/>
        <v>0.11417347299859318</v>
      </c>
    </row>
    <row r="61" spans="1:3" x14ac:dyDescent="0.15">
      <c r="A61" t="s">
        <v>61</v>
      </c>
      <c r="B61" s="17">
        <f>IFERROR(SUMIFS('Full List'!B:B,'Full List'!A:A,MN!$A61,'Full List'!E:E,MN!$A$1),"")</f>
        <v>548163</v>
      </c>
      <c r="C61" s="18">
        <f t="shared" si="0"/>
        <v>0.15770254291657196</v>
      </c>
    </row>
    <row r="62" spans="1:3" x14ac:dyDescent="0.15">
      <c r="A62" t="s">
        <v>62</v>
      </c>
      <c r="B62" s="17">
        <f>IFERROR(SUMIFS('Full List'!B:B,'Full List'!A:A,MN!$A62,'Full List'!E:E,MN!$A$1),"")</f>
        <v>164527</v>
      </c>
      <c r="C62" s="18">
        <f t="shared" si="0"/>
        <v>4.7333231681880819E-2</v>
      </c>
    </row>
    <row r="63" spans="1:3" x14ac:dyDescent="0.15">
      <c r="A63" t="s">
        <v>63</v>
      </c>
      <c r="B63" s="17">
        <f>IFERROR(SUMIFS('Full List'!B:B,'Full List'!A:A,MN!$A63,'Full List'!E:E,MN!$A$1),"")</f>
        <v>402243</v>
      </c>
      <c r="C63" s="18">
        <f t="shared" si="0"/>
        <v>0.11572241098065841</v>
      </c>
    </row>
    <row r="64" spans="1:3" x14ac:dyDescent="0.15">
      <c r="A64" t="s">
        <v>64</v>
      </c>
      <c r="B64" s="17">
        <f>IFERROR(SUMIFS('Full List'!B:B,'Full List'!A:A,MN!$A64,'Full List'!E:E,MN!$A$1),"")</f>
        <v>245188</v>
      </c>
      <c r="C64" s="18">
        <f t="shared" si="0"/>
        <v>7.0538819826636331E-2</v>
      </c>
    </row>
    <row r="65" spans="1:3" x14ac:dyDescent="0.15">
      <c r="A65" t="s">
        <v>65</v>
      </c>
      <c r="B65" s="17">
        <f>IFERROR(SUMIFS('Full List'!B:B,'Full List'!A:A,MN!$A65,'Full List'!E:E,MN!$A$1),"")</f>
        <v>500214</v>
      </c>
      <c r="C65" s="18">
        <f t="shared" si="0"/>
        <v>0.1439079613225813</v>
      </c>
    </row>
    <row r="66" spans="1:3" x14ac:dyDescent="0.15">
      <c r="A66" t="s">
        <v>66</v>
      </c>
      <c r="B66" s="17">
        <f>IFERROR(SUMIFS('Full List'!B:B,'Full List'!A:A,MN!$A66,'Full List'!E:E,MN!$A$1),"")</f>
        <v>205632</v>
      </c>
      <c r="C66" s="18">
        <f t="shared" si="0"/>
        <v>5.9158843820215024E-2</v>
      </c>
    </row>
    <row r="67" spans="1:3" x14ac:dyDescent="0.15">
      <c r="A67" t="s">
        <v>67</v>
      </c>
      <c r="B67" s="17">
        <f>IFERROR(SUMIFS('Full List'!B:B,'Full List'!A:A,MN!$A67,'Full List'!E:E,MN!$A$1),"")</f>
        <v>817630</v>
      </c>
      <c r="C67" s="18">
        <f t="shared" ref="C67:C82" si="1">IFERROR(B67/$B$2,"")</f>
        <v>0.23522625599479852</v>
      </c>
    </row>
    <row r="68" spans="1:3" x14ac:dyDescent="0.15">
      <c r="A68" t="s">
        <v>68</v>
      </c>
      <c r="B68" s="17">
        <f>IFERROR(SUMIFS('Full List'!B:B,'Full List'!A:A,MN!$A68,'Full List'!E:E,MN!$A$1),"")</f>
        <v>1217686</v>
      </c>
      <c r="C68" s="18">
        <f t="shared" si="1"/>
        <v>0.35031948284344044</v>
      </c>
    </row>
    <row r="69" spans="1:3" x14ac:dyDescent="0.15">
      <c r="A69" t="s">
        <v>69</v>
      </c>
      <c r="B69" s="17">
        <f>IFERROR(SUMIFS('Full List'!B:B,'Full List'!A:A,MN!$A69,'Full List'!E:E,MN!$A$1),"")</f>
        <v>2521748</v>
      </c>
      <c r="C69" s="18">
        <f t="shared" si="1"/>
        <v>0.72548871812723503</v>
      </c>
    </row>
    <row r="70" spans="1:3" x14ac:dyDescent="0.15">
      <c r="A70" t="s">
        <v>70</v>
      </c>
      <c r="B70" s="17">
        <f>IFERROR(SUMIFS('Full List'!B:B,'Full List'!A:A,MN!$A70,'Full List'!E:E,MN!$A$1),"")</f>
        <v>1312376</v>
      </c>
      <c r="C70" s="18">
        <f t="shared" si="1"/>
        <v>0.37756111314094359</v>
      </c>
    </row>
    <row r="71" spans="1:3" x14ac:dyDescent="0.15">
      <c r="A71" t="s">
        <v>71</v>
      </c>
      <c r="B71" s="17">
        <f>IFERROR(SUMIFS('Full List'!B:B,'Full List'!A:A,MN!$A71,'Full List'!E:E,MN!$A$1),"")</f>
        <v>169174</v>
      </c>
      <c r="C71" s="18">
        <f t="shared" si="1"/>
        <v>4.8670140077619516E-2</v>
      </c>
    </row>
    <row r="72" spans="1:3" x14ac:dyDescent="0.15">
      <c r="A72" t="s">
        <v>72</v>
      </c>
      <c r="B72" s="17">
        <f>IFERROR(SUMIFS('Full List'!B:B,'Full List'!A:A,MN!$A72,'Full List'!E:E,MN!$A$1),"")</f>
        <v>334626</v>
      </c>
      <c r="C72" s="18">
        <f t="shared" si="1"/>
        <v>9.6269487590371502E-2</v>
      </c>
    </row>
    <row r="73" spans="1:3" x14ac:dyDescent="0.15">
      <c r="A73" t="s">
        <v>73</v>
      </c>
      <c r="B73" s="17">
        <f>IFERROR(SUMIFS('Full List'!B:B,'Full List'!A:A,MN!$A73,'Full List'!E:E,MN!$A$1),"")</f>
        <v>2275556</v>
      </c>
      <c r="C73" s="18">
        <f t="shared" si="1"/>
        <v>0.65466105473930714</v>
      </c>
    </row>
    <row r="74" spans="1:3" x14ac:dyDescent="0.15">
      <c r="A74" t="s">
        <v>74</v>
      </c>
      <c r="B74" s="17">
        <f>IFERROR(SUMIFS('Full List'!B:B,'Full List'!A:A,MN!$A74,'Full List'!E:E,MN!$A$1),"")</f>
        <v>1127343</v>
      </c>
      <c r="C74" s="18">
        <f t="shared" si="1"/>
        <v>0.32432845310463676</v>
      </c>
    </row>
    <row r="75" spans="1:3" x14ac:dyDescent="0.15">
      <c r="A75" t="s">
        <v>75</v>
      </c>
      <c r="B75" s="17">
        <f>IFERROR(SUMIFS('Full List'!B:B,'Full List'!A:A,MN!$A75,'Full List'!E:E,MN!$A$1),"")</f>
        <v>444609</v>
      </c>
      <c r="C75" s="18">
        <f t="shared" si="1"/>
        <v>0.12791080372734778</v>
      </c>
    </row>
    <row r="76" spans="1:3" x14ac:dyDescent="0.15">
      <c r="A76" t="s">
        <v>76</v>
      </c>
      <c r="B76" s="17">
        <f>IFERROR(SUMIFS('Full List'!B:B,'Full List'!A:A,MN!$A76,'Full List'!E:E,MN!$A$1),"")</f>
        <v>437683</v>
      </c>
      <c r="C76" s="18">
        <f t="shared" si="1"/>
        <v>0.12591824346290056</v>
      </c>
    </row>
    <row r="77" spans="1:3" x14ac:dyDescent="0.15">
      <c r="A77" t="s">
        <v>77</v>
      </c>
      <c r="B77" s="17">
        <f>IFERROR(SUMIFS('Full List'!B:B,'Full List'!A:A,MN!$A77,'Full List'!E:E,MN!$A$1),"")</f>
        <v>431417</v>
      </c>
      <c r="C77" s="18">
        <f t="shared" si="1"/>
        <v>0.12411556043993982</v>
      </c>
    </row>
    <row r="78" spans="1:3" x14ac:dyDescent="0.15">
      <c r="A78" t="s">
        <v>78</v>
      </c>
      <c r="B78" s="17">
        <f>IFERROR(SUMIFS('Full List'!B:B,'Full List'!A:A,MN!$A78,'Full List'!E:E,MN!$A$1),"")</f>
        <v>379070</v>
      </c>
      <c r="C78" s="18">
        <f t="shared" si="1"/>
        <v>0.10905570595495306</v>
      </c>
    </row>
    <row r="79" spans="1:3" x14ac:dyDescent="0.15">
      <c r="A79" t="s">
        <v>79</v>
      </c>
      <c r="B79" s="17">
        <f>IFERROR(SUMIFS('Full List'!B:B,'Full List'!A:A,MN!$A79,'Full List'!E:E,MN!$A$1),"")</f>
        <v>547611</v>
      </c>
      <c r="C79" s="18">
        <f t="shared" si="1"/>
        <v>0.15754373649641967</v>
      </c>
    </row>
    <row r="80" spans="1:3" x14ac:dyDescent="0.15">
      <c r="A80" t="s">
        <v>80</v>
      </c>
      <c r="B80" s="17">
        <f>IFERROR(SUMIFS('Full List'!B:B,'Full List'!A:A,MN!$A80,'Full List'!E:E,MN!$A$1),"")</f>
        <v>817886</v>
      </c>
      <c r="C80" s="18">
        <f t="shared" si="1"/>
        <v>0.23529990534907205</v>
      </c>
    </row>
    <row r="81" spans="1:6" x14ac:dyDescent="0.15">
      <c r="A81" t="s">
        <v>81</v>
      </c>
      <c r="B81" s="17">
        <f>IFERROR(SUMIFS('Full List'!B:B,'Full List'!A:A,MN!$A81,'Full List'!E:E,MN!$A$1),"")</f>
        <v>486675</v>
      </c>
      <c r="C81" s="18">
        <f t="shared" si="1"/>
        <v>0.14001288863699787</v>
      </c>
    </row>
    <row r="82" spans="1:6" x14ac:dyDescent="0.15">
      <c r="A82" t="s">
        <v>82</v>
      </c>
      <c r="B82" s="17">
        <f>IFERROR(SUMIFS('Full List'!B:B,'Full List'!A:A,MN!$A82,'Full List'!E:E,MN!$A$1),"")</f>
        <v>326811</v>
      </c>
      <c r="C82" s="18">
        <f t="shared" si="1"/>
        <v>9.4021168435497834E-2</v>
      </c>
    </row>
    <row r="83" spans="1:6" x14ac:dyDescent="0.15">
      <c r="B83" s="17"/>
      <c r="C83" s="18"/>
      <c r="D83" t="s">
        <v>812</v>
      </c>
      <c r="E83" t="s">
        <v>860</v>
      </c>
      <c r="F83" t="s">
        <v>1349</v>
      </c>
    </row>
    <row r="84" spans="1:6" x14ac:dyDescent="0.15">
      <c r="A84" t="s">
        <v>974</v>
      </c>
      <c r="B84" s="17">
        <v>2350563</v>
      </c>
      <c r="C84" s="18">
        <f t="shared" ref="C84:C90" si="2">IFERROR(B84/$B$2,"")</f>
        <v>0.67624002784866211</v>
      </c>
      <c r="D84">
        <v>27</v>
      </c>
      <c r="E84" t="str">
        <f>VLOOKUP(D84,Validation!$A$2:$C$41,3,FALSE)</f>
        <v xml:space="preserve">NFL </v>
      </c>
      <c r="F84" t="s">
        <v>1351</v>
      </c>
    </row>
    <row r="85" spans="1:6" x14ac:dyDescent="0.15">
      <c r="A85" t="s">
        <v>1074</v>
      </c>
      <c r="B85" s="17">
        <v>2138333</v>
      </c>
      <c r="C85" s="18">
        <f t="shared" si="2"/>
        <v>0.61518298699916285</v>
      </c>
      <c r="D85">
        <v>17</v>
      </c>
      <c r="E85" t="str">
        <f>VLOOKUP(D85,Validation!$A$2:$C$41,3,FALSE)</f>
        <v>MLB</v>
      </c>
      <c r="F85" t="s">
        <v>1351</v>
      </c>
    </row>
    <row r="86" spans="1:6" x14ac:dyDescent="0.15">
      <c r="A86" t="s">
        <v>1077</v>
      </c>
      <c r="B86" s="17">
        <v>1066475</v>
      </c>
      <c r="C86" s="18">
        <f t="shared" si="2"/>
        <v>0.30681716835494388</v>
      </c>
      <c r="D86">
        <v>5</v>
      </c>
      <c r="E86" t="str">
        <f>VLOOKUP(D86,Validation!$A$2:$C$41,3,FALSE)</f>
        <v>CFB</v>
      </c>
      <c r="F86" t="s">
        <v>1350</v>
      </c>
    </row>
    <row r="87" spans="1:6" x14ac:dyDescent="0.15">
      <c r="A87" t="s">
        <v>1073</v>
      </c>
      <c r="B87" s="17">
        <v>958138</v>
      </c>
      <c r="C87" s="18">
        <f t="shared" si="2"/>
        <v>0.27564939455052317</v>
      </c>
      <c r="D87">
        <v>26</v>
      </c>
      <c r="E87" t="str">
        <f>VLOOKUP(D87,Validation!$A$2:$C$41,3,FALSE)</f>
        <v xml:space="preserve">NBA </v>
      </c>
      <c r="F87" t="s">
        <v>1351</v>
      </c>
    </row>
    <row r="88" spans="1:6" x14ac:dyDescent="0.15">
      <c r="A88" t="s">
        <v>1075</v>
      </c>
      <c r="B88" s="17">
        <v>936414</v>
      </c>
      <c r="C88" s="18">
        <f t="shared" si="2"/>
        <v>0.26939955637771762</v>
      </c>
      <c r="D88">
        <v>28</v>
      </c>
      <c r="E88" t="str">
        <f>VLOOKUP(D88,Validation!$A$2:$C$41,3,FALSE)</f>
        <v xml:space="preserve">NHL </v>
      </c>
      <c r="F88" t="s">
        <v>1350</v>
      </c>
    </row>
    <row r="89" spans="1:6" x14ac:dyDescent="0.15">
      <c r="A89" t="s">
        <v>1076</v>
      </c>
      <c r="B89" s="17">
        <v>818080</v>
      </c>
      <c r="C89" s="18">
        <f t="shared" si="2"/>
        <v>0.23535571775035746</v>
      </c>
      <c r="D89">
        <v>4</v>
      </c>
      <c r="E89" t="str">
        <f>VLOOKUP(D89,Validation!$A$2:$C$41,3,FALSE)</f>
        <v>MCB</v>
      </c>
      <c r="F89" t="s">
        <v>1350</v>
      </c>
    </row>
    <row r="90" spans="1:6" x14ac:dyDescent="0.15">
      <c r="A90" t="s">
        <v>1078</v>
      </c>
      <c r="B90" s="17">
        <v>576988</v>
      </c>
      <c r="C90" s="18">
        <f t="shared" si="2"/>
        <v>0.16599528759209767</v>
      </c>
      <c r="D90">
        <v>6</v>
      </c>
      <c r="E90" t="str">
        <f>VLOOKUP(D90,Validation!$A$2:$C$41,3,FALSE)</f>
        <v>CH</v>
      </c>
      <c r="F90" t="s">
        <v>1350</v>
      </c>
    </row>
    <row r="91" spans="1:6" x14ac:dyDescent="0.15">
      <c r="B91" s="17"/>
      <c r="C91" s="18"/>
    </row>
    <row r="92" spans="1:6" x14ac:dyDescent="0.15">
      <c r="B92" s="17"/>
      <c r="C92" s="18"/>
    </row>
    <row r="93" spans="1:6" x14ac:dyDescent="0.15">
      <c r="B93" s="17"/>
      <c r="C93" s="18"/>
    </row>
    <row r="94" spans="1:6" x14ac:dyDescent="0.15">
      <c r="B94" s="17"/>
      <c r="C94" s="18"/>
    </row>
    <row r="95" spans="1:6" x14ac:dyDescent="0.15">
      <c r="B95" s="17"/>
      <c r="C95" s="18"/>
    </row>
    <row r="96" spans="1:6" x14ac:dyDescent="0.15">
      <c r="B96" s="17"/>
      <c r="C96" s="18"/>
    </row>
    <row r="97" spans="2:3" x14ac:dyDescent="0.15">
      <c r="B97" s="17"/>
      <c r="C97" s="18"/>
    </row>
  </sheetData>
  <pageMargins left="0.7" right="0.7" top="0.75" bottom="0.75" header="0.3" footer="0.3"/>
  <pageSetup orientation="portrait" verticalDpi="0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 enableFormatConditionsCalculation="0"/>
  <dimension ref="A1:F101"/>
  <sheetViews>
    <sheetView topLeftCell="A69" zoomScale="85" zoomScaleNormal="85" zoomScalePageLayoutView="85" workbookViewId="0">
      <selection activeCell="A99" sqref="A99"/>
    </sheetView>
  </sheetViews>
  <sheetFormatPr baseColWidth="10" defaultColWidth="8.83203125" defaultRowHeight="13" x14ac:dyDescent="0.15"/>
  <cols>
    <col min="1" max="1" width="33.33203125" bestFit="1" customWidth="1"/>
    <col min="2" max="2" width="10.5" bestFit="1" customWidth="1"/>
  </cols>
  <sheetData>
    <row r="1" spans="1:3" x14ac:dyDescent="0.15">
      <c r="A1" t="s">
        <v>206</v>
      </c>
      <c r="B1" t="s">
        <v>807</v>
      </c>
      <c r="C1" t="s">
        <v>811</v>
      </c>
    </row>
    <row r="2" spans="1:3" x14ac:dyDescent="0.15">
      <c r="A2" t="s">
        <v>0</v>
      </c>
      <c r="B2" s="17">
        <f>IFERROR(SUMIFS('Full List'!B:B,'Full List'!A:A,MO!$A2,'Full List'!E:E,MO!$A$1),"")</f>
        <v>2873065</v>
      </c>
      <c r="C2" s="18">
        <f>IFERROR(B2/$B$2,"")</f>
        <v>1</v>
      </c>
    </row>
    <row r="3" spans="1:3" x14ac:dyDescent="0.15">
      <c r="A3" t="s">
        <v>3</v>
      </c>
      <c r="B3" s="17">
        <f>IFERROR(SUMIFS('Full List'!B:B,'Full List'!A:A,MO!$A3,'Full List'!E:E,MO!$A$1),"")</f>
        <v>74159</v>
      </c>
      <c r="C3" s="18">
        <f t="shared" ref="C3:C66" si="0">IFERROR(B3/$B$2,"")</f>
        <v>2.5811807251141204E-2</v>
      </c>
    </row>
    <row r="4" spans="1:3" x14ac:dyDescent="0.15">
      <c r="A4" t="s">
        <v>4</v>
      </c>
      <c r="B4" s="17">
        <f>IFERROR(SUMIFS('Full List'!B:B,'Full List'!A:A,MO!$A4,'Full List'!E:E,MO!$A$1),"")</f>
        <v>60669</v>
      </c>
      <c r="C4" s="18">
        <f t="shared" si="0"/>
        <v>2.1116473174118928E-2</v>
      </c>
    </row>
    <row r="5" spans="1:3" x14ac:dyDescent="0.15">
      <c r="A5" t="s">
        <v>5</v>
      </c>
      <c r="B5" s="17">
        <f>IFERROR(SUMIFS('Full List'!B:B,'Full List'!A:A,MO!$A5,'Full List'!E:E,MO!$A$1),"")</f>
        <v>84439</v>
      </c>
      <c r="C5" s="18">
        <f t="shared" si="0"/>
        <v>2.9389867615247131E-2</v>
      </c>
    </row>
    <row r="6" spans="1:3" x14ac:dyDescent="0.15">
      <c r="A6" t="s">
        <v>6</v>
      </c>
      <c r="B6" s="17">
        <f>IFERROR(SUMIFS('Full List'!B:B,'Full List'!A:A,MO!$A6,'Full List'!E:E,MO!$A$1),"")</f>
        <v>415627</v>
      </c>
      <c r="C6" s="18">
        <f t="shared" si="0"/>
        <v>0.14466327771909093</v>
      </c>
    </row>
    <row r="7" spans="1:3" x14ac:dyDescent="0.15">
      <c r="A7" t="s">
        <v>7</v>
      </c>
      <c r="B7" s="17">
        <f>IFERROR(SUMIFS('Full List'!B:B,'Full List'!A:A,MO!$A7,'Full List'!E:E,MO!$A$1),"")</f>
        <v>479020</v>
      </c>
      <c r="C7" s="18">
        <f t="shared" si="0"/>
        <v>0.16672786727762859</v>
      </c>
    </row>
    <row r="8" spans="1:3" x14ac:dyDescent="0.15">
      <c r="A8" t="s">
        <v>8</v>
      </c>
      <c r="B8" s="17">
        <f>IFERROR(SUMIFS('Full List'!B:B,'Full List'!A:A,MO!$A8,'Full List'!E:E,MO!$A$1),"")</f>
        <v>37937</v>
      </c>
      <c r="C8" s="18">
        <f t="shared" si="0"/>
        <v>1.3204365372868348E-2</v>
      </c>
    </row>
    <row r="9" spans="1:3" x14ac:dyDescent="0.15">
      <c r="A9" t="s">
        <v>9</v>
      </c>
      <c r="B9" s="17">
        <f>IFERROR(SUMIFS('Full List'!B:B,'Full List'!A:A,MO!$A9,'Full List'!E:E,MO!$A$1),"")</f>
        <v>68277</v>
      </c>
      <c r="C9" s="18">
        <f t="shared" si="0"/>
        <v>2.3764516291834677E-2</v>
      </c>
    </row>
    <row r="10" spans="1:3" x14ac:dyDescent="0.15">
      <c r="A10" t="s">
        <v>10</v>
      </c>
      <c r="B10" s="17">
        <f>IFERROR(SUMIFS('Full List'!B:B,'Full List'!A:A,MO!$A10,'Full List'!E:E,MO!$A$1),"")</f>
        <v>70586</v>
      </c>
      <c r="C10" s="18">
        <f t="shared" si="0"/>
        <v>2.4568187632371702E-2</v>
      </c>
    </row>
    <row r="11" spans="1:3" x14ac:dyDescent="0.15">
      <c r="A11" t="s">
        <v>11</v>
      </c>
      <c r="B11" s="17">
        <f>IFERROR(SUMIFS('Full List'!B:B,'Full List'!A:A,MO!$A11,'Full List'!E:E,MO!$A$1),"")</f>
        <v>197215</v>
      </c>
      <c r="C11" s="18">
        <f t="shared" si="0"/>
        <v>6.8642721275014668E-2</v>
      </c>
    </row>
    <row r="12" spans="1:3" x14ac:dyDescent="0.15">
      <c r="A12" t="s">
        <v>12</v>
      </c>
      <c r="B12" s="17">
        <f>IFERROR(SUMIFS('Full List'!B:B,'Full List'!A:A,MO!$A12,'Full List'!E:E,MO!$A$1),"")</f>
        <v>45246</v>
      </c>
      <c r="C12" s="18">
        <f t="shared" si="0"/>
        <v>1.5748338446919925E-2</v>
      </c>
    </row>
    <row r="13" spans="1:3" x14ac:dyDescent="0.15">
      <c r="A13" t="s">
        <v>13</v>
      </c>
      <c r="B13" s="17">
        <f>IFERROR(SUMIFS('Full List'!B:B,'Full List'!A:A,MO!$A13,'Full List'!E:E,MO!$A$1),"")</f>
        <v>40538</v>
      </c>
      <c r="C13" s="18">
        <f t="shared" si="0"/>
        <v>1.410967033464262E-2</v>
      </c>
    </row>
    <row r="14" spans="1:3" x14ac:dyDescent="0.15">
      <c r="A14" t="s">
        <v>14</v>
      </c>
      <c r="B14" s="17">
        <f>IFERROR(SUMIFS('Full List'!B:B,'Full List'!A:A,MO!$A14,'Full List'!E:E,MO!$A$1),"")</f>
        <v>240765</v>
      </c>
      <c r="C14" s="18">
        <f t="shared" si="0"/>
        <v>8.3800749373926453E-2</v>
      </c>
    </row>
    <row r="15" spans="1:3" x14ac:dyDescent="0.15">
      <c r="A15" t="s">
        <v>15</v>
      </c>
      <c r="B15" s="17">
        <f>IFERROR(SUMIFS('Full List'!B:B,'Full List'!A:A,MO!$A15,'Full List'!E:E,MO!$A$1),"")</f>
        <v>163196</v>
      </c>
      <c r="C15" s="18">
        <f t="shared" si="0"/>
        <v>5.6802056340528317E-2</v>
      </c>
    </row>
    <row r="16" spans="1:3" x14ac:dyDescent="0.15">
      <c r="A16" t="s">
        <v>16</v>
      </c>
      <c r="B16" s="17">
        <f>IFERROR(SUMIFS('Full List'!B:B,'Full List'!A:A,MO!$A16,'Full List'!E:E,MO!$A$1),"")</f>
        <v>79216</v>
      </c>
      <c r="C16" s="18">
        <f t="shared" si="0"/>
        <v>2.7571948424417826E-2</v>
      </c>
    </row>
    <row r="17" spans="1:3" x14ac:dyDescent="0.15">
      <c r="A17" t="s">
        <v>17</v>
      </c>
      <c r="B17" s="17">
        <f>IFERROR(SUMIFS('Full List'!B:B,'Full List'!A:A,MO!$A17,'Full List'!E:E,MO!$A$1),"")</f>
        <v>59034</v>
      </c>
      <c r="C17" s="18">
        <f t="shared" si="0"/>
        <v>2.0547394507259668E-2</v>
      </c>
    </row>
    <row r="18" spans="1:3" x14ac:dyDescent="0.15">
      <c r="A18" t="s">
        <v>18</v>
      </c>
      <c r="B18" s="17">
        <f>IFERROR(SUMIFS('Full List'!B:B,'Full List'!A:A,MO!$A18,'Full List'!E:E,MO!$A$1),"")</f>
        <v>56712</v>
      </c>
      <c r="C18" s="18">
        <f t="shared" si="0"/>
        <v>1.9739198382215509E-2</v>
      </c>
    </row>
    <row r="19" spans="1:3" x14ac:dyDescent="0.15">
      <c r="A19" t="s">
        <v>19</v>
      </c>
      <c r="B19" s="17">
        <f>IFERROR(SUMIFS('Full List'!B:B,'Full List'!A:A,MO!$A19,'Full List'!E:E,MO!$A$1),"")</f>
        <v>771306</v>
      </c>
      <c r="C19" s="18">
        <f t="shared" si="0"/>
        <v>0.26846103377403574</v>
      </c>
    </row>
    <row r="20" spans="1:3" x14ac:dyDescent="0.15">
      <c r="A20" t="s">
        <v>20</v>
      </c>
      <c r="B20" s="17">
        <f>IFERROR(SUMIFS('Full List'!B:B,'Full List'!A:A,MO!$A20,'Full List'!E:E,MO!$A$1),"")</f>
        <v>107722</v>
      </c>
      <c r="C20" s="18">
        <f t="shared" si="0"/>
        <v>3.749375666753102E-2</v>
      </c>
    </row>
    <row r="21" spans="1:3" x14ac:dyDescent="0.15">
      <c r="A21" t="s">
        <v>21</v>
      </c>
      <c r="B21" s="17">
        <f>IFERROR(SUMIFS('Full List'!B:B,'Full List'!A:A,MO!$A21,'Full List'!E:E,MO!$A$1),"")</f>
        <v>85189</v>
      </c>
      <c r="C21" s="18">
        <f t="shared" si="0"/>
        <v>2.9650912875274316E-2</v>
      </c>
    </row>
    <row r="22" spans="1:3" x14ac:dyDescent="0.15">
      <c r="A22" t="s">
        <v>22</v>
      </c>
      <c r="B22" s="17">
        <f>IFERROR(SUMIFS('Full List'!B:B,'Full List'!A:A,MO!$A22,'Full List'!E:E,MO!$A$1),"")</f>
        <v>14293</v>
      </c>
      <c r="C22" s="18">
        <f t="shared" si="0"/>
        <v>4.9748265354247123E-3</v>
      </c>
    </row>
    <row r="23" spans="1:3" x14ac:dyDescent="0.15">
      <c r="A23" t="s">
        <v>23</v>
      </c>
      <c r="B23" s="17">
        <f>IFERROR(SUMIFS('Full List'!B:B,'Full List'!A:A,MO!$A23,'Full List'!E:E,MO!$A$1),"")</f>
        <v>35315</v>
      </c>
      <c r="C23" s="18">
        <f t="shared" si="0"/>
        <v>1.2291751143813314E-2</v>
      </c>
    </row>
    <row r="24" spans="1:3" x14ac:dyDescent="0.15">
      <c r="A24" t="s">
        <v>24</v>
      </c>
      <c r="B24" s="17">
        <f>IFERROR(SUMIFS('Full List'!B:B,'Full List'!A:A,MO!$A24,'Full List'!E:E,MO!$A$1),"")</f>
        <v>45270</v>
      </c>
      <c r="C24" s="18">
        <f t="shared" si="0"/>
        <v>1.5756691895240798E-2</v>
      </c>
    </row>
    <row r="25" spans="1:3" x14ac:dyDescent="0.15">
      <c r="A25" t="s">
        <v>25</v>
      </c>
      <c r="B25" s="17">
        <f>IFERROR(SUMIFS('Full List'!B:B,'Full List'!A:A,MO!$A25,'Full List'!E:E,MO!$A$1),"")</f>
        <v>156236</v>
      </c>
      <c r="C25" s="18">
        <f t="shared" si="0"/>
        <v>5.4379556327476056E-2</v>
      </c>
    </row>
    <row r="26" spans="1:3" x14ac:dyDescent="0.15">
      <c r="A26" t="s">
        <v>26</v>
      </c>
      <c r="B26" s="17">
        <f>IFERROR(SUMIFS('Full List'!B:B,'Full List'!A:A,MO!$A26,'Full List'!E:E,MO!$A$1),"")</f>
        <v>58245</v>
      </c>
      <c r="C26" s="18">
        <f t="shared" si="0"/>
        <v>2.0272774893711071E-2</v>
      </c>
    </row>
    <row r="27" spans="1:3" x14ac:dyDescent="0.15">
      <c r="A27" t="s">
        <v>27</v>
      </c>
      <c r="B27" s="17">
        <f>IFERROR(SUMIFS('Full List'!B:B,'Full List'!A:A,MO!$A27,'Full List'!E:E,MO!$A$1),"")</f>
        <v>230266</v>
      </c>
      <c r="C27" s="18">
        <f t="shared" si="0"/>
        <v>8.0146463793892592E-2</v>
      </c>
    </row>
    <row r="28" spans="1:3" x14ac:dyDescent="0.15">
      <c r="A28" t="s">
        <v>28</v>
      </c>
      <c r="B28" s="17">
        <f>IFERROR(SUMIFS('Full List'!B:B,'Full List'!A:A,MO!$A28,'Full List'!E:E,MO!$A$1),"")</f>
        <v>147951</v>
      </c>
      <c r="C28" s="18">
        <f t="shared" si="0"/>
        <v>5.1495876355042436E-2</v>
      </c>
    </row>
    <row r="29" spans="1:3" x14ac:dyDescent="0.15">
      <c r="A29" t="s">
        <v>29</v>
      </c>
      <c r="B29" s="17">
        <f>IFERROR(SUMIFS('Full List'!B:B,'Full List'!A:A,MO!$A29,'Full List'!E:E,MO!$A$1),"")</f>
        <v>811179</v>
      </c>
      <c r="C29" s="18">
        <f t="shared" si="0"/>
        <v>0.28233924397812094</v>
      </c>
    </row>
    <row r="30" spans="1:3" x14ac:dyDescent="0.15">
      <c r="A30" t="s">
        <v>30</v>
      </c>
      <c r="B30" s="17">
        <f>IFERROR(SUMIFS('Full List'!B:B,'Full List'!A:A,MO!$A30,'Full List'!E:E,MO!$A$1),"")</f>
        <v>235125</v>
      </c>
      <c r="C30" s="18">
        <f t="shared" si="0"/>
        <v>8.1837689018522036E-2</v>
      </c>
    </row>
    <row r="31" spans="1:3" x14ac:dyDescent="0.15">
      <c r="A31" t="s">
        <v>31</v>
      </c>
      <c r="B31" s="17">
        <f>IFERROR(SUMIFS('Full List'!B:B,'Full List'!A:A,MO!$A31,'Full List'!E:E,MO!$A$1),"")</f>
        <v>34624</v>
      </c>
      <c r="C31" s="18">
        <f t="shared" si="0"/>
        <v>1.2051241444241603E-2</v>
      </c>
    </row>
    <row r="32" spans="1:3" x14ac:dyDescent="0.15">
      <c r="A32" t="s">
        <v>32</v>
      </c>
      <c r="B32" s="17">
        <f>IFERROR(SUMIFS('Full List'!B:B,'Full List'!A:A,MO!$A32,'Full List'!E:E,MO!$A$1),"")</f>
        <v>77740</v>
      </c>
      <c r="C32" s="18">
        <f t="shared" si="0"/>
        <v>2.7058211352684328E-2</v>
      </c>
    </row>
    <row r="33" spans="1:3" x14ac:dyDescent="0.15">
      <c r="A33" t="s">
        <v>33</v>
      </c>
      <c r="B33" s="17">
        <f>IFERROR(SUMIFS('Full List'!B:B,'Full List'!A:A,MO!$A33,'Full List'!E:E,MO!$A$1),"")</f>
        <v>729550</v>
      </c>
      <c r="C33" s="18">
        <f t="shared" si="0"/>
        <v>0.25392742593710899</v>
      </c>
    </row>
    <row r="34" spans="1:3" x14ac:dyDescent="0.15">
      <c r="A34" t="s">
        <v>34</v>
      </c>
      <c r="B34" s="17">
        <f>IFERROR(SUMIFS('Full List'!B:B,'Full List'!A:A,MO!$A34,'Full List'!E:E,MO!$A$1),"")</f>
        <v>163228</v>
      </c>
      <c r="C34" s="18">
        <f t="shared" si="0"/>
        <v>5.6813194271622812E-2</v>
      </c>
    </row>
    <row r="35" spans="1:3" x14ac:dyDescent="0.15">
      <c r="A35" t="s">
        <v>35</v>
      </c>
      <c r="B35" s="17">
        <f>IFERROR(SUMIFS('Full List'!B:B,'Full List'!A:A,MO!$A35,'Full List'!E:E,MO!$A$1),"")</f>
        <v>109044</v>
      </c>
      <c r="C35" s="18">
        <f t="shared" si="0"/>
        <v>3.7953892445872266E-2</v>
      </c>
    </row>
    <row r="36" spans="1:3" x14ac:dyDescent="0.15">
      <c r="A36" t="s">
        <v>36</v>
      </c>
      <c r="B36" s="17">
        <f>IFERROR(SUMIFS('Full List'!B:B,'Full List'!A:A,MO!$A36,'Full List'!E:E,MO!$A$1),"")</f>
        <v>90404</v>
      </c>
      <c r="C36" s="18">
        <f t="shared" si="0"/>
        <v>3.1466047583329999E-2</v>
      </c>
    </row>
    <row r="37" spans="1:3" x14ac:dyDescent="0.15">
      <c r="A37" t="s">
        <v>37</v>
      </c>
      <c r="B37" s="17">
        <f>IFERROR(SUMIFS('Full List'!B:B,'Full List'!A:A,MO!$A37,'Full List'!E:E,MO!$A$1),"")</f>
        <v>51424</v>
      </c>
      <c r="C37" s="18">
        <f t="shared" si="0"/>
        <v>1.7898655268850514E-2</v>
      </c>
    </row>
    <row r="38" spans="1:3" x14ac:dyDescent="0.15">
      <c r="A38" t="s">
        <v>38</v>
      </c>
      <c r="B38" s="17">
        <f>IFERROR(SUMIFS('Full List'!B:B,'Full List'!A:A,MO!$A38,'Full List'!E:E,MO!$A$1),"")</f>
        <v>81252</v>
      </c>
      <c r="C38" s="18">
        <f t="shared" si="0"/>
        <v>2.8280599290304954E-2</v>
      </c>
    </row>
    <row r="39" spans="1:3" x14ac:dyDescent="0.15">
      <c r="A39" t="s">
        <v>39</v>
      </c>
      <c r="B39" s="17">
        <f>IFERROR(SUMIFS('Full List'!B:B,'Full List'!A:A,MO!$A39,'Full List'!E:E,MO!$A$1),"")</f>
        <v>110472</v>
      </c>
      <c r="C39" s="18">
        <f t="shared" si="0"/>
        <v>3.8450922620964022E-2</v>
      </c>
    </row>
    <row r="40" spans="1:3" x14ac:dyDescent="0.15">
      <c r="A40" t="s">
        <v>40</v>
      </c>
      <c r="B40" s="17">
        <f>IFERROR(SUMIFS('Full List'!B:B,'Full List'!A:A,MO!$A40,'Full List'!E:E,MO!$A$1),"")</f>
        <v>61229</v>
      </c>
      <c r="C40" s="18">
        <f t="shared" si="0"/>
        <v>2.1311386968272557E-2</v>
      </c>
    </row>
    <row r="41" spans="1:3" x14ac:dyDescent="0.15">
      <c r="A41" t="s">
        <v>41</v>
      </c>
      <c r="B41" s="17">
        <f>IFERROR(SUMIFS('Full List'!B:B,'Full List'!A:A,MO!$A41,'Full List'!E:E,MO!$A$1),"")</f>
        <v>102587</v>
      </c>
      <c r="C41" s="18">
        <f t="shared" si="0"/>
        <v>3.5706466787211566E-2</v>
      </c>
    </row>
    <row r="42" spans="1:3" x14ac:dyDescent="0.15">
      <c r="A42" t="s">
        <v>42</v>
      </c>
      <c r="B42" s="17">
        <f>IFERROR(SUMIFS('Full List'!B:B,'Full List'!A:A,MO!$A42,'Full List'!E:E,MO!$A$1),"")</f>
        <v>138903</v>
      </c>
      <c r="C42" s="18">
        <f t="shared" si="0"/>
        <v>4.8346626338074496E-2</v>
      </c>
    </row>
    <row r="43" spans="1:3" x14ac:dyDescent="0.15">
      <c r="A43" t="s">
        <v>43</v>
      </c>
      <c r="B43" s="17">
        <f>IFERROR(SUMIFS('Full List'!B:B,'Full List'!A:A,MO!$A43,'Full List'!E:E,MO!$A$1),"")</f>
        <v>292053</v>
      </c>
      <c r="C43" s="18">
        <f t="shared" si="0"/>
        <v>0.10165206843562537</v>
      </c>
    </row>
    <row r="44" spans="1:3" x14ac:dyDescent="0.15">
      <c r="A44" t="s">
        <v>44</v>
      </c>
      <c r="B44" s="17">
        <f>IFERROR(SUMIFS('Full List'!B:B,'Full List'!A:A,MO!$A44,'Full List'!E:E,MO!$A$1),"")</f>
        <v>317204</v>
      </c>
      <c r="C44" s="18">
        <f t="shared" si="0"/>
        <v>0.11040613421555029</v>
      </c>
    </row>
    <row r="45" spans="1:3" x14ac:dyDescent="0.15">
      <c r="A45" t="s">
        <v>45</v>
      </c>
      <c r="B45" s="17">
        <f>IFERROR(SUMIFS('Full List'!B:B,'Full List'!A:A,MO!$A45,'Full List'!E:E,MO!$A$1),"")</f>
        <v>549311</v>
      </c>
      <c r="C45" s="18">
        <f t="shared" si="0"/>
        <v>0.19119337710772294</v>
      </c>
    </row>
    <row r="46" spans="1:3" x14ac:dyDescent="0.15">
      <c r="A46" t="s">
        <v>46</v>
      </c>
      <c r="B46" s="17">
        <f>IFERROR(SUMIFS('Full List'!B:B,'Full List'!A:A,MO!$A46,'Full List'!E:E,MO!$A$1),"")</f>
        <v>1027961</v>
      </c>
      <c r="C46" s="18">
        <f t="shared" si="0"/>
        <v>0.35779246205707144</v>
      </c>
    </row>
    <row r="47" spans="1:3" x14ac:dyDescent="0.15">
      <c r="A47" t="s">
        <v>47</v>
      </c>
      <c r="B47" s="17">
        <f>IFERROR(SUMIFS('Full List'!B:B,'Full List'!A:A,MO!$A47,'Full List'!E:E,MO!$A$1),"")</f>
        <v>1209317</v>
      </c>
      <c r="C47" s="18">
        <f t="shared" si="0"/>
        <v>0.42091529429372465</v>
      </c>
    </row>
    <row r="48" spans="1:3" x14ac:dyDescent="0.15">
      <c r="A48" t="s">
        <v>48</v>
      </c>
      <c r="B48" s="17">
        <f>IFERROR(SUMIFS('Full List'!B:B,'Full List'!A:A,MO!$A48,'Full List'!E:E,MO!$A$1),"")</f>
        <v>280536</v>
      </c>
      <c r="C48" s="18">
        <f t="shared" si="0"/>
        <v>9.7643457422647933E-2</v>
      </c>
    </row>
    <row r="49" spans="1:3" x14ac:dyDescent="0.15">
      <c r="A49" t="s">
        <v>49</v>
      </c>
      <c r="B49" s="17">
        <f>IFERROR(SUMIFS('Full List'!B:B,'Full List'!A:A,MO!$A49,'Full List'!E:E,MO!$A$1),"")</f>
        <v>350020</v>
      </c>
      <c r="C49" s="18">
        <f t="shared" si="0"/>
        <v>0.12182808255295303</v>
      </c>
    </row>
    <row r="50" spans="1:3" x14ac:dyDescent="0.15">
      <c r="A50" t="s">
        <v>50</v>
      </c>
      <c r="B50" s="17">
        <f>IFERROR(SUMIFS('Full List'!B:B,'Full List'!A:A,MO!$A50,'Full List'!E:E,MO!$A$1),"")</f>
        <v>455084</v>
      </c>
      <c r="C50" s="18">
        <f t="shared" si="0"/>
        <v>0.15839669481894772</v>
      </c>
    </row>
    <row r="51" spans="1:3" x14ac:dyDescent="0.15">
      <c r="A51" t="s">
        <v>51</v>
      </c>
      <c r="B51" s="17">
        <f>IFERROR(SUMIFS('Full List'!B:B,'Full List'!A:A,MO!$A51,'Full List'!E:E,MO!$A$1),"")</f>
        <v>924350</v>
      </c>
      <c r="C51" s="18">
        <f t="shared" si="0"/>
        <v>0.3217295814748361</v>
      </c>
    </row>
    <row r="52" spans="1:3" x14ac:dyDescent="0.15">
      <c r="A52" t="s">
        <v>52</v>
      </c>
      <c r="B52" s="17">
        <f>IFERROR(SUMIFS('Full List'!B:B,'Full List'!A:A,MO!$A52,'Full List'!E:E,MO!$A$1),"")</f>
        <v>375773</v>
      </c>
      <c r="C52" s="18">
        <f t="shared" si="0"/>
        <v>0.13079168066159311</v>
      </c>
    </row>
    <row r="53" spans="1:3" x14ac:dyDescent="0.15">
      <c r="A53" t="s">
        <v>53</v>
      </c>
      <c r="B53" s="17">
        <f>IFERROR(SUMIFS('Full List'!B:B,'Full List'!A:A,MO!$A53,'Full List'!E:E,MO!$A$1),"")</f>
        <v>285672</v>
      </c>
      <c r="C53" s="18">
        <f t="shared" si="0"/>
        <v>9.9431095363314098E-2</v>
      </c>
    </row>
    <row r="54" spans="1:3" x14ac:dyDescent="0.15">
      <c r="A54" t="s">
        <v>54</v>
      </c>
      <c r="B54" s="17">
        <f>IFERROR(SUMIFS('Full List'!B:B,'Full List'!A:A,MO!$A54,'Full List'!E:E,MO!$A$1),"")</f>
        <v>1084883</v>
      </c>
      <c r="C54" s="18">
        <f t="shared" si="0"/>
        <v>0.37760475311209457</v>
      </c>
    </row>
    <row r="55" spans="1:3" x14ac:dyDescent="0.15">
      <c r="A55" t="s">
        <v>55</v>
      </c>
      <c r="B55" s="17">
        <f>IFERROR(SUMIFS('Full List'!B:B,'Full List'!A:A,MO!$A55,'Full List'!E:E,MO!$A$1),"")</f>
        <v>826683</v>
      </c>
      <c r="C55" s="18">
        <f t="shared" si="0"/>
        <v>0.28773557159340285</v>
      </c>
    </row>
    <row r="56" spans="1:3" x14ac:dyDescent="0.15">
      <c r="A56" t="s">
        <v>56</v>
      </c>
      <c r="B56" s="17">
        <f>IFERROR(SUMIFS('Full List'!B:B,'Full List'!A:A,MO!$A56,'Full List'!E:E,MO!$A$1),"")</f>
        <v>723351</v>
      </c>
      <c r="C56" s="18">
        <f t="shared" si="0"/>
        <v>0.2517697998478976</v>
      </c>
    </row>
    <row r="57" spans="1:3" x14ac:dyDescent="0.15">
      <c r="A57" t="s">
        <v>57</v>
      </c>
      <c r="B57" s="17">
        <f>IFERROR(SUMIFS('Full List'!B:B,'Full List'!A:A,MO!$A57,'Full List'!E:E,MO!$A$1),"")</f>
        <v>478699</v>
      </c>
      <c r="C57" s="18">
        <f t="shared" si="0"/>
        <v>0.16661613990633697</v>
      </c>
    </row>
    <row r="58" spans="1:3" x14ac:dyDescent="0.15">
      <c r="A58" t="s">
        <v>58</v>
      </c>
      <c r="B58" s="17">
        <f>IFERROR(SUMIFS('Full List'!B:B,'Full List'!A:A,MO!$A58,'Full List'!E:E,MO!$A$1),"")</f>
        <v>334261</v>
      </c>
      <c r="C58" s="18">
        <f t="shared" si="0"/>
        <v>0.11634299954926185</v>
      </c>
    </row>
    <row r="59" spans="1:3" x14ac:dyDescent="0.15">
      <c r="A59" t="s">
        <v>59</v>
      </c>
      <c r="B59" s="17">
        <f>IFERROR(SUMIFS('Full List'!B:B,'Full List'!A:A,MO!$A59,'Full List'!E:E,MO!$A$1),"")</f>
        <v>1872593</v>
      </c>
      <c r="C59" s="18">
        <f t="shared" si="0"/>
        <v>0.65177536881344489</v>
      </c>
    </row>
    <row r="60" spans="1:3" x14ac:dyDescent="0.15">
      <c r="A60" t="s">
        <v>60</v>
      </c>
      <c r="B60" s="17">
        <f>IFERROR(SUMIFS('Full List'!B:B,'Full List'!A:A,MO!$A60,'Full List'!E:E,MO!$A$1),"")</f>
        <v>536708</v>
      </c>
      <c r="C60" s="18">
        <f t="shared" si="0"/>
        <v>0.18680677255822614</v>
      </c>
    </row>
    <row r="61" spans="1:3" x14ac:dyDescent="0.15">
      <c r="A61" t="s">
        <v>61</v>
      </c>
      <c r="B61" s="17">
        <f>IFERROR(SUMIFS('Full List'!B:B,'Full List'!A:A,MO!$A61,'Full List'!E:E,MO!$A$1),"")</f>
        <v>493437</v>
      </c>
      <c r="C61" s="18">
        <f t="shared" si="0"/>
        <v>0.17174585329604447</v>
      </c>
    </row>
    <row r="62" spans="1:3" x14ac:dyDescent="0.15">
      <c r="A62" t="s">
        <v>62</v>
      </c>
      <c r="B62" s="17">
        <f>IFERROR(SUMIFS('Full List'!B:B,'Full List'!A:A,MO!$A62,'Full List'!E:E,MO!$A$1),"")</f>
        <v>182824</v>
      </c>
      <c r="C62" s="18">
        <f t="shared" si="0"/>
        <v>6.3633784825613063E-2</v>
      </c>
    </row>
    <row r="63" spans="1:3" x14ac:dyDescent="0.15">
      <c r="A63" t="s">
        <v>63</v>
      </c>
      <c r="B63" s="17">
        <f>IFERROR(SUMIFS('Full List'!B:B,'Full List'!A:A,MO!$A63,'Full List'!E:E,MO!$A$1),"")</f>
        <v>402219</v>
      </c>
      <c r="C63" s="18">
        <f t="shared" si="0"/>
        <v>0.13999648459049829</v>
      </c>
    </row>
    <row r="64" spans="1:3" x14ac:dyDescent="0.15">
      <c r="A64" t="s">
        <v>64</v>
      </c>
      <c r="B64" s="17">
        <f>IFERROR(SUMIFS('Full List'!B:B,'Full List'!A:A,MO!$A64,'Full List'!E:E,MO!$A$1),"")</f>
        <v>225723</v>
      </c>
      <c r="C64" s="18">
        <f t="shared" si="0"/>
        <v>7.8565225638821262E-2</v>
      </c>
    </row>
    <row r="65" spans="1:3" x14ac:dyDescent="0.15">
      <c r="A65" t="s">
        <v>65</v>
      </c>
      <c r="B65" s="17">
        <f>IFERROR(SUMIFS('Full List'!B:B,'Full List'!A:A,MO!$A65,'Full List'!E:E,MO!$A$1),"")</f>
        <v>505005</v>
      </c>
      <c r="C65" s="18">
        <f t="shared" si="0"/>
        <v>0.17577221538670373</v>
      </c>
    </row>
    <row r="66" spans="1:3" x14ac:dyDescent="0.15">
      <c r="A66" t="s">
        <v>66</v>
      </c>
      <c r="B66" s="17">
        <f>IFERROR(SUMIFS('Full List'!B:B,'Full List'!A:A,MO!$A66,'Full List'!E:E,MO!$A$1),"")</f>
        <v>247772</v>
      </c>
      <c r="C66" s="18">
        <f t="shared" si="0"/>
        <v>8.6239608223273756E-2</v>
      </c>
    </row>
    <row r="67" spans="1:3" x14ac:dyDescent="0.15">
      <c r="A67" t="s">
        <v>67</v>
      </c>
      <c r="B67" s="17">
        <f>IFERROR(SUMIFS('Full List'!B:B,'Full List'!A:A,MO!$A67,'Full List'!E:E,MO!$A$1),"")</f>
        <v>786253</v>
      </c>
      <c r="C67" s="18">
        <f t="shared" ref="C67:C82" si="1">IFERROR(B67/$B$2,"")</f>
        <v>0.27366349177620414</v>
      </c>
    </row>
    <row r="68" spans="1:3" x14ac:dyDescent="0.15">
      <c r="A68" t="s">
        <v>68</v>
      </c>
      <c r="B68" s="17">
        <f>IFERROR(SUMIFS('Full List'!B:B,'Full List'!A:A,MO!$A68,'Full List'!E:E,MO!$A$1),"")</f>
        <v>722231</v>
      </c>
      <c r="C68" s="18">
        <f t="shared" si="1"/>
        <v>0.25137997225959036</v>
      </c>
    </row>
    <row r="69" spans="1:3" x14ac:dyDescent="0.15">
      <c r="A69" t="s">
        <v>69</v>
      </c>
      <c r="B69" s="17">
        <f>IFERROR(SUMIFS('Full List'!B:B,'Full List'!A:A,MO!$A69,'Full List'!E:E,MO!$A$1),"")</f>
        <v>1775695</v>
      </c>
      <c r="C69" s="18">
        <f t="shared" si="1"/>
        <v>0.61804901733862616</v>
      </c>
    </row>
    <row r="70" spans="1:3" x14ac:dyDescent="0.15">
      <c r="A70" t="s">
        <v>70</v>
      </c>
      <c r="B70" s="17">
        <f>IFERROR(SUMIFS('Full List'!B:B,'Full List'!A:A,MO!$A70,'Full List'!E:E,MO!$A$1),"")</f>
        <v>921029</v>
      </c>
      <c r="C70" s="18">
        <f t="shared" si="1"/>
        <v>0.32057367306343576</v>
      </c>
    </row>
    <row r="71" spans="1:3" x14ac:dyDescent="0.15">
      <c r="A71" t="s">
        <v>71</v>
      </c>
      <c r="B71" s="17">
        <f>IFERROR(SUMIFS('Full List'!B:B,'Full List'!A:A,MO!$A71,'Full List'!E:E,MO!$A$1),"")</f>
        <v>155716</v>
      </c>
      <c r="C71" s="18">
        <f t="shared" si="1"/>
        <v>5.4198564947190546E-2</v>
      </c>
    </row>
    <row r="72" spans="1:3" x14ac:dyDescent="0.15">
      <c r="A72" t="s">
        <v>72</v>
      </c>
      <c r="B72" s="17">
        <f>IFERROR(SUMIFS('Full List'!B:B,'Full List'!A:A,MO!$A72,'Full List'!E:E,MO!$A$1),"")</f>
        <v>410485</v>
      </c>
      <c r="C72" s="18">
        <f t="shared" si="1"/>
        <v>0.14287355141634456</v>
      </c>
    </row>
    <row r="73" spans="1:3" x14ac:dyDescent="0.15">
      <c r="A73" t="s">
        <v>73</v>
      </c>
      <c r="B73" s="17">
        <f>IFERROR(SUMIFS('Full List'!B:B,'Full List'!A:A,MO!$A73,'Full List'!E:E,MO!$A$1),"")</f>
        <v>1710501</v>
      </c>
      <c r="C73" s="18">
        <f t="shared" si="1"/>
        <v>0.59535757109567655</v>
      </c>
    </row>
    <row r="74" spans="1:3" x14ac:dyDescent="0.15">
      <c r="A74" t="s">
        <v>74</v>
      </c>
      <c r="B74" s="17">
        <f>IFERROR(SUMIFS('Full List'!B:B,'Full List'!A:A,MO!$A74,'Full List'!E:E,MO!$A$1),"")</f>
        <v>727549</v>
      </c>
      <c r="C74" s="18">
        <f t="shared" si="1"/>
        <v>0.25323095718335648</v>
      </c>
    </row>
    <row r="75" spans="1:3" x14ac:dyDescent="0.15">
      <c r="A75" t="s">
        <v>75</v>
      </c>
      <c r="B75" s="17">
        <f>IFERROR(SUMIFS('Full List'!B:B,'Full List'!A:A,MO!$A75,'Full List'!E:E,MO!$A$1),"")</f>
        <v>487089</v>
      </c>
      <c r="C75" s="18">
        <f t="shared" si="1"/>
        <v>0.1695363662151744</v>
      </c>
    </row>
    <row r="76" spans="1:3" x14ac:dyDescent="0.15">
      <c r="A76" t="s">
        <v>76</v>
      </c>
      <c r="B76" s="17">
        <f>IFERROR(SUMIFS('Full List'!B:B,'Full List'!A:A,MO!$A76,'Full List'!E:E,MO!$A$1),"")</f>
        <v>527750</v>
      </c>
      <c r="C76" s="18">
        <f t="shared" si="1"/>
        <v>0.18368884797246146</v>
      </c>
    </row>
    <row r="77" spans="1:3" x14ac:dyDescent="0.15">
      <c r="A77" t="s">
        <v>77</v>
      </c>
      <c r="B77" s="17">
        <f>IFERROR(SUMIFS('Full List'!B:B,'Full List'!A:A,MO!$A77,'Full List'!E:E,MO!$A$1),"")</f>
        <v>463257</v>
      </c>
      <c r="C77" s="18">
        <f t="shared" si="1"/>
        <v>0.16124139203255061</v>
      </c>
    </row>
    <row r="78" spans="1:3" x14ac:dyDescent="0.15">
      <c r="A78" t="s">
        <v>78</v>
      </c>
      <c r="B78" s="17">
        <f>IFERROR(SUMIFS('Full List'!B:B,'Full List'!A:A,MO!$A78,'Full List'!E:E,MO!$A$1),"")</f>
        <v>359805</v>
      </c>
      <c r="C78" s="18">
        <f t="shared" si="1"/>
        <v>0.12523385304544102</v>
      </c>
    </row>
    <row r="79" spans="1:3" x14ac:dyDescent="0.15">
      <c r="A79" t="s">
        <v>79</v>
      </c>
      <c r="B79" s="17">
        <f>IFERROR(SUMIFS('Full List'!B:B,'Full List'!A:A,MO!$A79,'Full List'!E:E,MO!$A$1),"")</f>
        <v>476713</v>
      </c>
      <c r="C79" s="18">
        <f t="shared" si="1"/>
        <v>0.16592489205778499</v>
      </c>
    </row>
    <row r="80" spans="1:3" x14ac:dyDescent="0.15">
      <c r="A80" t="s">
        <v>80</v>
      </c>
      <c r="B80" s="17">
        <f>IFERROR(SUMIFS('Full List'!B:B,'Full List'!A:A,MO!$A80,'Full List'!E:E,MO!$A$1),"")</f>
        <v>347166</v>
      </c>
      <c r="C80" s="18">
        <f t="shared" si="1"/>
        <v>0.12083471832346292</v>
      </c>
    </row>
    <row r="81" spans="1:6" x14ac:dyDescent="0.15">
      <c r="A81" t="s">
        <v>81</v>
      </c>
      <c r="B81" s="17">
        <f>IFERROR(SUMIFS('Full List'!B:B,'Full List'!A:A,MO!$A81,'Full List'!E:E,MO!$A$1),"")</f>
        <v>509216</v>
      </c>
      <c r="C81" s="18">
        <f t="shared" si="1"/>
        <v>0.17723789750666971</v>
      </c>
    </row>
    <row r="82" spans="1:6" x14ac:dyDescent="0.15">
      <c r="A82" t="s">
        <v>82</v>
      </c>
      <c r="B82" s="17">
        <f>IFERROR(SUMIFS('Full List'!B:B,'Full List'!A:A,MO!$A82,'Full List'!E:E,MO!$A$1),"")</f>
        <v>407737</v>
      </c>
      <c r="C82" s="18">
        <f t="shared" si="1"/>
        <v>0.14191708158360497</v>
      </c>
    </row>
    <row r="83" spans="1:6" x14ac:dyDescent="0.15">
      <c r="B83" s="17"/>
      <c r="C83" s="18"/>
      <c r="D83" t="s">
        <v>812</v>
      </c>
      <c r="E83" t="s">
        <v>860</v>
      </c>
      <c r="F83" t="s">
        <v>1349</v>
      </c>
    </row>
    <row r="84" spans="1:6" x14ac:dyDescent="0.15">
      <c r="A84" t="s">
        <v>976</v>
      </c>
      <c r="B84" s="17">
        <v>1689287</v>
      </c>
      <c r="C84" s="18">
        <f t="shared" ref="C84:C101" si="2">IFERROR(B84/$B$2,"")</f>
        <v>0.58797381890072098</v>
      </c>
      <c r="D84">
        <v>17</v>
      </c>
      <c r="E84" t="str">
        <f>VLOOKUP(D84,Validation!$A$2:$C$41,3,FALSE)</f>
        <v>MLB</v>
      </c>
      <c r="F84" t="s">
        <v>1350</v>
      </c>
    </row>
    <row r="85" spans="1:6" x14ac:dyDescent="0.15">
      <c r="A85" t="s">
        <v>973</v>
      </c>
      <c r="B85" s="17">
        <v>1171636</v>
      </c>
      <c r="C85" s="18">
        <f t="shared" si="2"/>
        <v>0.40780003236961226</v>
      </c>
      <c r="D85">
        <v>17</v>
      </c>
      <c r="E85" t="str">
        <f>VLOOKUP(D85,Validation!$A$2:$C$41,3,FALSE)</f>
        <v>MLB</v>
      </c>
      <c r="F85" t="s">
        <v>1351</v>
      </c>
    </row>
    <row r="86" spans="1:6" x14ac:dyDescent="0.15">
      <c r="A86" t="s">
        <v>977</v>
      </c>
      <c r="B86" s="17">
        <v>995827</v>
      </c>
      <c r="C86" s="18">
        <f t="shared" si="2"/>
        <v>0.34660789087612009</v>
      </c>
      <c r="D86">
        <v>27</v>
      </c>
      <c r="E86" t="str">
        <f>VLOOKUP(D86,Validation!$A$2:$C$41,3,FALSE)</f>
        <v xml:space="preserve">NFL </v>
      </c>
      <c r="F86" t="s">
        <v>1351</v>
      </c>
    </row>
    <row r="87" spans="1:6" x14ac:dyDescent="0.15">
      <c r="A87" t="s">
        <v>1001</v>
      </c>
      <c r="B87" s="17">
        <v>993428</v>
      </c>
      <c r="C87" s="18">
        <f t="shared" si="2"/>
        <v>0.34577289410437984</v>
      </c>
      <c r="D87">
        <v>5</v>
      </c>
      <c r="E87" t="str">
        <f>VLOOKUP(D87,Validation!$A$2:$C$41,3,FALSE)</f>
        <v>CFB</v>
      </c>
      <c r="F87" t="s">
        <v>1350</v>
      </c>
    </row>
    <row r="88" spans="1:6" x14ac:dyDescent="0.15">
      <c r="A88" t="s">
        <v>972</v>
      </c>
      <c r="B88" s="17">
        <v>920223</v>
      </c>
      <c r="C88" s="18">
        <f t="shared" si="2"/>
        <v>0.32029313642399321</v>
      </c>
      <c r="D88">
        <v>27</v>
      </c>
      <c r="E88" t="str">
        <f>VLOOKUP(D88,Validation!$A$2:$C$41,3,FALSE)</f>
        <v xml:space="preserve">NFL </v>
      </c>
      <c r="F88" t="s">
        <v>1350</v>
      </c>
    </row>
    <row r="89" spans="1:6" x14ac:dyDescent="0.15">
      <c r="A89" t="s">
        <v>1000</v>
      </c>
      <c r="B89" s="17">
        <v>763411</v>
      </c>
      <c r="C89" s="18">
        <f t="shared" si="2"/>
        <v>0.26571309733681625</v>
      </c>
      <c r="D89">
        <v>4</v>
      </c>
      <c r="E89" t="str">
        <f>VLOOKUP(D89,Validation!$A$2:$C$41,3,FALSE)</f>
        <v>MCB</v>
      </c>
      <c r="F89" t="s">
        <v>1350</v>
      </c>
    </row>
    <row r="90" spans="1:6" x14ac:dyDescent="0.15">
      <c r="A90" t="s">
        <v>978</v>
      </c>
      <c r="B90" s="17">
        <v>619872</v>
      </c>
      <c r="C90" s="18">
        <f t="shared" si="2"/>
        <v>0.21575286323142706</v>
      </c>
      <c r="D90">
        <v>28</v>
      </c>
      <c r="E90" t="str">
        <f>VLOOKUP(D90,Validation!$A$2:$C$41,3,FALSE)</f>
        <v xml:space="preserve">NHL </v>
      </c>
      <c r="F90" t="s">
        <v>1351</v>
      </c>
    </row>
    <row r="91" spans="1:6" x14ac:dyDescent="0.15">
      <c r="A91" t="s">
        <v>1079</v>
      </c>
      <c r="B91" s="17">
        <v>401817</v>
      </c>
      <c r="C91" s="18">
        <f t="shared" si="2"/>
        <v>0.13985656433112373</v>
      </c>
      <c r="D91">
        <v>4</v>
      </c>
      <c r="E91" t="str">
        <f>VLOOKUP(D91,Validation!$A$2:$C$41,3,FALSE)</f>
        <v>MCB</v>
      </c>
      <c r="F91" t="s">
        <v>1350</v>
      </c>
    </row>
    <row r="92" spans="1:6" x14ac:dyDescent="0.15">
      <c r="A92" t="s">
        <v>996</v>
      </c>
      <c r="B92" s="17">
        <v>217328</v>
      </c>
      <c r="C92" s="18">
        <f t="shared" si="2"/>
        <v>7.5643259028250323E-2</v>
      </c>
      <c r="D92">
        <v>5</v>
      </c>
      <c r="E92" t="str">
        <f>VLOOKUP(D92,Validation!$A$2:$C$41,3,FALSE)</f>
        <v>CFB</v>
      </c>
      <c r="F92" t="s">
        <v>1350</v>
      </c>
    </row>
    <row r="93" spans="1:6" x14ac:dyDescent="0.15">
      <c r="A93" t="s">
        <v>995</v>
      </c>
      <c r="B93" s="17">
        <v>203469</v>
      </c>
      <c r="C93" s="18">
        <f t="shared" si="2"/>
        <v>7.081949068329467E-2</v>
      </c>
      <c r="D93">
        <v>4</v>
      </c>
      <c r="E93" t="str">
        <f>VLOOKUP(D93,Validation!$A$2:$C$41,3,FALSE)</f>
        <v>MCB</v>
      </c>
      <c r="F93" t="s">
        <v>1351</v>
      </c>
    </row>
    <row r="94" spans="1:6" x14ac:dyDescent="0.15">
      <c r="A94" t="s">
        <v>997</v>
      </c>
      <c r="B94" s="17">
        <v>196882</v>
      </c>
      <c r="C94" s="18">
        <f t="shared" si="2"/>
        <v>6.8526817179562591E-2</v>
      </c>
      <c r="D94">
        <v>5</v>
      </c>
      <c r="E94" t="str">
        <f>VLOOKUP(D94,Validation!$A$2:$C$41,3,FALSE)</f>
        <v>CFB</v>
      </c>
      <c r="F94" t="s">
        <v>1351</v>
      </c>
    </row>
    <row r="95" spans="1:6" x14ac:dyDescent="0.15">
      <c r="A95" t="s">
        <v>97</v>
      </c>
      <c r="B95" s="17">
        <v>150723</v>
      </c>
      <c r="C95" s="18">
        <f t="shared" si="2"/>
        <v>5.2460699636102906E-2</v>
      </c>
      <c r="D95">
        <v>18</v>
      </c>
      <c r="E95" t="str">
        <f>VLOOKUP(D95,Validation!$A$2:$C$41,3,FALSE)</f>
        <v>MLS</v>
      </c>
    </row>
    <row r="96" spans="1:6" x14ac:dyDescent="0.15">
      <c r="A96" t="s">
        <v>1082</v>
      </c>
      <c r="B96" s="17">
        <v>143749</v>
      </c>
      <c r="C96" s="18">
        <f t="shared" si="2"/>
        <v>5.0033326778196802E-2</v>
      </c>
      <c r="D96">
        <v>4</v>
      </c>
      <c r="E96" t="str">
        <f>VLOOKUP(D96,Validation!$A$2:$C$41,3,FALSE)</f>
        <v>MCB</v>
      </c>
      <c r="F96" t="s">
        <v>1351</v>
      </c>
    </row>
    <row r="97" spans="1:6" x14ac:dyDescent="0.15">
      <c r="A97" t="s">
        <v>1361</v>
      </c>
      <c r="B97" s="17">
        <v>121678</v>
      </c>
      <c r="C97" s="18">
        <f t="shared" si="2"/>
        <v>4.2351286866116847E-2</v>
      </c>
      <c r="D97">
        <v>5</v>
      </c>
      <c r="E97" t="str">
        <f>VLOOKUP(D97,Validation!$A$2:$C$41,3,FALSE)</f>
        <v>CFB</v>
      </c>
      <c r="F97" t="s">
        <v>1350</v>
      </c>
    </row>
    <row r="98" spans="1:6" x14ac:dyDescent="0.15">
      <c r="A98" t="s">
        <v>1362</v>
      </c>
      <c r="B98" s="17">
        <v>100503</v>
      </c>
      <c r="C98" s="18">
        <f t="shared" si="2"/>
        <v>3.4981109024682697E-2</v>
      </c>
      <c r="D98">
        <v>4</v>
      </c>
      <c r="E98" t="str">
        <f>VLOOKUP(D98,Validation!$A$2:$C$41,3,FALSE)</f>
        <v>MCB</v>
      </c>
      <c r="F98" t="s">
        <v>1350</v>
      </c>
    </row>
    <row r="99" spans="1:6" x14ac:dyDescent="0.15">
      <c r="A99" t="s">
        <v>1083</v>
      </c>
      <c r="B99" s="17">
        <v>90374</v>
      </c>
      <c r="C99" s="18">
        <f t="shared" si="2"/>
        <v>3.1455605772928913E-2</v>
      </c>
      <c r="D99">
        <v>4</v>
      </c>
      <c r="E99" t="str">
        <f>VLOOKUP(D99,Validation!$A$2:$C$41,3,FALSE)</f>
        <v>MCB</v>
      </c>
      <c r="F99" t="s">
        <v>1351</v>
      </c>
    </row>
    <row r="100" spans="1:6" x14ac:dyDescent="0.15">
      <c r="A100" t="s">
        <v>981</v>
      </c>
      <c r="B100" s="17">
        <v>58806</v>
      </c>
      <c r="C100" s="18">
        <f t="shared" si="2"/>
        <v>2.0468036748211405E-2</v>
      </c>
      <c r="D100">
        <v>5</v>
      </c>
      <c r="E100" t="str">
        <f>VLOOKUP(D100,Validation!$A$2:$C$41,3,FALSE)</f>
        <v>CFB</v>
      </c>
      <c r="F100" t="s">
        <v>1351</v>
      </c>
    </row>
    <row r="101" spans="1:6" x14ac:dyDescent="0.15">
      <c r="A101" t="s">
        <v>994</v>
      </c>
      <c r="B101" s="17">
        <v>40238</v>
      </c>
      <c r="C101" s="18">
        <f t="shared" si="2"/>
        <v>1.4005252230631747E-2</v>
      </c>
      <c r="D101">
        <v>4</v>
      </c>
      <c r="E101" t="str">
        <f>VLOOKUP(D101,Validation!$A$2:$C$41,3,FALSE)</f>
        <v>MCB</v>
      </c>
      <c r="F101" t="s">
        <v>1351</v>
      </c>
    </row>
  </sheetData>
  <pageMargins left="0.7" right="0.7" top="0.75" bottom="0.75" header="0.3" footer="0.3"/>
  <pageSetup orientation="portrait" verticalDpi="0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 enableFormatConditionsCalculation="0"/>
  <dimension ref="A1:F102"/>
  <sheetViews>
    <sheetView topLeftCell="A69" zoomScale="85" zoomScaleNormal="85" zoomScalePageLayoutView="85" workbookViewId="0">
      <selection activeCell="A92" sqref="A92"/>
    </sheetView>
  </sheetViews>
  <sheetFormatPr baseColWidth="10" defaultColWidth="8.83203125" defaultRowHeight="13" x14ac:dyDescent="0.15"/>
  <cols>
    <col min="1" max="1" width="32.6640625" customWidth="1"/>
    <col min="2" max="2" width="10.5" bestFit="1" customWidth="1"/>
  </cols>
  <sheetData>
    <row r="1" spans="1:3" x14ac:dyDescent="0.15">
      <c r="A1" t="s">
        <v>317</v>
      </c>
      <c r="B1" t="s">
        <v>807</v>
      </c>
      <c r="C1" t="s">
        <v>811</v>
      </c>
    </row>
    <row r="2" spans="1:3" x14ac:dyDescent="0.15">
      <c r="A2" t="s">
        <v>0</v>
      </c>
      <c r="B2" s="17">
        <f>IFERROR(SUMIFS('Full List'!B:B,'Full List'!A:A,NC!$A2,'Full List'!E:E,NC!$A$1),"")</f>
        <v>6003092</v>
      </c>
      <c r="C2" s="18">
        <f>IFERROR(B2/$B$2,"")</f>
        <v>1</v>
      </c>
    </row>
    <row r="3" spans="1:3" x14ac:dyDescent="0.15">
      <c r="A3" t="s">
        <v>3</v>
      </c>
      <c r="B3" s="17">
        <f>IFERROR(SUMIFS('Full List'!B:B,'Full List'!A:A,NC!$A3,'Full List'!E:E,NC!$A$1),"")</f>
        <v>102924</v>
      </c>
      <c r="C3" s="18">
        <f t="shared" ref="C3:C66" si="0">IFERROR(B3/$B$2,"")</f>
        <v>1.7145164525214671E-2</v>
      </c>
    </row>
    <row r="4" spans="1:3" x14ac:dyDescent="0.15">
      <c r="A4" t="s">
        <v>4</v>
      </c>
      <c r="B4" s="17">
        <f>IFERROR(SUMIFS('Full List'!B:B,'Full List'!A:A,NC!$A4,'Full List'!E:E,NC!$A$1),"")</f>
        <v>103663</v>
      </c>
      <c r="C4" s="18">
        <f t="shared" si="0"/>
        <v>1.7268267752684783E-2</v>
      </c>
    </row>
    <row r="5" spans="1:3" x14ac:dyDescent="0.15">
      <c r="A5" t="s">
        <v>5</v>
      </c>
      <c r="B5" s="17">
        <f>IFERROR(SUMIFS('Full List'!B:B,'Full List'!A:A,NC!$A5,'Full List'!E:E,NC!$A$1),"")</f>
        <v>291897</v>
      </c>
      <c r="C5" s="18">
        <f t="shared" si="0"/>
        <v>4.8624442204117477E-2</v>
      </c>
    </row>
    <row r="6" spans="1:3" x14ac:dyDescent="0.15">
      <c r="A6" t="s">
        <v>6</v>
      </c>
      <c r="B6" s="17">
        <f>IFERROR(SUMIFS('Full List'!B:B,'Full List'!A:A,NC!$A6,'Full List'!E:E,NC!$A$1),"")</f>
        <v>1321715</v>
      </c>
      <c r="C6" s="18">
        <f t="shared" si="0"/>
        <v>0.22017237117138969</v>
      </c>
    </row>
    <row r="7" spans="1:3" x14ac:dyDescent="0.15">
      <c r="A7" t="s">
        <v>7</v>
      </c>
      <c r="B7" s="17">
        <f>IFERROR(SUMIFS('Full List'!B:B,'Full List'!A:A,NC!$A7,'Full List'!E:E,NC!$A$1),"")</f>
        <v>1228318</v>
      </c>
      <c r="C7" s="18">
        <f t="shared" si="0"/>
        <v>0.20461422213752514</v>
      </c>
    </row>
    <row r="8" spans="1:3" x14ac:dyDescent="0.15">
      <c r="A8" t="s">
        <v>8</v>
      </c>
      <c r="B8" s="17">
        <f>IFERROR(SUMIFS('Full List'!B:B,'Full List'!A:A,NC!$A8,'Full List'!E:E,NC!$A$1),"")</f>
        <v>18387</v>
      </c>
      <c r="C8" s="18">
        <f t="shared" si="0"/>
        <v>3.062921574415318E-3</v>
      </c>
    </row>
    <row r="9" spans="1:3" x14ac:dyDescent="0.15">
      <c r="A9" t="s">
        <v>9</v>
      </c>
      <c r="B9" s="17">
        <f>IFERROR(SUMIFS('Full List'!B:B,'Full List'!A:A,NC!$A9,'Full List'!E:E,NC!$A$1),"")</f>
        <v>109902</v>
      </c>
      <c r="C9" s="18">
        <f t="shared" si="0"/>
        <v>1.8307565501245026E-2</v>
      </c>
    </row>
    <row r="10" spans="1:3" x14ac:dyDescent="0.15">
      <c r="A10" t="s">
        <v>10</v>
      </c>
      <c r="B10" s="17">
        <f>IFERROR(SUMIFS('Full List'!B:B,'Full List'!A:A,NC!$A10,'Full List'!E:E,NC!$A$1),"")</f>
        <v>138802</v>
      </c>
      <c r="C10" s="18">
        <f t="shared" si="0"/>
        <v>2.3121751257518624E-2</v>
      </c>
    </row>
    <row r="11" spans="1:3" x14ac:dyDescent="0.15">
      <c r="A11" t="s">
        <v>11</v>
      </c>
      <c r="B11" s="17">
        <f>IFERROR(SUMIFS('Full List'!B:B,'Full List'!A:A,NC!$A11,'Full List'!E:E,NC!$A$1),"")</f>
        <v>283795</v>
      </c>
      <c r="C11" s="18">
        <f t="shared" si="0"/>
        <v>4.7274804384140709E-2</v>
      </c>
    </row>
    <row r="12" spans="1:3" x14ac:dyDescent="0.15">
      <c r="A12" t="s">
        <v>12</v>
      </c>
      <c r="B12" s="17">
        <f>IFERROR(SUMIFS('Full List'!B:B,'Full List'!A:A,NC!$A12,'Full List'!E:E,NC!$A$1),"")</f>
        <v>134169</v>
      </c>
      <c r="C12" s="18">
        <f t="shared" si="0"/>
        <v>2.2349982309116702E-2</v>
      </c>
    </row>
    <row r="13" spans="1:3" x14ac:dyDescent="0.15">
      <c r="A13" t="s">
        <v>13</v>
      </c>
      <c r="B13" s="17">
        <f>IFERROR(SUMIFS('Full List'!B:B,'Full List'!A:A,NC!$A13,'Full List'!E:E,NC!$A$1),"")</f>
        <v>90348</v>
      </c>
      <c r="C13" s="18">
        <f t="shared" si="0"/>
        <v>1.5050244107536583E-2</v>
      </c>
    </row>
    <row r="14" spans="1:3" x14ac:dyDescent="0.15">
      <c r="A14" t="s">
        <v>14</v>
      </c>
      <c r="B14" s="17">
        <f>IFERROR(SUMIFS('Full List'!B:B,'Full List'!A:A,NC!$A14,'Full List'!E:E,NC!$A$1),"")</f>
        <v>395755</v>
      </c>
      <c r="C14" s="18">
        <f t="shared" si="0"/>
        <v>6.592519321709546E-2</v>
      </c>
    </row>
    <row r="15" spans="1:3" x14ac:dyDescent="0.15">
      <c r="A15" t="s">
        <v>15</v>
      </c>
      <c r="B15" s="17">
        <f>IFERROR(SUMIFS('Full List'!B:B,'Full List'!A:A,NC!$A15,'Full List'!E:E,NC!$A$1),"")</f>
        <v>341553</v>
      </c>
      <c r="C15" s="18">
        <f t="shared" si="0"/>
        <v>5.6896179502163219E-2</v>
      </c>
    </row>
    <row r="16" spans="1:3" x14ac:dyDescent="0.15">
      <c r="A16" t="s">
        <v>16</v>
      </c>
      <c r="B16" s="17">
        <f>IFERROR(SUMIFS('Full List'!B:B,'Full List'!A:A,NC!$A16,'Full List'!E:E,NC!$A$1),"")</f>
        <v>193116</v>
      </c>
      <c r="C16" s="18">
        <f t="shared" si="0"/>
        <v>3.2169422024516697E-2</v>
      </c>
    </row>
    <row r="17" spans="1:3" x14ac:dyDescent="0.15">
      <c r="A17" t="s">
        <v>17</v>
      </c>
      <c r="B17" s="17">
        <f>IFERROR(SUMIFS('Full List'!B:B,'Full List'!A:A,NC!$A17,'Full List'!E:E,NC!$A$1),"")</f>
        <v>121029</v>
      </c>
      <c r="C17" s="18">
        <f t="shared" si="0"/>
        <v>2.0161110307821369E-2</v>
      </c>
    </row>
    <row r="18" spans="1:3" x14ac:dyDescent="0.15">
      <c r="A18" t="s">
        <v>18</v>
      </c>
      <c r="B18" s="17">
        <f>IFERROR(SUMIFS('Full List'!B:B,'Full List'!A:A,NC!$A18,'Full List'!E:E,NC!$A$1),"")</f>
        <v>74471</v>
      </c>
      <c r="C18" s="18">
        <f t="shared" si="0"/>
        <v>1.2405440396382398E-2</v>
      </c>
    </row>
    <row r="19" spans="1:3" x14ac:dyDescent="0.15">
      <c r="A19" t="s">
        <v>19</v>
      </c>
      <c r="B19" s="17">
        <f>IFERROR(SUMIFS('Full List'!B:B,'Full List'!A:A,NC!$A19,'Full List'!E:E,NC!$A$1),"")</f>
        <v>448341</v>
      </c>
      <c r="C19" s="18">
        <f t="shared" si="0"/>
        <v>7.4685012323649214E-2</v>
      </c>
    </row>
    <row r="20" spans="1:3" x14ac:dyDescent="0.15">
      <c r="A20" t="s">
        <v>20</v>
      </c>
      <c r="B20" s="17">
        <f>IFERROR(SUMIFS('Full List'!B:B,'Full List'!A:A,NC!$A20,'Full List'!E:E,NC!$A$1),"")</f>
        <v>99541</v>
      </c>
      <c r="C20" s="18">
        <f t="shared" si="0"/>
        <v>1.6581621604333234E-2</v>
      </c>
    </row>
    <row r="21" spans="1:3" x14ac:dyDescent="0.15">
      <c r="A21" t="s">
        <v>21</v>
      </c>
      <c r="B21" s="17">
        <f>IFERROR(SUMIFS('Full List'!B:B,'Full List'!A:A,NC!$A21,'Full List'!E:E,NC!$A$1),"")</f>
        <v>178717</v>
      </c>
      <c r="C21" s="18">
        <f t="shared" si="0"/>
        <v>2.9770824768302735E-2</v>
      </c>
    </row>
    <row r="22" spans="1:3" x14ac:dyDescent="0.15">
      <c r="A22" t="s">
        <v>22</v>
      </c>
      <c r="B22" s="17">
        <f>IFERROR(SUMIFS('Full List'!B:B,'Full List'!A:A,NC!$A22,'Full List'!E:E,NC!$A$1),"")</f>
        <v>98981</v>
      </c>
      <c r="C22" s="18">
        <f t="shared" si="0"/>
        <v>1.6488336344004057E-2</v>
      </c>
    </row>
    <row r="23" spans="1:3" x14ac:dyDescent="0.15">
      <c r="A23" t="s">
        <v>23</v>
      </c>
      <c r="B23" s="17">
        <f>IFERROR(SUMIFS('Full List'!B:B,'Full List'!A:A,NC!$A23,'Full List'!E:E,NC!$A$1),"")</f>
        <v>120048</v>
      </c>
      <c r="C23" s="18">
        <f t="shared" si="0"/>
        <v>1.9997694521423293E-2</v>
      </c>
    </row>
    <row r="24" spans="1:3" x14ac:dyDescent="0.15">
      <c r="A24" t="s">
        <v>24</v>
      </c>
      <c r="B24" s="17">
        <f>IFERROR(SUMIFS('Full List'!B:B,'Full List'!A:A,NC!$A24,'Full List'!E:E,NC!$A$1),"")</f>
        <v>23620</v>
      </c>
      <c r="C24" s="18">
        <f t="shared" si="0"/>
        <v>3.934639016027074E-3</v>
      </c>
    </row>
    <row r="25" spans="1:3" x14ac:dyDescent="0.15">
      <c r="A25" t="s">
        <v>25</v>
      </c>
      <c r="B25" s="17">
        <f>IFERROR(SUMIFS('Full List'!B:B,'Full List'!A:A,NC!$A25,'Full List'!E:E,NC!$A$1),"")</f>
        <v>196063</v>
      </c>
      <c r="C25" s="18">
        <f t="shared" si="0"/>
        <v>3.2660335706998993E-2</v>
      </c>
    </row>
    <row r="26" spans="1:3" x14ac:dyDescent="0.15">
      <c r="A26" t="s">
        <v>26</v>
      </c>
      <c r="B26" s="17">
        <f>IFERROR(SUMIFS('Full List'!B:B,'Full List'!A:A,NC!$A26,'Full List'!E:E,NC!$A$1),"")</f>
        <v>76388</v>
      </c>
      <c r="C26" s="18">
        <f t="shared" si="0"/>
        <v>1.2724775832187812E-2</v>
      </c>
    </row>
    <row r="27" spans="1:3" x14ac:dyDescent="0.15">
      <c r="A27" t="s">
        <v>27</v>
      </c>
      <c r="B27" s="17">
        <f>IFERROR(SUMIFS('Full List'!B:B,'Full List'!A:A,NC!$A27,'Full List'!E:E,NC!$A$1),"")</f>
        <v>764696</v>
      </c>
      <c r="C27" s="18">
        <f t="shared" si="0"/>
        <v>0.12738368827264349</v>
      </c>
    </row>
    <row r="28" spans="1:3" x14ac:dyDescent="0.15">
      <c r="A28" t="s">
        <v>28</v>
      </c>
      <c r="B28" s="17">
        <f>IFERROR(SUMIFS('Full List'!B:B,'Full List'!A:A,NC!$A28,'Full List'!E:E,NC!$A$1),"")</f>
        <v>479684</v>
      </c>
      <c r="C28" s="18">
        <f t="shared" si="0"/>
        <v>7.9906155028108841E-2</v>
      </c>
    </row>
    <row r="29" spans="1:3" x14ac:dyDescent="0.15">
      <c r="A29" t="s">
        <v>29</v>
      </c>
      <c r="B29" s="17">
        <f>IFERROR(SUMIFS('Full List'!B:B,'Full List'!A:A,NC!$A29,'Full List'!E:E,NC!$A$1),"")</f>
        <v>1625998</v>
      </c>
      <c r="C29" s="18">
        <f t="shared" si="0"/>
        <v>0.27086008343700213</v>
      </c>
    </row>
    <row r="30" spans="1:3" x14ac:dyDescent="0.15">
      <c r="A30" t="s">
        <v>30</v>
      </c>
      <c r="B30" s="17">
        <f>IFERROR(SUMIFS('Full List'!B:B,'Full List'!A:A,NC!$A30,'Full List'!E:E,NC!$A$1),"")</f>
        <v>202371</v>
      </c>
      <c r="C30" s="18">
        <f t="shared" si="0"/>
        <v>3.3711127532278368E-2</v>
      </c>
    </row>
    <row r="31" spans="1:3" x14ac:dyDescent="0.15">
      <c r="A31" t="s">
        <v>31</v>
      </c>
      <c r="B31" s="17">
        <f>IFERROR(SUMIFS('Full List'!B:B,'Full List'!A:A,NC!$A31,'Full List'!E:E,NC!$A$1),"")</f>
        <v>69444</v>
      </c>
      <c r="C31" s="18">
        <f t="shared" si="0"/>
        <v>1.1568038604106018E-2</v>
      </c>
    </row>
    <row r="32" spans="1:3" x14ac:dyDescent="0.15">
      <c r="A32" t="s">
        <v>32</v>
      </c>
      <c r="B32" s="17">
        <f>IFERROR(SUMIFS('Full List'!B:B,'Full List'!A:A,NC!$A32,'Full List'!E:E,NC!$A$1),"")</f>
        <v>221827</v>
      </c>
      <c r="C32" s="18">
        <f t="shared" si="0"/>
        <v>3.6952124005429202E-2</v>
      </c>
    </row>
    <row r="33" spans="1:3" x14ac:dyDescent="0.15">
      <c r="A33" t="s">
        <v>33</v>
      </c>
      <c r="B33" s="17">
        <f>IFERROR(SUMIFS('Full List'!B:B,'Full List'!A:A,NC!$A33,'Full List'!E:E,NC!$A$1),"")</f>
        <v>1399366</v>
      </c>
      <c r="C33" s="18">
        <f t="shared" si="0"/>
        <v>0.23310753858178418</v>
      </c>
    </row>
    <row r="34" spans="1:3" x14ac:dyDescent="0.15">
      <c r="A34" t="s">
        <v>34</v>
      </c>
      <c r="B34" s="17">
        <f>IFERROR(SUMIFS('Full List'!B:B,'Full List'!A:A,NC!$A34,'Full List'!E:E,NC!$A$1),"")</f>
        <v>448489</v>
      </c>
      <c r="C34" s="18">
        <f t="shared" si="0"/>
        <v>7.4709666285307633E-2</v>
      </c>
    </row>
    <row r="35" spans="1:3" x14ac:dyDescent="0.15">
      <c r="A35" t="s">
        <v>35</v>
      </c>
      <c r="B35" s="17">
        <f>IFERROR(SUMIFS('Full List'!B:B,'Full List'!A:A,NC!$A35,'Full List'!E:E,NC!$A$1),"")</f>
        <v>313707</v>
      </c>
      <c r="C35" s="18">
        <f t="shared" si="0"/>
        <v>5.2257569932294891E-2</v>
      </c>
    </row>
    <row r="36" spans="1:3" x14ac:dyDescent="0.15">
      <c r="A36" t="s">
        <v>36</v>
      </c>
      <c r="B36" s="17">
        <f>IFERROR(SUMIFS('Full List'!B:B,'Full List'!A:A,NC!$A36,'Full List'!E:E,NC!$A$1),"")</f>
        <v>128347</v>
      </c>
      <c r="C36" s="18">
        <f t="shared" si="0"/>
        <v>2.1380148763337294E-2</v>
      </c>
    </row>
    <row r="37" spans="1:3" x14ac:dyDescent="0.15">
      <c r="A37" t="s">
        <v>37</v>
      </c>
      <c r="B37" s="17">
        <f>IFERROR(SUMIFS('Full List'!B:B,'Full List'!A:A,NC!$A37,'Full List'!E:E,NC!$A$1),"")</f>
        <v>80627</v>
      </c>
      <c r="C37" s="18">
        <f t="shared" si="0"/>
        <v>1.343091193671528E-2</v>
      </c>
    </row>
    <row r="38" spans="1:3" x14ac:dyDescent="0.15">
      <c r="A38" t="s">
        <v>38</v>
      </c>
      <c r="B38" s="17">
        <f>IFERROR(SUMIFS('Full List'!B:B,'Full List'!A:A,NC!$A38,'Full List'!E:E,NC!$A$1),"")</f>
        <v>97106</v>
      </c>
      <c r="C38" s="18">
        <f t="shared" si="0"/>
        <v>1.617599730272333E-2</v>
      </c>
    </row>
    <row r="39" spans="1:3" x14ac:dyDescent="0.15">
      <c r="A39" t="s">
        <v>39</v>
      </c>
      <c r="B39" s="17">
        <f>IFERROR(SUMIFS('Full List'!B:B,'Full List'!A:A,NC!$A39,'Full List'!E:E,NC!$A$1),"")</f>
        <v>362447</v>
      </c>
      <c r="C39" s="18">
        <f t="shared" si="0"/>
        <v>6.037671919737362E-2</v>
      </c>
    </row>
    <row r="40" spans="1:3" x14ac:dyDescent="0.15">
      <c r="A40" t="s">
        <v>40</v>
      </c>
      <c r="B40" s="17">
        <f>IFERROR(SUMIFS('Full List'!B:B,'Full List'!A:A,NC!$A40,'Full List'!E:E,NC!$A$1),"")</f>
        <v>94708</v>
      </c>
      <c r="C40" s="18">
        <f t="shared" si="0"/>
        <v>1.5776536491528034E-2</v>
      </c>
    </row>
    <row r="41" spans="1:3" x14ac:dyDescent="0.15">
      <c r="A41" t="s">
        <v>41</v>
      </c>
      <c r="B41" s="17">
        <f>IFERROR(SUMIFS('Full List'!B:B,'Full List'!A:A,NC!$A41,'Full List'!E:E,NC!$A$1),"")</f>
        <v>240512</v>
      </c>
      <c r="C41" s="18">
        <f t="shared" si="0"/>
        <v>4.00646866648054E-2</v>
      </c>
    </row>
    <row r="42" spans="1:3" x14ac:dyDescent="0.15">
      <c r="A42" t="s">
        <v>42</v>
      </c>
      <c r="B42" s="17">
        <f>IFERROR(SUMIFS('Full List'!B:B,'Full List'!A:A,NC!$A42,'Full List'!E:E,NC!$A$1),"")</f>
        <v>284241</v>
      </c>
      <c r="C42" s="18">
        <f t="shared" si="0"/>
        <v>4.7349099430760017E-2</v>
      </c>
    </row>
    <row r="43" spans="1:3" x14ac:dyDescent="0.15">
      <c r="A43" t="s">
        <v>43</v>
      </c>
      <c r="B43" s="17">
        <f>IFERROR(SUMIFS('Full List'!B:B,'Full List'!A:A,NC!$A43,'Full List'!E:E,NC!$A$1),"")</f>
        <v>552703</v>
      </c>
      <c r="C43" s="18">
        <f t="shared" si="0"/>
        <v>9.2069720070923455E-2</v>
      </c>
    </row>
    <row r="44" spans="1:3" x14ac:dyDescent="0.15">
      <c r="A44" t="s">
        <v>44</v>
      </c>
      <c r="B44" s="17">
        <f>IFERROR(SUMIFS('Full List'!B:B,'Full List'!A:A,NC!$A44,'Full List'!E:E,NC!$A$1),"")</f>
        <v>668915</v>
      </c>
      <c r="C44" s="18">
        <f t="shared" si="0"/>
        <v>0.11142841055909188</v>
      </c>
    </row>
    <row r="45" spans="1:3" x14ac:dyDescent="0.15">
      <c r="A45" t="s">
        <v>45</v>
      </c>
      <c r="B45" s="17">
        <f>IFERROR(SUMIFS('Full List'!B:B,'Full List'!A:A,NC!$A45,'Full List'!E:E,NC!$A$1),"")</f>
        <v>1381317</v>
      </c>
      <c r="C45" s="18">
        <f t="shared" si="0"/>
        <v>0.2301009213252104</v>
      </c>
    </row>
    <row r="46" spans="1:3" x14ac:dyDescent="0.15">
      <c r="A46" t="s">
        <v>46</v>
      </c>
      <c r="B46" s="17">
        <f>IFERROR(SUMIFS('Full List'!B:B,'Full List'!A:A,NC!$A46,'Full List'!E:E,NC!$A$1),"")</f>
        <v>2868759</v>
      </c>
      <c r="C46" s="18">
        <f t="shared" si="0"/>
        <v>0.47788023238690996</v>
      </c>
    </row>
    <row r="47" spans="1:3" x14ac:dyDescent="0.15">
      <c r="A47" t="s">
        <v>47</v>
      </c>
      <c r="B47" s="17">
        <f>IFERROR(SUMIFS('Full List'!B:B,'Full List'!A:A,NC!$A47,'Full List'!E:E,NC!$A$1),"")</f>
        <v>2815688</v>
      </c>
      <c r="C47" s="18">
        <f t="shared" si="0"/>
        <v>0.46903962158167822</v>
      </c>
    </row>
    <row r="48" spans="1:3" x14ac:dyDescent="0.15">
      <c r="A48" t="s">
        <v>48</v>
      </c>
      <c r="B48" s="17">
        <f>IFERROR(SUMIFS('Full List'!B:B,'Full List'!A:A,NC!$A48,'Full List'!E:E,NC!$A$1),"")</f>
        <v>413587</v>
      </c>
      <c r="C48" s="18">
        <f t="shared" si="0"/>
        <v>6.8895662435291674E-2</v>
      </c>
    </row>
    <row r="49" spans="1:3" x14ac:dyDescent="0.15">
      <c r="A49" t="s">
        <v>49</v>
      </c>
      <c r="B49" s="17">
        <f>IFERROR(SUMIFS('Full List'!B:B,'Full List'!A:A,NC!$A49,'Full List'!E:E,NC!$A$1),"")</f>
        <v>595350</v>
      </c>
      <c r="C49" s="18">
        <f t="shared" si="0"/>
        <v>9.9173892387456331E-2</v>
      </c>
    </row>
    <row r="50" spans="1:3" x14ac:dyDescent="0.15">
      <c r="A50" t="s">
        <v>50</v>
      </c>
      <c r="B50" s="17">
        <f>IFERROR(SUMIFS('Full List'!B:B,'Full List'!A:A,NC!$A50,'Full List'!E:E,NC!$A$1),"")</f>
        <v>965146</v>
      </c>
      <c r="C50" s="18">
        <f t="shared" si="0"/>
        <v>0.16077481404582838</v>
      </c>
    </row>
    <row r="51" spans="1:3" x14ac:dyDescent="0.15">
      <c r="A51" t="s">
        <v>51</v>
      </c>
      <c r="B51" s="17">
        <f>IFERROR(SUMIFS('Full List'!B:B,'Full List'!A:A,NC!$A51,'Full List'!E:E,NC!$A$1),"")</f>
        <v>1582056</v>
      </c>
      <c r="C51" s="18">
        <f t="shared" si="0"/>
        <v>0.26354018895595804</v>
      </c>
    </row>
    <row r="52" spans="1:3" x14ac:dyDescent="0.15">
      <c r="A52" t="s">
        <v>52</v>
      </c>
      <c r="B52" s="17">
        <f>IFERROR(SUMIFS('Full List'!B:B,'Full List'!A:A,NC!$A52,'Full List'!E:E,NC!$A$1),"")</f>
        <v>712880</v>
      </c>
      <c r="C52" s="18">
        <f t="shared" si="0"/>
        <v>0.11875213639904236</v>
      </c>
    </row>
    <row r="53" spans="1:3" x14ac:dyDescent="0.15">
      <c r="A53" t="s">
        <v>53</v>
      </c>
      <c r="B53" s="17">
        <f>IFERROR(SUMIFS('Full List'!B:B,'Full List'!A:A,NC!$A53,'Full List'!E:E,NC!$A$1),"")</f>
        <v>518429</v>
      </c>
      <c r="C53" s="18">
        <f t="shared" si="0"/>
        <v>8.6360328977133791E-2</v>
      </c>
    </row>
    <row r="54" spans="1:3" x14ac:dyDescent="0.15">
      <c r="A54" t="s">
        <v>54</v>
      </c>
      <c r="B54" s="17">
        <f>IFERROR(SUMIFS('Full List'!B:B,'Full List'!A:A,NC!$A54,'Full List'!E:E,NC!$A$1),"")</f>
        <v>1971100</v>
      </c>
      <c r="C54" s="18">
        <f t="shared" si="0"/>
        <v>0.32834745827650152</v>
      </c>
    </row>
    <row r="55" spans="1:3" x14ac:dyDescent="0.15">
      <c r="A55" t="s">
        <v>55</v>
      </c>
      <c r="B55" s="17">
        <f>IFERROR(SUMIFS('Full List'!B:B,'Full List'!A:A,NC!$A55,'Full List'!E:E,NC!$A$1),"")</f>
        <v>1723041</v>
      </c>
      <c r="C55" s="18">
        <f t="shared" si="0"/>
        <v>0.28702558614793844</v>
      </c>
    </row>
    <row r="56" spans="1:3" x14ac:dyDescent="0.15">
      <c r="A56" t="s">
        <v>56</v>
      </c>
      <c r="B56" s="17">
        <f>IFERROR(SUMIFS('Full List'!B:B,'Full List'!A:A,NC!$A56,'Full List'!E:E,NC!$A$1),"")</f>
        <v>1265531</v>
      </c>
      <c r="C56" s="18">
        <f t="shared" si="0"/>
        <v>0.21081319426722095</v>
      </c>
    </row>
    <row r="57" spans="1:3" x14ac:dyDescent="0.15">
      <c r="A57" t="s">
        <v>57</v>
      </c>
      <c r="B57" s="17">
        <f>IFERROR(SUMIFS('Full List'!B:B,'Full List'!A:A,NC!$A57,'Full List'!E:E,NC!$A$1),"")</f>
        <v>818183</v>
      </c>
      <c r="C57" s="18">
        <f t="shared" si="0"/>
        <v>0.13629359669983401</v>
      </c>
    </row>
    <row r="58" spans="1:3" x14ac:dyDescent="0.15">
      <c r="A58" t="s">
        <v>58</v>
      </c>
      <c r="B58" s="17">
        <f>IFERROR(SUMIFS('Full List'!B:B,'Full List'!A:A,NC!$A58,'Full List'!E:E,NC!$A$1),"")</f>
        <v>664148</v>
      </c>
      <c r="C58" s="18">
        <f t="shared" si="0"/>
        <v>0.11063431978053977</v>
      </c>
    </row>
    <row r="59" spans="1:3" x14ac:dyDescent="0.15">
      <c r="A59" t="s">
        <v>59</v>
      </c>
      <c r="B59" s="17">
        <f>IFERROR(SUMIFS('Full List'!B:B,'Full List'!A:A,NC!$A59,'Full List'!E:E,NC!$A$1),"")</f>
        <v>2144584</v>
      </c>
      <c r="C59" s="18">
        <f t="shared" si="0"/>
        <v>0.35724656560319251</v>
      </c>
    </row>
    <row r="60" spans="1:3" x14ac:dyDescent="0.15">
      <c r="A60" t="s">
        <v>60</v>
      </c>
      <c r="B60" s="17">
        <f>IFERROR(SUMIFS('Full List'!B:B,'Full List'!A:A,NC!$A60,'Full List'!E:E,NC!$A$1),"")</f>
        <v>762309</v>
      </c>
      <c r="C60" s="18">
        <f t="shared" si="0"/>
        <v>0.12698605985049038</v>
      </c>
    </row>
    <row r="61" spans="1:3" x14ac:dyDescent="0.15">
      <c r="A61" t="s">
        <v>61</v>
      </c>
      <c r="B61" s="17">
        <f>IFERROR(SUMIFS('Full List'!B:B,'Full List'!A:A,NC!$A61,'Full List'!E:E,NC!$A$1),"")</f>
        <v>983239</v>
      </c>
      <c r="C61" s="18">
        <f t="shared" si="0"/>
        <v>0.16378876085857089</v>
      </c>
    </row>
    <row r="62" spans="1:3" x14ac:dyDescent="0.15">
      <c r="A62" t="s">
        <v>62</v>
      </c>
      <c r="B62" s="17">
        <f>IFERROR(SUMIFS('Full List'!B:B,'Full List'!A:A,NC!$A62,'Full List'!E:E,NC!$A$1),"")</f>
        <v>435208</v>
      </c>
      <c r="C62" s="18">
        <f t="shared" si="0"/>
        <v>7.2497306388108002E-2</v>
      </c>
    </row>
    <row r="63" spans="1:3" x14ac:dyDescent="0.15">
      <c r="A63" t="s">
        <v>63</v>
      </c>
      <c r="B63" s="17">
        <f>IFERROR(SUMIFS('Full List'!B:B,'Full List'!A:A,NC!$A63,'Full List'!E:E,NC!$A$1),"")</f>
        <v>1060629</v>
      </c>
      <c r="C63" s="18">
        <f t="shared" si="0"/>
        <v>0.17668045067441912</v>
      </c>
    </row>
    <row r="64" spans="1:3" x14ac:dyDescent="0.15">
      <c r="A64" t="s">
        <v>64</v>
      </c>
      <c r="B64" s="17">
        <f>IFERROR(SUMIFS('Full List'!B:B,'Full List'!A:A,NC!$A64,'Full List'!E:E,NC!$A$1),"")</f>
        <v>346243</v>
      </c>
      <c r="C64" s="18">
        <f t="shared" si="0"/>
        <v>5.7677443557420077E-2</v>
      </c>
    </row>
    <row r="65" spans="1:3" x14ac:dyDescent="0.15">
      <c r="A65" t="s">
        <v>65</v>
      </c>
      <c r="B65" s="17">
        <f>IFERROR(SUMIFS('Full List'!B:B,'Full List'!A:A,NC!$A65,'Full List'!E:E,NC!$A$1),"")</f>
        <v>1033315</v>
      </c>
      <c r="C65" s="18">
        <f t="shared" si="0"/>
        <v>0.1721304621018635</v>
      </c>
    </row>
    <row r="66" spans="1:3" x14ac:dyDescent="0.15">
      <c r="A66" t="s">
        <v>66</v>
      </c>
      <c r="B66" s="17">
        <f>IFERROR(SUMIFS('Full List'!B:B,'Full List'!A:A,NC!$A66,'Full List'!E:E,NC!$A$1),"")</f>
        <v>471581</v>
      </c>
      <c r="C66" s="18">
        <f t="shared" si="0"/>
        <v>7.8556350627310062E-2</v>
      </c>
    </row>
    <row r="67" spans="1:3" x14ac:dyDescent="0.15">
      <c r="A67" t="s">
        <v>67</v>
      </c>
      <c r="B67" s="17">
        <f>IFERROR(SUMIFS('Full List'!B:B,'Full List'!A:A,NC!$A67,'Full List'!E:E,NC!$A$1),"")</f>
        <v>2218256</v>
      </c>
      <c r="C67" s="18">
        <f t="shared" ref="C67:C82" si="1">IFERROR(B67/$B$2,"")</f>
        <v>0.3695189079227838</v>
      </c>
    </row>
    <row r="68" spans="1:3" x14ac:dyDescent="0.15">
      <c r="A68" t="s">
        <v>68</v>
      </c>
      <c r="B68" s="17">
        <f>IFERROR(SUMIFS('Full List'!B:B,'Full List'!A:A,NC!$A68,'Full List'!E:E,NC!$A$1),"")</f>
        <v>1917013</v>
      </c>
      <c r="C68" s="18">
        <f t="shared" si="1"/>
        <v>0.31933760135610118</v>
      </c>
    </row>
    <row r="69" spans="1:3" x14ac:dyDescent="0.15">
      <c r="A69" t="s">
        <v>69</v>
      </c>
      <c r="B69" s="17">
        <f>IFERROR(SUMIFS('Full List'!B:B,'Full List'!A:A,NC!$A69,'Full List'!E:E,NC!$A$1),"")</f>
        <v>3511037</v>
      </c>
      <c r="C69" s="18">
        <f t="shared" si="1"/>
        <v>0.58487142958995131</v>
      </c>
    </row>
    <row r="70" spans="1:3" x14ac:dyDescent="0.15">
      <c r="A70" t="s">
        <v>70</v>
      </c>
      <c r="B70" s="17">
        <f>IFERROR(SUMIFS('Full List'!B:B,'Full List'!A:A,NC!$A70,'Full List'!E:E,NC!$A$1),"")</f>
        <v>1095148</v>
      </c>
      <c r="C70" s="18">
        <f t="shared" si="1"/>
        <v>0.18243065406960279</v>
      </c>
    </row>
    <row r="71" spans="1:3" x14ac:dyDescent="0.15">
      <c r="A71" t="s">
        <v>71</v>
      </c>
      <c r="B71" s="17">
        <f>IFERROR(SUMIFS('Full List'!B:B,'Full List'!A:A,NC!$A71,'Full List'!E:E,NC!$A$1),"")</f>
        <v>348647</v>
      </c>
      <c r="C71" s="18">
        <f t="shared" si="1"/>
        <v>5.8077903853547469E-2</v>
      </c>
    </row>
    <row r="72" spans="1:3" x14ac:dyDescent="0.15">
      <c r="A72" t="s">
        <v>72</v>
      </c>
      <c r="B72" s="17">
        <f>IFERROR(SUMIFS('Full List'!B:B,'Full List'!A:A,NC!$A72,'Full List'!E:E,NC!$A$1),"")</f>
        <v>893903</v>
      </c>
      <c r="C72" s="18">
        <f t="shared" si="1"/>
        <v>0.1489070965429149</v>
      </c>
    </row>
    <row r="73" spans="1:3" x14ac:dyDescent="0.15">
      <c r="A73" t="s">
        <v>73</v>
      </c>
      <c r="B73" s="17">
        <f>IFERROR(SUMIFS('Full List'!B:B,'Full List'!A:A,NC!$A73,'Full List'!E:E,NC!$A$1),"")</f>
        <v>3256868</v>
      </c>
      <c r="C73" s="18">
        <f t="shared" si="1"/>
        <v>0.54253174863886811</v>
      </c>
    </row>
    <row r="74" spans="1:3" x14ac:dyDescent="0.15">
      <c r="A74" t="s">
        <v>74</v>
      </c>
      <c r="B74" s="17">
        <f>IFERROR(SUMIFS('Full List'!B:B,'Full List'!A:A,NC!$A74,'Full List'!E:E,NC!$A$1),"")</f>
        <v>1607035</v>
      </c>
      <c r="C74" s="18">
        <f t="shared" si="1"/>
        <v>0.26770121130910535</v>
      </c>
    </row>
    <row r="75" spans="1:3" x14ac:dyDescent="0.15">
      <c r="A75" t="s">
        <v>75</v>
      </c>
      <c r="B75" s="17">
        <f>IFERROR(SUMIFS('Full List'!B:B,'Full List'!A:A,NC!$A75,'Full List'!E:E,NC!$A$1),"")</f>
        <v>1173764</v>
      </c>
      <c r="C75" s="18">
        <f t="shared" si="1"/>
        <v>0.19552657197324314</v>
      </c>
    </row>
    <row r="76" spans="1:3" x14ac:dyDescent="0.15">
      <c r="A76" t="s">
        <v>76</v>
      </c>
      <c r="B76" s="17">
        <f>IFERROR(SUMIFS('Full List'!B:B,'Full List'!A:A,NC!$A76,'Full List'!E:E,NC!$A$1),"")</f>
        <v>918782</v>
      </c>
      <c r="C76" s="18">
        <f t="shared" si="1"/>
        <v>0.15305146081386059</v>
      </c>
    </row>
    <row r="77" spans="1:3" x14ac:dyDescent="0.15">
      <c r="A77" t="s">
        <v>77</v>
      </c>
      <c r="B77" s="17">
        <f>IFERROR(SUMIFS('Full List'!B:B,'Full List'!A:A,NC!$A77,'Full List'!E:E,NC!$A$1),"")</f>
        <v>722853</v>
      </c>
      <c r="C77" s="18">
        <f t="shared" si="1"/>
        <v>0.12041344693701179</v>
      </c>
    </row>
    <row r="78" spans="1:3" x14ac:dyDescent="0.15">
      <c r="A78" t="s">
        <v>78</v>
      </c>
      <c r="B78" s="17">
        <f>IFERROR(SUMIFS('Full List'!B:B,'Full List'!A:A,NC!$A78,'Full List'!E:E,NC!$A$1),"")</f>
        <v>630219</v>
      </c>
      <c r="C78" s="18">
        <f t="shared" si="1"/>
        <v>0.10498239907034575</v>
      </c>
    </row>
    <row r="79" spans="1:3" x14ac:dyDescent="0.15">
      <c r="A79" t="s">
        <v>79</v>
      </c>
      <c r="B79" s="17">
        <f>IFERROR(SUMIFS('Full List'!B:B,'Full List'!A:A,NC!$A79,'Full List'!E:E,NC!$A$1),"")</f>
        <v>1113191</v>
      </c>
      <c r="C79" s="18">
        <f t="shared" si="1"/>
        <v>0.18543627184124448</v>
      </c>
    </row>
    <row r="80" spans="1:3" x14ac:dyDescent="0.15">
      <c r="A80" t="s">
        <v>80</v>
      </c>
      <c r="B80" s="17">
        <f>IFERROR(SUMIFS('Full List'!B:B,'Full List'!A:A,NC!$A80,'Full List'!E:E,NC!$A$1),"")</f>
        <v>734004</v>
      </c>
      <c r="C80" s="18">
        <f t="shared" si="1"/>
        <v>0.12227098968331652</v>
      </c>
    </row>
    <row r="81" spans="1:6" x14ac:dyDescent="0.15">
      <c r="A81" t="s">
        <v>81</v>
      </c>
      <c r="B81" s="17">
        <f>IFERROR(SUMIFS('Full List'!B:B,'Full List'!A:A,NC!$A81,'Full List'!E:E,NC!$A$1),"")</f>
        <v>1087600</v>
      </c>
      <c r="C81" s="18">
        <f t="shared" si="1"/>
        <v>0.1811733020250231</v>
      </c>
    </row>
    <row r="82" spans="1:6" x14ac:dyDescent="0.15">
      <c r="A82" t="s">
        <v>82</v>
      </c>
      <c r="B82" s="17">
        <f>IFERROR(SUMIFS('Full List'!B:B,'Full List'!A:A,NC!$A82,'Full List'!E:E,NC!$A$1),"")</f>
        <v>980250</v>
      </c>
      <c r="C82" s="18">
        <f t="shared" si="1"/>
        <v>0.16329085078156391</v>
      </c>
    </row>
    <row r="83" spans="1:6" x14ac:dyDescent="0.15">
      <c r="B83" s="17"/>
      <c r="C83" s="18"/>
      <c r="D83" t="s">
        <v>812</v>
      </c>
      <c r="E83" t="s">
        <v>860</v>
      </c>
    </row>
    <row r="84" spans="1:6" x14ac:dyDescent="0.15">
      <c r="A84" t="s">
        <v>1084</v>
      </c>
      <c r="B84" s="17">
        <v>2513652</v>
      </c>
      <c r="C84" s="18">
        <f t="shared" ref="C84:C102" si="2">IFERROR(B84/$B$2,"")</f>
        <v>0.41872621642313662</v>
      </c>
      <c r="D84">
        <v>27</v>
      </c>
      <c r="E84" t="str">
        <f>VLOOKUP(D84,Validation!$A$2:$C$41,3,FALSE)</f>
        <v xml:space="preserve">NFL </v>
      </c>
      <c r="F84" t="s">
        <v>1351</v>
      </c>
    </row>
    <row r="85" spans="1:6" x14ac:dyDescent="0.15">
      <c r="A85" t="s">
        <v>1091</v>
      </c>
      <c r="B85" s="17">
        <v>2011163</v>
      </c>
      <c r="C85" s="18">
        <f t="shared" si="2"/>
        <v>0.33502118574894402</v>
      </c>
      <c r="D85">
        <v>4</v>
      </c>
      <c r="E85" t="str">
        <f>VLOOKUP(D85,Validation!$A$2:$C$41,3,FALSE)</f>
        <v>MCB</v>
      </c>
      <c r="F85" t="s">
        <v>1350</v>
      </c>
    </row>
    <row r="86" spans="1:6" x14ac:dyDescent="0.15">
      <c r="A86" t="s">
        <v>1085</v>
      </c>
      <c r="B86" s="17">
        <v>1487313</v>
      </c>
      <c r="C86" s="18">
        <f t="shared" si="2"/>
        <v>0.24775782213565942</v>
      </c>
      <c r="D86">
        <v>5</v>
      </c>
      <c r="E86" t="str">
        <f>VLOOKUP(D86,Validation!$A$2:$C$41,3,FALSE)</f>
        <v>CFB</v>
      </c>
      <c r="F86" t="s">
        <v>1350</v>
      </c>
    </row>
    <row r="87" spans="1:6" x14ac:dyDescent="0.15">
      <c r="A87" t="s">
        <v>1092</v>
      </c>
      <c r="B87" s="17">
        <v>1444035</v>
      </c>
      <c r="C87" s="18">
        <f t="shared" si="2"/>
        <v>0.24054853732043421</v>
      </c>
      <c r="D87">
        <v>4</v>
      </c>
      <c r="E87" t="str">
        <f>VLOOKUP(D87,Validation!$A$2:$C$41,3,FALSE)</f>
        <v>MCB</v>
      </c>
      <c r="F87" t="s">
        <v>1350</v>
      </c>
    </row>
    <row r="88" spans="1:6" x14ac:dyDescent="0.15">
      <c r="A88" t="s">
        <v>1093</v>
      </c>
      <c r="B88" s="17">
        <v>1364852</v>
      </c>
      <c r="C88" s="18">
        <f t="shared" si="2"/>
        <v>0.22735816809071058</v>
      </c>
      <c r="D88">
        <v>4</v>
      </c>
      <c r="E88" t="str">
        <f>VLOOKUP(D88,Validation!$A$2:$C$41,3,FALSE)</f>
        <v>MCB</v>
      </c>
      <c r="F88" t="s">
        <v>1350</v>
      </c>
    </row>
    <row r="89" spans="1:6" x14ac:dyDescent="0.15">
      <c r="A89" t="s">
        <v>1086</v>
      </c>
      <c r="B89" s="17">
        <v>948415</v>
      </c>
      <c r="C89" s="18">
        <f t="shared" si="2"/>
        <v>0.1579877503126722</v>
      </c>
      <c r="D89">
        <v>5</v>
      </c>
      <c r="E89" t="str">
        <f>VLOOKUP(D89,Validation!$A$2:$C$41,3,FALSE)</f>
        <v>CFB</v>
      </c>
      <c r="F89" t="s">
        <v>1350</v>
      </c>
    </row>
    <row r="90" spans="1:6" x14ac:dyDescent="0.15">
      <c r="A90" t="s">
        <v>1087</v>
      </c>
      <c r="B90" s="17">
        <v>740805</v>
      </c>
      <c r="C90" s="18">
        <f t="shared" si="2"/>
        <v>0.12340390585384999</v>
      </c>
      <c r="D90">
        <v>5</v>
      </c>
      <c r="E90" t="str">
        <f>VLOOKUP(D90,Validation!$A$2:$C$41,3,FALSE)</f>
        <v>CFB</v>
      </c>
      <c r="F90" t="s">
        <v>1350</v>
      </c>
    </row>
    <row r="91" spans="1:6" x14ac:dyDescent="0.15">
      <c r="A91" t="s">
        <v>861</v>
      </c>
      <c r="B91" s="17">
        <v>666205</v>
      </c>
      <c r="C91" s="18">
        <f t="shared" si="2"/>
        <v>0.11097697653142748</v>
      </c>
      <c r="D91">
        <v>17</v>
      </c>
      <c r="E91" t="str">
        <f>VLOOKUP(D91,Validation!$A$2:$C$41,3,FALSE)</f>
        <v>MLB</v>
      </c>
      <c r="F91" t="s">
        <v>1350</v>
      </c>
    </row>
    <row r="92" spans="1:6" x14ac:dyDescent="0.15">
      <c r="A92" t="s">
        <v>1088</v>
      </c>
      <c r="B92" s="17">
        <v>649092</v>
      </c>
      <c r="C92" s="18">
        <f t="shared" si="2"/>
        <v>0.10812627892426104</v>
      </c>
      <c r="D92">
        <v>26</v>
      </c>
      <c r="E92" t="str">
        <f>VLOOKUP(D92,Validation!$A$2:$C$41,3,FALSE)</f>
        <v xml:space="preserve">NBA </v>
      </c>
      <c r="F92" t="s">
        <v>1350</v>
      </c>
    </row>
    <row r="93" spans="1:6" x14ac:dyDescent="0.15">
      <c r="A93" t="s">
        <v>1089</v>
      </c>
      <c r="B93" s="17">
        <v>505962</v>
      </c>
      <c r="C93" s="18">
        <f t="shared" si="2"/>
        <v>8.4283565869055485E-2</v>
      </c>
      <c r="D93">
        <v>28</v>
      </c>
      <c r="E93" t="str">
        <f>VLOOKUP(D93,Validation!$A$2:$C$41,3,FALSE)</f>
        <v xml:space="preserve">NHL </v>
      </c>
      <c r="F93" t="s">
        <v>1351</v>
      </c>
    </row>
    <row r="94" spans="1:6" x14ac:dyDescent="0.15">
      <c r="A94" t="s">
        <v>1094</v>
      </c>
      <c r="B94" s="17">
        <v>793562</v>
      </c>
      <c r="C94" s="18">
        <f t="shared" si="2"/>
        <v>0.13219221028096853</v>
      </c>
      <c r="D94">
        <v>4</v>
      </c>
      <c r="E94" t="str">
        <f>VLOOKUP(D94,Validation!$A$2:$C$41,3,FALSE)</f>
        <v>MCB</v>
      </c>
      <c r="F94" s="17" t="s">
        <v>1351</v>
      </c>
    </row>
    <row r="95" spans="1:6" x14ac:dyDescent="0.15">
      <c r="A95" t="s">
        <v>1051</v>
      </c>
      <c r="B95" s="17">
        <v>442760</v>
      </c>
      <c r="C95" s="18">
        <f t="shared" si="2"/>
        <v>7.3755324755975751E-2</v>
      </c>
      <c r="D95">
        <v>27</v>
      </c>
      <c r="E95" t="str">
        <f>VLOOKUP(D95,Validation!$A$2:$C$41,3,FALSE)</f>
        <v xml:space="preserve">NFL </v>
      </c>
      <c r="F95" s="17" t="s">
        <v>1350</v>
      </c>
    </row>
    <row r="96" spans="1:6" x14ac:dyDescent="0.15">
      <c r="A96" t="s">
        <v>1100</v>
      </c>
      <c r="B96" s="17">
        <v>669504</v>
      </c>
      <c r="C96" s="18">
        <f t="shared" si="2"/>
        <v>0.11152652666325953</v>
      </c>
      <c r="D96">
        <v>5</v>
      </c>
      <c r="E96" t="str">
        <f>VLOOKUP(D96,Validation!$A$2:$C$41,3,FALSE)</f>
        <v>CFB</v>
      </c>
      <c r="F96" t="s">
        <v>1351</v>
      </c>
    </row>
    <row r="97" spans="1:6" x14ac:dyDescent="0.15">
      <c r="A97" t="s">
        <v>1090</v>
      </c>
      <c r="B97" s="17">
        <v>216661</v>
      </c>
      <c r="C97" s="18">
        <f t="shared" si="2"/>
        <v>3.6091567478892542E-2</v>
      </c>
      <c r="D97">
        <v>5</v>
      </c>
      <c r="E97" t="str">
        <f>VLOOKUP(D97,Validation!$A$2:$C$41,3,FALSE)</f>
        <v>CFB</v>
      </c>
      <c r="F97" t="s">
        <v>1350</v>
      </c>
    </row>
    <row r="98" spans="1:6" x14ac:dyDescent="0.15">
      <c r="A98" t="s">
        <v>1095</v>
      </c>
      <c r="B98" s="17">
        <v>143677</v>
      </c>
      <c r="C98" s="18">
        <f t="shared" si="2"/>
        <v>2.3933832764848513E-2</v>
      </c>
      <c r="D98">
        <v>4</v>
      </c>
      <c r="E98" t="str">
        <f>VLOOKUP(D98,Validation!$A$2:$C$41,3,FALSE)</f>
        <v>MCB</v>
      </c>
      <c r="F98" t="s">
        <v>1350</v>
      </c>
    </row>
    <row r="99" spans="1:6" x14ac:dyDescent="0.15">
      <c r="A99" t="s">
        <v>1097</v>
      </c>
      <c r="B99" s="17">
        <v>110793</v>
      </c>
      <c r="C99" s="18">
        <f t="shared" si="2"/>
        <v>1.8455989013661626E-2</v>
      </c>
      <c r="D99">
        <v>4</v>
      </c>
      <c r="E99" t="str">
        <f>VLOOKUP(D99,Validation!$A$2:$C$41,3,FALSE)</f>
        <v>MCB</v>
      </c>
      <c r="F99" t="s">
        <v>1350</v>
      </c>
    </row>
    <row r="100" spans="1:6" x14ac:dyDescent="0.15">
      <c r="A100" t="s">
        <v>1098</v>
      </c>
      <c r="B100" s="17">
        <v>82084</v>
      </c>
      <c r="C100" s="18">
        <f t="shared" si="2"/>
        <v>1.3673620194393155E-2</v>
      </c>
      <c r="D100">
        <v>4</v>
      </c>
      <c r="E100" t="str">
        <f>VLOOKUP(D100,Validation!$A$2:$C$41,3,FALSE)</f>
        <v>MCB</v>
      </c>
    </row>
    <row r="101" spans="1:6" x14ac:dyDescent="0.15">
      <c r="A101" t="s">
        <v>1096</v>
      </c>
      <c r="B101" s="17">
        <v>53392</v>
      </c>
      <c r="C101" s="18">
        <f t="shared" si="2"/>
        <v>8.8940832490989642E-3</v>
      </c>
      <c r="D101">
        <v>4</v>
      </c>
      <c r="E101" t="str">
        <f>VLOOKUP(D101,Validation!$A$2:$C$41,3,FALSE)</f>
        <v>MCB</v>
      </c>
    </row>
    <row r="102" spans="1:6" x14ac:dyDescent="0.15">
      <c r="A102" t="s">
        <v>1099</v>
      </c>
      <c r="B102" s="17">
        <v>47720</v>
      </c>
      <c r="C102" s="18">
        <f t="shared" si="2"/>
        <v>7.949236826622014E-3</v>
      </c>
      <c r="D102">
        <v>4</v>
      </c>
      <c r="E102" t="str">
        <f>VLOOKUP(D102,Validation!$A$2:$C$41,3,FALSE)</f>
        <v>MCB</v>
      </c>
    </row>
  </sheetData>
  <pageMargins left="0.7" right="0.7" top="0.75" bottom="0.75" header="0.3" footer="0.3"/>
  <pageSetup orientation="portrait" verticalDpi="0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 enableFormatConditionsCalculation="0"/>
  <dimension ref="A1:F97"/>
  <sheetViews>
    <sheetView topLeftCell="A63" zoomScale="85" zoomScaleNormal="85" zoomScalePageLayoutView="85" workbookViewId="0">
      <selection activeCell="A96" sqref="A96"/>
    </sheetView>
  </sheetViews>
  <sheetFormatPr baseColWidth="10" defaultColWidth="8.83203125" defaultRowHeight="13" x14ac:dyDescent="0.15"/>
  <cols>
    <col min="1" max="1" width="33.33203125" bestFit="1" customWidth="1"/>
    <col min="2" max="2" width="10.5" bestFit="1" customWidth="1"/>
  </cols>
  <sheetData>
    <row r="1" spans="1:3" x14ac:dyDescent="0.15">
      <c r="A1" t="s">
        <v>403</v>
      </c>
      <c r="B1" t="s">
        <v>807</v>
      </c>
      <c r="C1" t="s">
        <v>811</v>
      </c>
    </row>
    <row r="2" spans="1:3" x14ac:dyDescent="0.15">
      <c r="A2" t="s">
        <v>0</v>
      </c>
      <c r="B2" s="17">
        <f>IFERROR(SUMIFS('Full List'!B:B,'Full List'!A:A,NJ!$A2,'Full List'!E:E,NJ!$A$1),"")</f>
        <v>5360659</v>
      </c>
      <c r="C2" s="18">
        <f>IFERROR(B2/$B$2,"")</f>
        <v>1</v>
      </c>
    </row>
    <row r="3" spans="1:3" x14ac:dyDescent="0.15">
      <c r="A3" t="s">
        <v>3</v>
      </c>
      <c r="B3" s="17">
        <f>IFERROR(SUMIFS('Full List'!B:B,'Full List'!A:A,NJ!$A3,'Full List'!E:E,NJ!$A$1),"")</f>
        <v>57745</v>
      </c>
      <c r="C3" s="18">
        <f t="shared" ref="C3:C66" si="0">IFERROR(B3/$B$2,"")</f>
        <v>1.0771996502668794E-2</v>
      </c>
    </row>
    <row r="4" spans="1:3" x14ac:dyDescent="0.15">
      <c r="A4" t="s">
        <v>4</v>
      </c>
      <c r="B4" s="17">
        <f>IFERROR(SUMIFS('Full List'!B:B,'Full List'!A:A,NJ!$A4,'Full List'!E:E,NJ!$A$1),"")</f>
        <v>34801</v>
      </c>
      <c r="C4" s="18">
        <f t="shared" si="0"/>
        <v>6.4919257128647802E-3</v>
      </c>
    </row>
    <row r="5" spans="1:3" x14ac:dyDescent="0.15">
      <c r="A5" t="s">
        <v>5</v>
      </c>
      <c r="B5" s="17">
        <f>IFERROR(SUMIFS('Full List'!B:B,'Full List'!A:A,NJ!$A5,'Full List'!E:E,NJ!$A$1),"")</f>
        <v>105490</v>
      </c>
      <c r="C5" s="18">
        <f t="shared" si="0"/>
        <v>1.9678550715499718E-2</v>
      </c>
    </row>
    <row r="6" spans="1:3" x14ac:dyDescent="0.15">
      <c r="A6" t="s">
        <v>6</v>
      </c>
      <c r="B6" s="17">
        <f>IFERROR(SUMIFS('Full List'!B:B,'Full List'!A:A,NJ!$A6,'Full List'!E:E,NJ!$A$1),"")</f>
        <v>333322</v>
      </c>
      <c r="C6" s="18">
        <f t="shared" si="0"/>
        <v>6.2179295493333939E-2</v>
      </c>
    </row>
    <row r="7" spans="1:3" x14ac:dyDescent="0.15">
      <c r="A7" t="s">
        <v>7</v>
      </c>
      <c r="B7" s="17">
        <f>IFERROR(SUMIFS('Full List'!B:B,'Full List'!A:A,NJ!$A7,'Full List'!E:E,NJ!$A$1),"")</f>
        <v>518942</v>
      </c>
      <c r="C7" s="18">
        <f t="shared" si="0"/>
        <v>9.6805635277304528E-2</v>
      </c>
    </row>
    <row r="8" spans="1:3" x14ac:dyDescent="0.15">
      <c r="A8" t="s">
        <v>8</v>
      </c>
      <c r="B8" s="17">
        <f>IFERROR(SUMIFS('Full List'!B:B,'Full List'!A:A,NJ!$A8,'Full List'!E:E,NJ!$A$1),"")</f>
        <v>64589</v>
      </c>
      <c r="C8" s="18">
        <f t="shared" si="0"/>
        <v>1.2048705205833834E-2</v>
      </c>
    </row>
    <row r="9" spans="1:3" x14ac:dyDescent="0.15">
      <c r="A9" t="s">
        <v>9</v>
      </c>
      <c r="B9" s="17">
        <f>IFERROR(SUMIFS('Full List'!B:B,'Full List'!A:A,NJ!$A9,'Full List'!E:E,NJ!$A$1),"")</f>
        <v>316897</v>
      </c>
      <c r="C9" s="18">
        <f t="shared" si="0"/>
        <v>5.911530653227523E-2</v>
      </c>
    </row>
    <row r="10" spans="1:3" x14ac:dyDescent="0.15">
      <c r="A10" t="s">
        <v>10</v>
      </c>
      <c r="B10" s="17">
        <f>IFERROR(SUMIFS('Full List'!B:B,'Full List'!A:A,NJ!$A10,'Full List'!E:E,NJ!$A$1),"")</f>
        <v>100044</v>
      </c>
      <c r="C10" s="18">
        <f t="shared" si="0"/>
        <v>1.8662630844454013E-2</v>
      </c>
    </row>
    <row r="11" spans="1:3" x14ac:dyDescent="0.15">
      <c r="A11" t="s">
        <v>11</v>
      </c>
      <c r="B11" s="17">
        <f>IFERROR(SUMIFS('Full List'!B:B,'Full List'!A:A,NJ!$A11,'Full List'!E:E,NJ!$A$1),"")</f>
        <v>347584</v>
      </c>
      <c r="C11" s="18">
        <f t="shared" si="0"/>
        <v>6.4839789287100713E-2</v>
      </c>
    </row>
    <row r="12" spans="1:3" x14ac:dyDescent="0.15">
      <c r="A12" t="s">
        <v>12</v>
      </c>
      <c r="B12" s="17">
        <f>IFERROR(SUMIFS('Full List'!B:B,'Full List'!A:A,NJ!$A12,'Full List'!E:E,NJ!$A$1),"")</f>
        <v>94544</v>
      </c>
      <c r="C12" s="18">
        <f t="shared" si="0"/>
        <v>1.7636637585043181E-2</v>
      </c>
    </row>
    <row r="13" spans="1:3" x14ac:dyDescent="0.15">
      <c r="A13" t="s">
        <v>13</v>
      </c>
      <c r="B13" s="17">
        <f>IFERROR(SUMIFS('Full List'!B:B,'Full List'!A:A,NJ!$A13,'Full List'!E:E,NJ!$A$1),"")</f>
        <v>46838</v>
      </c>
      <c r="C13" s="18">
        <f t="shared" si="0"/>
        <v>8.7373585971426276E-3</v>
      </c>
    </row>
    <row r="14" spans="1:3" x14ac:dyDescent="0.15">
      <c r="A14" t="s">
        <v>14</v>
      </c>
      <c r="B14" s="17">
        <f>IFERROR(SUMIFS('Full List'!B:B,'Full List'!A:A,NJ!$A14,'Full List'!E:E,NJ!$A$1),"")</f>
        <v>423066</v>
      </c>
      <c r="C14" s="18">
        <f t="shared" si="0"/>
        <v>7.8920520779254932E-2</v>
      </c>
    </row>
    <row r="15" spans="1:3" x14ac:dyDescent="0.15">
      <c r="A15" t="s">
        <v>15</v>
      </c>
      <c r="B15" s="17">
        <f>IFERROR(SUMIFS('Full List'!B:B,'Full List'!A:A,NJ!$A15,'Full List'!E:E,NJ!$A$1),"")</f>
        <v>175454</v>
      </c>
      <c r="C15" s="18">
        <f t="shared" si="0"/>
        <v>3.272993115212141E-2</v>
      </c>
    </row>
    <row r="16" spans="1:3" x14ac:dyDescent="0.15">
      <c r="A16" t="s">
        <v>16</v>
      </c>
      <c r="B16" s="17">
        <f>IFERROR(SUMIFS('Full List'!B:B,'Full List'!A:A,NJ!$A16,'Full List'!E:E,NJ!$A$1),"")</f>
        <v>124955</v>
      </c>
      <c r="C16" s="18">
        <f t="shared" si="0"/>
        <v>2.3309634132669135E-2</v>
      </c>
    </row>
    <row r="17" spans="1:3" x14ac:dyDescent="0.15">
      <c r="A17" t="s">
        <v>17</v>
      </c>
      <c r="B17" s="17">
        <f>IFERROR(SUMIFS('Full List'!B:B,'Full List'!A:A,NJ!$A17,'Full List'!E:E,NJ!$A$1),"")</f>
        <v>76221</v>
      </c>
      <c r="C17" s="18">
        <f t="shared" si="0"/>
        <v>1.4218587677373249E-2</v>
      </c>
    </row>
    <row r="18" spans="1:3" x14ac:dyDescent="0.15">
      <c r="A18" t="s">
        <v>18</v>
      </c>
      <c r="B18" s="17">
        <f>IFERROR(SUMIFS('Full List'!B:B,'Full List'!A:A,NJ!$A18,'Full List'!E:E,NJ!$A$1),"")</f>
        <v>91210</v>
      </c>
      <c r="C18" s="18">
        <f t="shared" si="0"/>
        <v>1.7014699125611234E-2</v>
      </c>
    </row>
    <row r="19" spans="1:3" x14ac:dyDescent="0.15">
      <c r="A19" t="s">
        <v>19</v>
      </c>
      <c r="B19" s="17">
        <f>IFERROR(SUMIFS('Full List'!B:B,'Full List'!A:A,NJ!$A19,'Full List'!E:E,NJ!$A$1),"")</f>
        <v>1155931</v>
      </c>
      <c r="C19" s="18">
        <f t="shared" si="0"/>
        <v>0.21563225715345818</v>
      </c>
    </row>
    <row r="20" spans="1:3" x14ac:dyDescent="0.15">
      <c r="A20" t="s">
        <v>20</v>
      </c>
      <c r="B20" s="17">
        <f>IFERROR(SUMIFS('Full List'!B:B,'Full List'!A:A,NJ!$A20,'Full List'!E:E,NJ!$A$1),"")</f>
        <v>212250</v>
      </c>
      <c r="C20" s="18">
        <f t="shared" si="0"/>
        <v>3.9594012601808844E-2</v>
      </c>
    </row>
    <row r="21" spans="1:3" x14ac:dyDescent="0.15">
      <c r="A21" t="s">
        <v>21</v>
      </c>
      <c r="B21" s="17">
        <f>IFERROR(SUMIFS('Full List'!B:B,'Full List'!A:A,NJ!$A21,'Full List'!E:E,NJ!$A$1),"")</f>
        <v>227793</v>
      </c>
      <c r="C21" s="18">
        <f t="shared" si="0"/>
        <v>4.2493469552903847E-2</v>
      </c>
    </row>
    <row r="22" spans="1:3" x14ac:dyDescent="0.15">
      <c r="A22" t="s">
        <v>22</v>
      </c>
      <c r="B22" s="17">
        <f>IFERROR(SUMIFS('Full List'!B:B,'Full List'!A:A,NJ!$A22,'Full List'!E:E,NJ!$A$1),"")</f>
        <v>111286</v>
      </c>
      <c r="C22" s="18">
        <f t="shared" si="0"/>
        <v>2.0759761066689749E-2</v>
      </c>
    </row>
    <row r="23" spans="1:3" x14ac:dyDescent="0.15">
      <c r="A23" t="s">
        <v>23</v>
      </c>
      <c r="B23" s="17">
        <f>IFERROR(SUMIFS('Full List'!B:B,'Full List'!A:A,NJ!$A23,'Full List'!E:E,NJ!$A$1),"")</f>
        <v>74746</v>
      </c>
      <c r="C23" s="18">
        <f t="shared" si="0"/>
        <v>1.3943434939622162E-2</v>
      </c>
    </row>
    <row r="24" spans="1:3" x14ac:dyDescent="0.15">
      <c r="A24" t="s">
        <v>24</v>
      </c>
      <c r="B24" s="17">
        <f>IFERROR(SUMIFS('Full List'!B:B,'Full List'!A:A,NJ!$A24,'Full List'!E:E,NJ!$A$1),"")</f>
        <v>39008</v>
      </c>
      <c r="C24" s="18">
        <f t="shared" si="0"/>
        <v>7.276717284199573E-3</v>
      </c>
    </row>
    <row r="25" spans="1:3" x14ac:dyDescent="0.15">
      <c r="A25" t="s">
        <v>25</v>
      </c>
      <c r="B25" s="17">
        <f>IFERROR(SUMIFS('Full List'!B:B,'Full List'!A:A,NJ!$A25,'Full List'!E:E,NJ!$A$1),"")</f>
        <v>67531</v>
      </c>
      <c r="C25" s="18">
        <f t="shared" si="0"/>
        <v>1.2597518327504137E-2</v>
      </c>
    </row>
    <row r="26" spans="1:3" x14ac:dyDescent="0.15">
      <c r="A26" t="s">
        <v>26</v>
      </c>
      <c r="B26" s="17">
        <f>IFERROR(SUMIFS('Full List'!B:B,'Full List'!A:A,NJ!$A26,'Full List'!E:E,NJ!$A$1),"")</f>
        <v>60632</v>
      </c>
      <c r="C26" s="18">
        <f t="shared" si="0"/>
        <v>1.1310549691744989E-2</v>
      </c>
    </row>
    <row r="27" spans="1:3" x14ac:dyDescent="0.15">
      <c r="A27" t="s">
        <v>27</v>
      </c>
      <c r="B27" s="17">
        <f>IFERROR(SUMIFS('Full List'!B:B,'Full List'!A:A,NJ!$A27,'Full List'!E:E,NJ!$A$1),"")</f>
        <v>247228</v>
      </c>
      <c r="C27" s="18">
        <f t="shared" si="0"/>
        <v>4.6118956643203757E-2</v>
      </c>
    </row>
    <row r="28" spans="1:3" x14ac:dyDescent="0.15">
      <c r="A28" t="s">
        <v>28</v>
      </c>
      <c r="B28" s="17">
        <f>IFERROR(SUMIFS('Full List'!B:B,'Full List'!A:A,NJ!$A28,'Full List'!E:E,NJ!$A$1),"")</f>
        <v>434067</v>
      </c>
      <c r="C28" s="18">
        <f t="shared" si="0"/>
        <v>8.0972693842305585E-2</v>
      </c>
    </row>
    <row r="29" spans="1:3" x14ac:dyDescent="0.15">
      <c r="A29" t="s">
        <v>29</v>
      </c>
      <c r="B29" s="17">
        <f>IFERROR(SUMIFS('Full List'!B:B,'Full List'!A:A,NJ!$A29,'Full List'!E:E,NJ!$A$1),"")</f>
        <v>1462811</v>
      </c>
      <c r="C29" s="18">
        <f t="shared" si="0"/>
        <v>0.27287895014400282</v>
      </c>
    </row>
    <row r="30" spans="1:3" x14ac:dyDescent="0.15">
      <c r="A30" t="s">
        <v>30</v>
      </c>
      <c r="B30" s="17">
        <f>IFERROR(SUMIFS('Full List'!B:B,'Full List'!A:A,NJ!$A30,'Full List'!E:E,NJ!$A$1),"")</f>
        <v>425771</v>
      </c>
      <c r="C30" s="18">
        <f t="shared" si="0"/>
        <v>7.9425122918656083E-2</v>
      </c>
    </row>
    <row r="31" spans="1:3" x14ac:dyDescent="0.15">
      <c r="A31" t="s">
        <v>31</v>
      </c>
      <c r="B31" s="17">
        <f>IFERROR(SUMIFS('Full List'!B:B,'Full List'!A:A,NJ!$A31,'Full List'!E:E,NJ!$A$1),"")</f>
        <v>54998</v>
      </c>
      <c r="C31" s="18">
        <f t="shared" si="0"/>
        <v>1.0259559505650332E-2</v>
      </c>
    </row>
    <row r="32" spans="1:3" x14ac:dyDescent="0.15">
      <c r="A32" t="s">
        <v>32</v>
      </c>
      <c r="B32" s="17">
        <f>IFERROR(SUMIFS('Full List'!B:B,'Full List'!A:A,NJ!$A32,'Full List'!E:E,NJ!$A$1),"")</f>
        <v>101486</v>
      </c>
      <c r="C32" s="18">
        <f t="shared" si="0"/>
        <v>1.8931627622648634E-2</v>
      </c>
    </row>
    <row r="33" spans="1:3" x14ac:dyDescent="0.15">
      <c r="A33" t="s">
        <v>33</v>
      </c>
      <c r="B33" s="17">
        <f>IFERROR(SUMIFS('Full List'!B:B,'Full List'!A:A,NJ!$A33,'Full List'!E:E,NJ!$A$1),"")</f>
        <v>1429685</v>
      </c>
      <c r="C33" s="18">
        <f t="shared" si="0"/>
        <v>0.2666994860146859</v>
      </c>
    </row>
    <row r="34" spans="1:3" x14ac:dyDescent="0.15">
      <c r="A34" t="s">
        <v>34</v>
      </c>
      <c r="B34" s="17">
        <f>IFERROR(SUMIFS('Full List'!B:B,'Full List'!A:A,NJ!$A34,'Full List'!E:E,NJ!$A$1),"")</f>
        <v>290497</v>
      </c>
      <c r="C34" s="18">
        <f t="shared" si="0"/>
        <v>5.4190538887103248E-2</v>
      </c>
    </row>
    <row r="35" spans="1:3" x14ac:dyDescent="0.15">
      <c r="A35" t="s">
        <v>35</v>
      </c>
      <c r="B35" s="17">
        <f>IFERROR(SUMIFS('Full List'!B:B,'Full List'!A:A,NJ!$A35,'Full List'!E:E,NJ!$A$1),"")</f>
        <v>314974</v>
      </c>
      <c r="C35" s="18">
        <f t="shared" si="0"/>
        <v>5.875658197993941E-2</v>
      </c>
    </row>
    <row r="36" spans="1:3" x14ac:dyDescent="0.15">
      <c r="A36" t="s">
        <v>36</v>
      </c>
      <c r="B36" s="17">
        <f>IFERROR(SUMIFS('Full List'!B:B,'Full List'!A:A,NJ!$A36,'Full List'!E:E,NJ!$A$1),"")</f>
        <v>39118</v>
      </c>
      <c r="C36" s="18">
        <f t="shared" si="0"/>
        <v>7.2972371493877902E-3</v>
      </c>
    </row>
    <row r="37" spans="1:3" x14ac:dyDescent="0.15">
      <c r="A37" t="s">
        <v>37</v>
      </c>
      <c r="B37" s="17">
        <f>IFERROR(SUMIFS('Full List'!B:B,'Full List'!A:A,NJ!$A37,'Full List'!E:E,NJ!$A$1),"")</f>
        <v>30825</v>
      </c>
      <c r="C37" s="18">
        <f t="shared" si="0"/>
        <v>5.7502258584252418E-3</v>
      </c>
    </row>
    <row r="38" spans="1:3" x14ac:dyDescent="0.15">
      <c r="A38" t="s">
        <v>38</v>
      </c>
      <c r="B38" s="17">
        <f>IFERROR(SUMIFS('Full List'!B:B,'Full List'!A:A,NJ!$A38,'Full List'!E:E,NJ!$A$1),"")</f>
        <v>74503</v>
      </c>
      <c r="C38" s="18">
        <f t="shared" si="0"/>
        <v>1.3898104691979102E-2</v>
      </c>
    </row>
    <row r="39" spans="1:3" x14ac:dyDescent="0.15">
      <c r="A39" t="s">
        <v>39</v>
      </c>
      <c r="B39" s="17">
        <f>IFERROR(SUMIFS('Full List'!B:B,'Full List'!A:A,NJ!$A39,'Full List'!E:E,NJ!$A$1),"")</f>
        <v>217120</v>
      </c>
      <c r="C39" s="18">
        <f t="shared" si="0"/>
        <v>4.0502482996959889E-2</v>
      </c>
    </row>
    <row r="40" spans="1:3" x14ac:dyDescent="0.15">
      <c r="A40" t="s">
        <v>40</v>
      </c>
      <c r="B40" s="17">
        <f>IFERROR(SUMIFS('Full List'!B:B,'Full List'!A:A,NJ!$A40,'Full List'!E:E,NJ!$A$1),"")</f>
        <v>49619</v>
      </c>
      <c r="C40" s="18">
        <f t="shared" si="0"/>
        <v>9.2561380979465403E-3</v>
      </c>
    </row>
    <row r="41" spans="1:3" x14ac:dyDescent="0.15">
      <c r="A41" t="s">
        <v>41</v>
      </c>
      <c r="B41" s="17">
        <f>IFERROR(SUMIFS('Full List'!B:B,'Full List'!A:A,NJ!$A41,'Full List'!E:E,NJ!$A$1),"")</f>
        <v>206308</v>
      </c>
      <c r="C41" s="18">
        <f t="shared" si="0"/>
        <v>3.8485566793187181E-2</v>
      </c>
    </row>
    <row r="42" spans="1:3" x14ac:dyDescent="0.15">
      <c r="A42" t="s">
        <v>42</v>
      </c>
      <c r="B42" s="17">
        <f>IFERROR(SUMIFS('Full List'!B:B,'Full List'!A:A,NJ!$A42,'Full List'!E:E,NJ!$A$1),"")</f>
        <v>173813</v>
      </c>
      <c r="C42" s="18">
        <f t="shared" si="0"/>
        <v>3.2423812072359011E-2</v>
      </c>
    </row>
    <row r="43" spans="1:3" x14ac:dyDescent="0.15">
      <c r="A43" t="s">
        <v>43</v>
      </c>
      <c r="B43" s="17">
        <f>IFERROR(SUMIFS('Full List'!B:B,'Full List'!A:A,NJ!$A43,'Full List'!E:E,NJ!$A$1),"")</f>
        <v>292393</v>
      </c>
      <c r="C43" s="18">
        <f t="shared" si="0"/>
        <v>5.4544226745256504E-2</v>
      </c>
    </row>
    <row r="44" spans="1:3" x14ac:dyDescent="0.15">
      <c r="A44" t="s">
        <v>44</v>
      </c>
      <c r="B44" s="17">
        <f>IFERROR(SUMIFS('Full List'!B:B,'Full List'!A:A,NJ!$A44,'Full List'!E:E,NJ!$A$1),"")</f>
        <v>382259</v>
      </c>
      <c r="C44" s="18">
        <f t="shared" si="0"/>
        <v>7.1308210427113536E-2</v>
      </c>
    </row>
    <row r="45" spans="1:3" x14ac:dyDescent="0.15">
      <c r="A45" t="s">
        <v>45</v>
      </c>
      <c r="B45" s="17">
        <f>IFERROR(SUMIFS('Full List'!B:B,'Full List'!A:A,NJ!$A45,'Full List'!E:E,NJ!$A$1),"")</f>
        <v>669088</v>
      </c>
      <c r="C45" s="18">
        <f t="shared" si="0"/>
        <v>0.12481450508230425</v>
      </c>
    </row>
    <row r="46" spans="1:3" x14ac:dyDescent="0.15">
      <c r="A46" t="s">
        <v>46</v>
      </c>
      <c r="B46" s="17">
        <f>IFERROR(SUMIFS('Full List'!B:B,'Full List'!A:A,NJ!$A46,'Full List'!E:E,NJ!$A$1),"")</f>
        <v>1295919</v>
      </c>
      <c r="C46" s="18">
        <f t="shared" si="0"/>
        <v>0.24174621068044058</v>
      </c>
    </row>
    <row r="47" spans="1:3" x14ac:dyDescent="0.15">
      <c r="A47" t="s">
        <v>47</v>
      </c>
      <c r="B47" s="17">
        <f>IFERROR(SUMIFS('Full List'!B:B,'Full List'!A:A,NJ!$A47,'Full List'!E:E,NJ!$A$1),"")</f>
        <v>1527771</v>
      </c>
      <c r="C47" s="18">
        <f t="shared" si="0"/>
        <v>0.28499686325878965</v>
      </c>
    </row>
    <row r="48" spans="1:3" x14ac:dyDescent="0.15">
      <c r="A48" t="s">
        <v>48</v>
      </c>
      <c r="B48" s="17">
        <f>IFERROR(SUMIFS('Full List'!B:B,'Full List'!A:A,NJ!$A48,'Full List'!E:E,NJ!$A$1),"")</f>
        <v>418560</v>
      </c>
      <c r="C48" s="18">
        <f t="shared" si="0"/>
        <v>7.8079952483453993E-2</v>
      </c>
    </row>
    <row r="49" spans="1:3" x14ac:dyDescent="0.15">
      <c r="A49" t="s">
        <v>49</v>
      </c>
      <c r="B49" s="17">
        <f>IFERROR(SUMIFS('Full List'!B:B,'Full List'!A:A,NJ!$A49,'Full List'!E:E,NJ!$A$1),"")</f>
        <v>894236</v>
      </c>
      <c r="C49" s="18">
        <f t="shared" si="0"/>
        <v>0.16681456514954598</v>
      </c>
    </row>
    <row r="50" spans="1:3" x14ac:dyDescent="0.15">
      <c r="A50" t="s">
        <v>50</v>
      </c>
      <c r="B50" s="17">
        <f>IFERROR(SUMIFS('Full List'!B:B,'Full List'!A:A,NJ!$A50,'Full List'!E:E,NJ!$A$1),"")</f>
        <v>607941</v>
      </c>
      <c r="C50" s="18">
        <f t="shared" si="0"/>
        <v>0.11340788511263261</v>
      </c>
    </row>
    <row r="51" spans="1:3" x14ac:dyDescent="0.15">
      <c r="A51" t="s">
        <v>51</v>
      </c>
      <c r="B51" s="17">
        <f>IFERROR(SUMIFS('Full List'!B:B,'Full List'!A:A,NJ!$A51,'Full List'!E:E,NJ!$A$1),"")</f>
        <v>1634119</v>
      </c>
      <c r="C51" s="18">
        <f t="shared" si="0"/>
        <v>0.30483546892275742</v>
      </c>
    </row>
    <row r="52" spans="1:3" x14ac:dyDescent="0.15">
      <c r="A52" t="s">
        <v>52</v>
      </c>
      <c r="B52" s="17">
        <f>IFERROR(SUMIFS('Full List'!B:B,'Full List'!A:A,NJ!$A52,'Full List'!E:E,NJ!$A$1),"")</f>
        <v>550653</v>
      </c>
      <c r="C52" s="18">
        <f t="shared" si="0"/>
        <v>0.1027211393226094</v>
      </c>
    </row>
    <row r="53" spans="1:3" x14ac:dyDescent="0.15">
      <c r="A53" t="s">
        <v>53</v>
      </c>
      <c r="B53" s="17">
        <f>IFERROR(SUMIFS('Full List'!B:B,'Full List'!A:A,NJ!$A53,'Full List'!E:E,NJ!$A$1),"")</f>
        <v>341901</v>
      </c>
      <c r="C53" s="18">
        <f t="shared" si="0"/>
        <v>6.3779658433785844E-2</v>
      </c>
    </row>
    <row r="54" spans="1:3" x14ac:dyDescent="0.15">
      <c r="A54" t="s">
        <v>54</v>
      </c>
      <c r="B54" s="17">
        <f>IFERROR(SUMIFS('Full List'!B:B,'Full List'!A:A,NJ!$A54,'Full List'!E:E,NJ!$A$1),"")</f>
        <v>1752653</v>
      </c>
      <c r="C54" s="18">
        <f t="shared" si="0"/>
        <v>0.3269473025611217</v>
      </c>
    </row>
    <row r="55" spans="1:3" x14ac:dyDescent="0.15">
      <c r="A55" t="s">
        <v>55</v>
      </c>
      <c r="B55" s="17">
        <f>IFERROR(SUMIFS('Full List'!B:B,'Full List'!A:A,NJ!$A55,'Full List'!E:E,NJ!$A$1),"")</f>
        <v>975896</v>
      </c>
      <c r="C55" s="18">
        <f t="shared" si="0"/>
        <v>0.18204776688836205</v>
      </c>
    </row>
    <row r="56" spans="1:3" x14ac:dyDescent="0.15">
      <c r="A56" t="s">
        <v>56</v>
      </c>
      <c r="B56" s="17">
        <f>IFERROR(SUMIFS('Full List'!B:B,'Full List'!A:A,NJ!$A56,'Full List'!E:E,NJ!$A$1),"")</f>
        <v>1030490</v>
      </c>
      <c r="C56" s="18">
        <f t="shared" si="0"/>
        <v>0.19223196252550293</v>
      </c>
    </row>
    <row r="57" spans="1:3" x14ac:dyDescent="0.15">
      <c r="A57" t="s">
        <v>57</v>
      </c>
      <c r="B57" s="17">
        <f>IFERROR(SUMIFS('Full List'!B:B,'Full List'!A:A,NJ!$A57,'Full List'!E:E,NJ!$A$1),"")</f>
        <v>537625</v>
      </c>
      <c r="C57" s="18">
        <f t="shared" si="0"/>
        <v>0.10029084110740863</v>
      </c>
    </row>
    <row r="58" spans="1:3" x14ac:dyDescent="0.15">
      <c r="A58" t="s">
        <v>58</v>
      </c>
      <c r="B58" s="17">
        <f>IFERROR(SUMIFS('Full List'!B:B,'Full List'!A:A,NJ!$A58,'Full List'!E:E,NJ!$A$1),"")</f>
        <v>550997</v>
      </c>
      <c r="C58" s="18">
        <f t="shared" si="0"/>
        <v>0.10278531053737983</v>
      </c>
    </row>
    <row r="59" spans="1:3" x14ac:dyDescent="0.15">
      <c r="A59" t="s">
        <v>59</v>
      </c>
      <c r="B59" s="17">
        <f>IFERROR(SUMIFS('Full List'!B:B,'Full List'!A:A,NJ!$A59,'Full List'!E:E,NJ!$A$1),"")</f>
        <v>2726761</v>
      </c>
      <c r="C59" s="18">
        <f t="shared" si="0"/>
        <v>0.50866152836806067</v>
      </c>
    </row>
    <row r="60" spans="1:3" x14ac:dyDescent="0.15">
      <c r="A60" t="s">
        <v>60</v>
      </c>
      <c r="B60" s="17">
        <f>IFERROR(SUMIFS('Full List'!B:B,'Full List'!A:A,NJ!$A60,'Full List'!E:E,NJ!$A$1),"")</f>
        <v>975134</v>
      </c>
      <c r="C60" s="18">
        <f t="shared" si="0"/>
        <v>0.18190562018587639</v>
      </c>
    </row>
    <row r="61" spans="1:3" x14ac:dyDescent="0.15">
      <c r="A61" t="s">
        <v>61</v>
      </c>
      <c r="B61" s="17">
        <f>IFERROR(SUMIFS('Full List'!B:B,'Full List'!A:A,NJ!$A61,'Full List'!E:E,NJ!$A$1),"")</f>
        <v>1205883</v>
      </c>
      <c r="C61" s="18">
        <f t="shared" si="0"/>
        <v>0.22495051447965633</v>
      </c>
    </row>
    <row r="62" spans="1:3" x14ac:dyDescent="0.15">
      <c r="A62" t="s">
        <v>62</v>
      </c>
      <c r="B62" s="17">
        <f>IFERROR(SUMIFS('Full List'!B:B,'Full List'!A:A,NJ!$A62,'Full List'!E:E,NJ!$A$1),"")</f>
        <v>415338</v>
      </c>
      <c r="C62" s="18">
        <f t="shared" si="0"/>
        <v>7.7478906977668224E-2</v>
      </c>
    </row>
    <row r="63" spans="1:3" x14ac:dyDescent="0.15">
      <c r="A63" t="s">
        <v>63</v>
      </c>
      <c r="B63" s="17">
        <f>IFERROR(SUMIFS('Full List'!B:B,'Full List'!A:A,NJ!$A63,'Full List'!E:E,NJ!$A$1),"")</f>
        <v>668353</v>
      </c>
      <c r="C63" s="18">
        <f t="shared" si="0"/>
        <v>0.12467739507400116</v>
      </c>
    </row>
    <row r="64" spans="1:3" x14ac:dyDescent="0.15">
      <c r="A64" t="s">
        <v>64</v>
      </c>
      <c r="B64" s="17">
        <f>IFERROR(SUMIFS('Full List'!B:B,'Full List'!A:A,NJ!$A64,'Full List'!E:E,NJ!$A$1),"")</f>
        <v>256127</v>
      </c>
      <c r="C64" s="18">
        <f t="shared" si="0"/>
        <v>4.7779013736930477E-2</v>
      </c>
    </row>
    <row r="65" spans="1:3" x14ac:dyDescent="0.15">
      <c r="A65" t="s">
        <v>65</v>
      </c>
      <c r="B65" s="17">
        <f>IFERROR(SUMIFS('Full List'!B:B,'Full List'!A:A,NJ!$A65,'Full List'!E:E,NJ!$A$1),"")</f>
        <v>469602</v>
      </c>
      <c r="C65" s="18">
        <f t="shared" si="0"/>
        <v>8.7601543019244457E-2</v>
      </c>
    </row>
    <row r="66" spans="1:3" x14ac:dyDescent="0.15">
      <c r="A66" t="s">
        <v>66</v>
      </c>
      <c r="B66" s="17">
        <f>IFERROR(SUMIFS('Full List'!B:B,'Full List'!A:A,NJ!$A66,'Full List'!E:E,NJ!$A$1),"")</f>
        <v>274067</v>
      </c>
      <c r="C66" s="18">
        <f t="shared" si="0"/>
        <v>5.1125617204899623E-2</v>
      </c>
    </row>
    <row r="67" spans="1:3" x14ac:dyDescent="0.15">
      <c r="A67" t="s">
        <v>67</v>
      </c>
      <c r="B67" s="17">
        <f>IFERROR(SUMIFS('Full List'!B:B,'Full List'!A:A,NJ!$A67,'Full List'!E:E,NJ!$A$1),"")</f>
        <v>930933</v>
      </c>
      <c r="C67" s="18">
        <f t="shared" ref="C67:C82" si="1">IFERROR(B67/$B$2,"")</f>
        <v>0.17366017872056402</v>
      </c>
    </row>
    <row r="68" spans="1:3" x14ac:dyDescent="0.15">
      <c r="A68" t="s">
        <v>68</v>
      </c>
      <c r="B68" s="17">
        <f>IFERROR(SUMIFS('Full List'!B:B,'Full List'!A:A,NJ!$A68,'Full List'!E:E,NJ!$A$1),"")</f>
        <v>1701057</v>
      </c>
      <c r="C68" s="18">
        <f t="shared" si="1"/>
        <v>0.3173223665224742</v>
      </c>
    </row>
    <row r="69" spans="1:3" x14ac:dyDescent="0.15">
      <c r="A69" t="s">
        <v>69</v>
      </c>
      <c r="B69" s="17">
        <f>IFERROR(SUMIFS('Full List'!B:B,'Full List'!A:A,NJ!$A69,'Full List'!E:E,NJ!$A$1),"")</f>
        <v>3057971</v>
      </c>
      <c r="C69" s="18">
        <f t="shared" si="1"/>
        <v>0.57044684244978094</v>
      </c>
    </row>
    <row r="70" spans="1:3" x14ac:dyDescent="0.15">
      <c r="A70" t="s">
        <v>70</v>
      </c>
      <c r="B70" s="17">
        <f>IFERROR(SUMIFS('Full List'!B:B,'Full List'!A:A,NJ!$A70,'Full List'!E:E,NJ!$A$1),"")</f>
        <v>1370654</v>
      </c>
      <c r="C70" s="18">
        <f t="shared" si="1"/>
        <v>0.25568759363354393</v>
      </c>
    </row>
    <row r="71" spans="1:3" x14ac:dyDescent="0.15">
      <c r="A71" t="s">
        <v>71</v>
      </c>
      <c r="B71" s="17">
        <f>IFERROR(SUMIFS('Full List'!B:B,'Full List'!A:A,NJ!$A71,'Full List'!E:E,NJ!$A$1),"")</f>
        <v>285001</v>
      </c>
      <c r="C71" s="18">
        <f t="shared" si="1"/>
        <v>5.3165291804608349E-2</v>
      </c>
    </row>
    <row r="72" spans="1:3" x14ac:dyDescent="0.15">
      <c r="A72" t="s">
        <v>72</v>
      </c>
      <c r="B72" s="17">
        <f>IFERROR(SUMIFS('Full List'!B:B,'Full List'!A:A,NJ!$A72,'Full List'!E:E,NJ!$A$1),"")</f>
        <v>473033</v>
      </c>
      <c r="C72" s="18">
        <f t="shared" si="1"/>
        <v>8.8241576268887831E-2</v>
      </c>
    </row>
    <row r="73" spans="1:3" x14ac:dyDescent="0.15">
      <c r="A73" t="s">
        <v>73</v>
      </c>
      <c r="B73" s="17">
        <f>IFERROR(SUMIFS('Full List'!B:B,'Full List'!A:A,NJ!$A73,'Full List'!E:E,NJ!$A$1),"")</f>
        <v>3061427</v>
      </c>
      <c r="C73" s="18">
        <f t="shared" si="1"/>
        <v>0.57109153930514889</v>
      </c>
    </row>
    <row r="74" spans="1:3" x14ac:dyDescent="0.15">
      <c r="A74" t="s">
        <v>74</v>
      </c>
      <c r="B74" s="17">
        <f>IFERROR(SUMIFS('Full List'!B:B,'Full List'!A:A,NJ!$A74,'Full List'!E:E,NJ!$A$1),"")</f>
        <v>1282648</v>
      </c>
      <c r="C74" s="18">
        <f t="shared" si="1"/>
        <v>0.23927058221759676</v>
      </c>
    </row>
    <row r="75" spans="1:3" x14ac:dyDescent="0.15">
      <c r="A75" t="s">
        <v>75</v>
      </c>
      <c r="B75" s="17">
        <f>IFERROR(SUMIFS('Full List'!B:B,'Full List'!A:A,NJ!$A75,'Full List'!E:E,NJ!$A$1),"")</f>
        <v>1099957</v>
      </c>
      <c r="C75" s="18">
        <f t="shared" si="1"/>
        <v>0.20519063048031969</v>
      </c>
    </row>
    <row r="76" spans="1:3" x14ac:dyDescent="0.15">
      <c r="A76" t="s">
        <v>76</v>
      </c>
      <c r="B76" s="17">
        <f>IFERROR(SUMIFS('Full List'!B:B,'Full List'!A:A,NJ!$A76,'Full List'!E:E,NJ!$A$1),"")</f>
        <v>285712</v>
      </c>
      <c r="C76" s="18">
        <f t="shared" si="1"/>
        <v>5.3297924751415822E-2</v>
      </c>
    </row>
    <row r="77" spans="1:3" x14ac:dyDescent="0.15">
      <c r="A77" t="s">
        <v>77</v>
      </c>
      <c r="B77" s="17">
        <f>IFERROR(SUMIFS('Full List'!B:B,'Full List'!A:A,NJ!$A77,'Full List'!E:E,NJ!$A$1),"")</f>
        <v>270373</v>
      </c>
      <c r="C77" s="18">
        <f t="shared" si="1"/>
        <v>5.0436522823033514E-2</v>
      </c>
    </row>
    <row r="78" spans="1:3" x14ac:dyDescent="0.15">
      <c r="A78" t="s">
        <v>78</v>
      </c>
      <c r="B78" s="17">
        <f>IFERROR(SUMIFS('Full List'!B:B,'Full List'!A:A,NJ!$A78,'Full List'!E:E,NJ!$A$1),"")</f>
        <v>377043</v>
      </c>
      <c r="C78" s="18">
        <f t="shared" si="1"/>
        <v>7.0335195728734104E-2</v>
      </c>
    </row>
    <row r="79" spans="1:3" x14ac:dyDescent="0.15">
      <c r="A79" t="s">
        <v>79</v>
      </c>
      <c r="B79" s="17">
        <f>IFERROR(SUMIFS('Full List'!B:B,'Full List'!A:A,NJ!$A79,'Full List'!E:E,NJ!$A$1),"")</f>
        <v>761784</v>
      </c>
      <c r="C79" s="18">
        <f t="shared" si="1"/>
        <v>0.1421064089321854</v>
      </c>
    </row>
    <row r="80" spans="1:3" x14ac:dyDescent="0.15">
      <c r="A80" t="s">
        <v>80</v>
      </c>
      <c r="B80" s="17">
        <f>IFERROR(SUMIFS('Full List'!B:B,'Full List'!A:A,NJ!$A80,'Full List'!E:E,NJ!$A$1),"")</f>
        <v>549881</v>
      </c>
      <c r="C80" s="18">
        <f t="shared" si="1"/>
        <v>0.10257712717783392</v>
      </c>
    </row>
    <row r="81" spans="1:6" x14ac:dyDescent="0.15">
      <c r="A81" t="s">
        <v>81</v>
      </c>
      <c r="B81" s="17">
        <f>IFERROR(SUMIFS('Full List'!B:B,'Full List'!A:A,NJ!$A81,'Full List'!E:E,NJ!$A$1),"")</f>
        <v>1162903</v>
      </c>
      <c r="C81" s="18">
        <f t="shared" si="1"/>
        <v>0.21693284351793315</v>
      </c>
    </row>
    <row r="82" spans="1:6" x14ac:dyDescent="0.15">
      <c r="A82" t="s">
        <v>82</v>
      </c>
      <c r="B82" s="17">
        <f>IFERROR(SUMIFS('Full List'!B:B,'Full List'!A:A,NJ!$A82,'Full List'!E:E,NJ!$A$1),"")</f>
        <v>599639</v>
      </c>
      <c r="C82" s="18">
        <f t="shared" si="1"/>
        <v>0.11185919492360921</v>
      </c>
    </row>
    <row r="83" spans="1:6" x14ac:dyDescent="0.15">
      <c r="B83" s="17"/>
      <c r="C83" s="18"/>
      <c r="D83" t="s">
        <v>812</v>
      </c>
      <c r="E83" t="s">
        <v>860</v>
      </c>
    </row>
    <row r="84" spans="1:6" x14ac:dyDescent="0.15">
      <c r="A84" t="s">
        <v>926</v>
      </c>
      <c r="B84" s="17">
        <v>2555131</v>
      </c>
      <c r="C84" s="18">
        <f t="shared" ref="C84:C97" si="2">IFERROR(B84/$B$2,"")</f>
        <v>0.47664494234757332</v>
      </c>
      <c r="D84">
        <v>27</v>
      </c>
      <c r="E84" t="str">
        <f>VLOOKUP(D84,Validation!$A$2:$C$41,3,FALSE)</f>
        <v xml:space="preserve">NFL </v>
      </c>
      <c r="F84" t="s">
        <v>1351</v>
      </c>
    </row>
    <row r="85" spans="1:6" x14ac:dyDescent="0.15">
      <c r="A85" t="s">
        <v>933</v>
      </c>
      <c r="B85" s="17">
        <v>2322771</v>
      </c>
      <c r="C85" s="18">
        <f t="shared" si="2"/>
        <v>0.43329952530090049</v>
      </c>
      <c r="D85">
        <v>17</v>
      </c>
      <c r="E85" t="str">
        <f>VLOOKUP(D85,Validation!$A$2:$C$41,3,FALSE)</f>
        <v>MLB</v>
      </c>
      <c r="F85" t="s">
        <v>1351</v>
      </c>
    </row>
    <row r="86" spans="1:6" x14ac:dyDescent="0.15">
      <c r="A86" t="s">
        <v>928</v>
      </c>
      <c r="B86" s="17">
        <v>1915253</v>
      </c>
      <c r="C86" s="18">
        <f t="shared" si="2"/>
        <v>0.35727939419388549</v>
      </c>
      <c r="D86">
        <v>27</v>
      </c>
      <c r="E86" t="str">
        <f>VLOOKUP(D86,Validation!$A$2:$C$41,3,FALSE)</f>
        <v xml:space="preserve">NFL </v>
      </c>
      <c r="F86" t="s">
        <v>1351</v>
      </c>
    </row>
    <row r="87" spans="1:6" x14ac:dyDescent="0.15">
      <c r="A87" t="s">
        <v>930</v>
      </c>
      <c r="B87" s="17">
        <v>1369048</v>
      </c>
      <c r="C87" s="18">
        <f t="shared" si="2"/>
        <v>0.25538800360179598</v>
      </c>
      <c r="D87">
        <v>17</v>
      </c>
      <c r="E87" t="str">
        <f>VLOOKUP(D87,Validation!$A$2:$C$41,3,FALSE)</f>
        <v>MLB</v>
      </c>
      <c r="F87" t="s">
        <v>1351</v>
      </c>
    </row>
    <row r="88" spans="1:6" x14ac:dyDescent="0.15">
      <c r="A88" t="s">
        <v>929</v>
      </c>
      <c r="B88" s="17">
        <v>1060994</v>
      </c>
      <c r="C88" s="18">
        <f t="shared" si="2"/>
        <v>0.19792230768642438</v>
      </c>
      <c r="D88">
        <v>26</v>
      </c>
      <c r="E88" t="str">
        <f>VLOOKUP(D88,Validation!$A$2:$C$41,3,FALSE)</f>
        <v xml:space="preserve">NBA </v>
      </c>
      <c r="F88" t="s">
        <v>1350</v>
      </c>
    </row>
    <row r="89" spans="1:6" x14ac:dyDescent="0.15">
      <c r="A89" t="s">
        <v>925</v>
      </c>
      <c r="B89" s="17">
        <v>802090</v>
      </c>
      <c r="C89" s="18">
        <f t="shared" si="2"/>
        <v>0.14962526062560591</v>
      </c>
      <c r="D89">
        <v>28</v>
      </c>
      <c r="E89" t="str">
        <f>VLOOKUP(D89,Validation!$A$2:$C$41,3,FALSE)</f>
        <v xml:space="preserve">NHL </v>
      </c>
      <c r="F89" t="s">
        <v>1351</v>
      </c>
    </row>
    <row r="90" spans="1:6" x14ac:dyDescent="0.15">
      <c r="A90" t="s">
        <v>934</v>
      </c>
      <c r="B90" s="17">
        <v>714583</v>
      </c>
      <c r="C90" s="18">
        <f t="shared" si="2"/>
        <v>0.13330133477992165</v>
      </c>
      <c r="D90">
        <v>26</v>
      </c>
      <c r="E90" t="str">
        <f>VLOOKUP(D90,Validation!$A$2:$C$41,3,FALSE)</f>
        <v xml:space="preserve">NBA </v>
      </c>
      <c r="F90" t="s">
        <v>1350</v>
      </c>
    </row>
    <row r="91" spans="1:6" x14ac:dyDescent="0.15">
      <c r="A91" t="s">
        <v>931</v>
      </c>
      <c r="B91" s="17">
        <v>662977</v>
      </c>
      <c r="C91" s="18">
        <f t="shared" si="2"/>
        <v>0.12367453329898433</v>
      </c>
      <c r="D91">
        <v>28</v>
      </c>
      <c r="E91" t="str">
        <f>VLOOKUP(D91,Validation!$A$2:$C$41,3,FALSE)</f>
        <v xml:space="preserve">NHL </v>
      </c>
      <c r="F91" t="s">
        <v>1350</v>
      </c>
    </row>
    <row r="92" spans="1:6" x14ac:dyDescent="0.15">
      <c r="A92" t="s">
        <v>1102</v>
      </c>
      <c r="B92" s="17">
        <v>561579</v>
      </c>
      <c r="C92" s="18">
        <f t="shared" si="2"/>
        <v>0.10475932156848626</v>
      </c>
      <c r="D92">
        <v>5</v>
      </c>
      <c r="E92" t="str">
        <f>VLOOKUP(D92,Validation!$A$2:$C$41,3,FALSE)</f>
        <v>CFB</v>
      </c>
      <c r="F92" t="s">
        <v>1351</v>
      </c>
    </row>
    <row r="93" spans="1:6" x14ac:dyDescent="0.15">
      <c r="A93" t="s">
        <v>1101</v>
      </c>
      <c r="B93" s="17">
        <v>394714</v>
      </c>
      <c r="C93" s="18">
        <f t="shared" si="2"/>
        <v>7.3631618799106596E-2</v>
      </c>
      <c r="D93">
        <v>4</v>
      </c>
      <c r="E93" t="str">
        <f>VLOOKUP(D93,Validation!$A$2:$C$41,3,FALSE)</f>
        <v>MCB</v>
      </c>
      <c r="F93" t="s">
        <v>1351</v>
      </c>
    </row>
    <row r="94" spans="1:6" x14ac:dyDescent="0.15">
      <c r="A94" t="s">
        <v>932</v>
      </c>
      <c r="B94" s="17">
        <v>343951</v>
      </c>
      <c r="C94" s="18">
        <f t="shared" si="2"/>
        <v>6.4162074103202613E-2</v>
      </c>
      <c r="D94">
        <v>18</v>
      </c>
      <c r="E94" t="str">
        <f>VLOOKUP(D94,Validation!$A$2:$C$41,3,FALSE)</f>
        <v>MLS</v>
      </c>
    </row>
    <row r="95" spans="1:6" x14ac:dyDescent="0.15">
      <c r="A95" t="s">
        <v>927</v>
      </c>
      <c r="B95" s="17">
        <v>239842</v>
      </c>
      <c r="C95" s="18">
        <f t="shared" si="2"/>
        <v>4.4741140967929506E-2</v>
      </c>
      <c r="D95">
        <v>28</v>
      </c>
      <c r="E95" t="str">
        <f>VLOOKUP(D95,Validation!$A$2:$C$41,3,FALSE)</f>
        <v xml:space="preserve">NHL </v>
      </c>
      <c r="F95" t="s">
        <v>1351</v>
      </c>
    </row>
    <row r="96" spans="1:6" x14ac:dyDescent="0.15">
      <c r="A96" t="s">
        <v>1385</v>
      </c>
      <c r="B96" s="17">
        <v>179863</v>
      </c>
      <c r="C96" s="18">
        <f t="shared" si="2"/>
        <v>3.3552404657710928E-2</v>
      </c>
      <c r="D96">
        <v>4</v>
      </c>
      <c r="E96" t="str">
        <f>VLOOKUP(D96,Validation!$A$2:$C$41,3,FALSE)</f>
        <v>MCB</v>
      </c>
      <c r="F96" t="s">
        <v>1351</v>
      </c>
    </row>
    <row r="97" spans="1:6" x14ac:dyDescent="0.15">
      <c r="A97" t="s">
        <v>935</v>
      </c>
      <c r="B97" s="17">
        <v>148892</v>
      </c>
      <c r="C97" s="18">
        <f t="shared" si="2"/>
        <v>2.7774943341854052E-2</v>
      </c>
      <c r="D97">
        <v>4</v>
      </c>
      <c r="E97" t="str">
        <f>VLOOKUP(D97,Validation!$A$2:$C$41,3,FALSE)</f>
        <v>MCB</v>
      </c>
      <c r="F97" t="s">
        <v>1350</v>
      </c>
    </row>
  </sheetData>
  <pageMargins left="0.7" right="0.7" top="0.75" bottom="0.75" header="0.3" footer="0.3"/>
  <pageSetup orientation="portrait" verticalDpi="0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 enableFormatConditionsCalculation="0"/>
  <dimension ref="A1:F98"/>
  <sheetViews>
    <sheetView topLeftCell="A63" zoomScale="85" zoomScaleNormal="85" zoomScalePageLayoutView="85" workbookViewId="0">
      <selection activeCell="F88" sqref="F88"/>
    </sheetView>
  </sheetViews>
  <sheetFormatPr baseColWidth="10" defaultColWidth="8.83203125" defaultRowHeight="13" x14ac:dyDescent="0.15"/>
  <cols>
    <col min="1" max="1" width="33.33203125" bestFit="1" customWidth="1"/>
    <col min="2" max="2" width="10.5" bestFit="1" customWidth="1"/>
  </cols>
  <sheetData>
    <row r="1" spans="1:3" x14ac:dyDescent="0.15">
      <c r="A1" t="s">
        <v>797</v>
      </c>
      <c r="B1" t="s">
        <v>807</v>
      </c>
      <c r="C1" t="s">
        <v>811</v>
      </c>
    </row>
    <row r="2" spans="1:3" x14ac:dyDescent="0.15">
      <c r="A2" t="s">
        <v>0</v>
      </c>
      <c r="B2" s="17">
        <f>IFERROR(SUMIFS('Full List'!B:B,'Full List'!A:A,NM!$A2,'Full List'!E:E,NM!$A$1),"")</f>
        <v>1465407</v>
      </c>
      <c r="C2" s="18">
        <f>IFERROR(B2/$B$2,"")</f>
        <v>1</v>
      </c>
    </row>
    <row r="3" spans="1:3" x14ac:dyDescent="0.15">
      <c r="A3" t="s">
        <v>3</v>
      </c>
      <c r="B3" s="17">
        <f>IFERROR(SUMIFS('Full List'!B:B,'Full List'!A:A,NM!$A3,'Full List'!E:E,NM!$A$1),"")</f>
        <v>28061</v>
      </c>
      <c r="C3" s="18">
        <f t="shared" ref="C3:C66" si="0">IFERROR(B3/$B$2,"")</f>
        <v>1.9148946333680677E-2</v>
      </c>
    </row>
    <row r="4" spans="1:3" x14ac:dyDescent="0.15">
      <c r="A4" t="s">
        <v>4</v>
      </c>
      <c r="B4" s="17">
        <f>IFERROR(SUMIFS('Full List'!B:B,'Full List'!A:A,NM!$A4,'Full List'!E:E,NM!$A$1),"")</f>
        <v>14992</v>
      </c>
      <c r="C4" s="18">
        <f t="shared" si="0"/>
        <v>1.0230604876324462E-2</v>
      </c>
    </row>
    <row r="5" spans="1:3" x14ac:dyDescent="0.15">
      <c r="A5" t="s">
        <v>5</v>
      </c>
      <c r="B5" s="17">
        <f>IFERROR(SUMIFS('Full List'!B:B,'Full List'!A:A,NM!$A5,'Full List'!E:E,NM!$A$1),"")</f>
        <v>50906</v>
      </c>
      <c r="C5" s="18">
        <f t="shared" si="0"/>
        <v>3.4738471973997667E-2</v>
      </c>
    </row>
    <row r="6" spans="1:3" x14ac:dyDescent="0.15">
      <c r="A6" t="s">
        <v>6</v>
      </c>
      <c r="B6" s="17">
        <f>IFERROR(SUMIFS('Full List'!B:B,'Full List'!A:A,NM!$A6,'Full List'!E:E,NM!$A$1),"")</f>
        <v>183171</v>
      </c>
      <c r="C6" s="18">
        <f t="shared" si="0"/>
        <v>0.12499667327916408</v>
      </c>
    </row>
    <row r="7" spans="1:3" x14ac:dyDescent="0.15">
      <c r="A7" t="s">
        <v>7</v>
      </c>
      <c r="B7" s="17">
        <f>IFERROR(SUMIFS('Full List'!B:B,'Full List'!A:A,NM!$A7,'Full List'!E:E,NM!$A$1),"")</f>
        <v>216329</v>
      </c>
      <c r="C7" s="18">
        <f t="shared" si="0"/>
        <v>0.14762383419759834</v>
      </c>
    </row>
    <row r="8" spans="1:3" x14ac:dyDescent="0.15">
      <c r="A8" t="s">
        <v>8</v>
      </c>
      <c r="B8" s="17">
        <f>IFERROR(SUMIFS('Full List'!B:B,'Full List'!A:A,NM!$A8,'Full List'!E:E,NM!$A$1),"")</f>
        <v>25051</v>
      </c>
      <c r="C8" s="18">
        <f t="shared" si="0"/>
        <v>1.7094909468836985E-2</v>
      </c>
    </row>
    <row r="9" spans="1:3" x14ac:dyDescent="0.15">
      <c r="A9" t="s">
        <v>9</v>
      </c>
      <c r="B9" s="17">
        <f>IFERROR(SUMIFS('Full List'!B:B,'Full List'!A:A,NM!$A9,'Full List'!E:E,NM!$A$1),"")</f>
        <v>46331</v>
      </c>
      <c r="C9" s="18">
        <f t="shared" si="0"/>
        <v>3.1616472420290059E-2</v>
      </c>
    </row>
    <row r="10" spans="1:3" x14ac:dyDescent="0.15">
      <c r="A10" t="s">
        <v>10</v>
      </c>
      <c r="B10" s="17">
        <f>IFERROR(SUMIFS('Full List'!B:B,'Full List'!A:A,NM!$A10,'Full List'!E:E,NM!$A$1),"")</f>
        <v>72608</v>
      </c>
      <c r="C10" s="18">
        <f t="shared" si="0"/>
        <v>4.954800952909328E-2</v>
      </c>
    </row>
    <row r="11" spans="1:3" x14ac:dyDescent="0.15">
      <c r="A11" t="s">
        <v>11</v>
      </c>
      <c r="B11" s="17">
        <f>IFERROR(SUMIFS('Full List'!B:B,'Full List'!A:A,NM!$A11,'Full List'!E:E,NM!$A$1),"")</f>
        <v>85434</v>
      </c>
      <c r="C11" s="18">
        <f t="shared" si="0"/>
        <v>5.8300526747859127E-2</v>
      </c>
    </row>
    <row r="12" spans="1:3" x14ac:dyDescent="0.15">
      <c r="A12" t="s">
        <v>12</v>
      </c>
      <c r="B12" s="17">
        <f>IFERROR(SUMIFS('Full List'!B:B,'Full List'!A:A,NM!$A12,'Full List'!E:E,NM!$A$1),"")</f>
        <v>41100</v>
      </c>
      <c r="C12" s="18">
        <f t="shared" si="0"/>
        <v>2.804681566281586E-2</v>
      </c>
    </row>
    <row r="13" spans="1:3" x14ac:dyDescent="0.15">
      <c r="A13" t="s">
        <v>13</v>
      </c>
      <c r="B13" s="17">
        <f>IFERROR(SUMIFS('Full List'!B:B,'Full List'!A:A,NM!$A13,'Full List'!E:E,NM!$A$1),"")</f>
        <v>34242</v>
      </c>
      <c r="C13" s="18">
        <f t="shared" si="0"/>
        <v>2.3366887151487607E-2</v>
      </c>
    </row>
    <row r="14" spans="1:3" x14ac:dyDescent="0.15">
      <c r="A14" t="s">
        <v>14</v>
      </c>
      <c r="B14" s="17">
        <f>IFERROR(SUMIFS('Full List'!B:B,'Full List'!A:A,NM!$A14,'Full List'!E:E,NM!$A$1),"")</f>
        <v>91363</v>
      </c>
      <c r="C14" s="18">
        <f t="shared" si="0"/>
        <v>6.2346501688609376E-2</v>
      </c>
    </row>
    <row r="15" spans="1:3" x14ac:dyDescent="0.15">
      <c r="A15" t="s">
        <v>15</v>
      </c>
      <c r="B15" s="17">
        <f>IFERROR(SUMIFS('Full List'!B:B,'Full List'!A:A,NM!$A15,'Full List'!E:E,NM!$A$1),"")</f>
        <v>107176</v>
      </c>
      <c r="C15" s="18">
        <f t="shared" si="0"/>
        <v>7.3137360473916127E-2</v>
      </c>
    </row>
    <row r="16" spans="1:3" x14ac:dyDescent="0.15">
      <c r="A16" t="s">
        <v>16</v>
      </c>
      <c r="B16" s="17">
        <f>IFERROR(SUMIFS('Full List'!B:B,'Full List'!A:A,NM!$A16,'Full List'!E:E,NM!$A$1),"")</f>
        <v>67511</v>
      </c>
      <c r="C16" s="18">
        <f t="shared" si="0"/>
        <v>4.6069794944339694E-2</v>
      </c>
    </row>
    <row r="17" spans="1:3" x14ac:dyDescent="0.15">
      <c r="A17" t="s">
        <v>17</v>
      </c>
      <c r="B17" s="17">
        <f>IFERROR(SUMIFS('Full List'!B:B,'Full List'!A:A,NM!$A17,'Full List'!E:E,NM!$A$1),"")</f>
        <v>47326</v>
      </c>
      <c r="C17" s="18">
        <f t="shared" si="0"/>
        <v>3.2295464672954341E-2</v>
      </c>
    </row>
    <row r="18" spans="1:3" x14ac:dyDescent="0.15">
      <c r="A18" t="s">
        <v>18</v>
      </c>
      <c r="B18" s="17">
        <f>IFERROR(SUMIFS('Full List'!B:B,'Full List'!A:A,NM!$A18,'Full List'!E:E,NM!$A$1),"")</f>
        <v>13223</v>
      </c>
      <c r="C18" s="18">
        <f t="shared" si="0"/>
        <v>9.0234317155575214E-3</v>
      </c>
    </row>
    <row r="19" spans="1:3" x14ac:dyDescent="0.15">
      <c r="A19" t="s">
        <v>19</v>
      </c>
      <c r="B19" s="17">
        <f>IFERROR(SUMIFS('Full List'!B:B,'Full List'!A:A,NM!$A19,'Full List'!E:E,NM!$A$1),"")</f>
        <v>125855</v>
      </c>
      <c r="C19" s="18">
        <f t="shared" si="0"/>
        <v>8.5883989908605601E-2</v>
      </c>
    </row>
    <row r="20" spans="1:3" x14ac:dyDescent="0.15">
      <c r="A20" t="s">
        <v>20</v>
      </c>
      <c r="B20" s="17">
        <f>IFERROR(SUMIFS('Full List'!B:B,'Full List'!A:A,NM!$A20,'Full List'!E:E,NM!$A$1),"")</f>
        <v>39172</v>
      </c>
      <c r="C20" s="18">
        <f t="shared" si="0"/>
        <v>2.673114022247744E-2</v>
      </c>
    </row>
    <row r="21" spans="1:3" x14ac:dyDescent="0.15">
      <c r="A21" t="s">
        <v>21</v>
      </c>
      <c r="B21" s="17">
        <f>IFERROR(SUMIFS('Full List'!B:B,'Full List'!A:A,NM!$A21,'Full List'!E:E,NM!$A$1),"")</f>
        <v>22653</v>
      </c>
      <c r="C21" s="18">
        <f t="shared" si="0"/>
        <v>1.5458504019702377E-2</v>
      </c>
    </row>
    <row r="22" spans="1:3" x14ac:dyDescent="0.15">
      <c r="A22" t="s">
        <v>22</v>
      </c>
      <c r="B22" s="17">
        <f>IFERROR(SUMIFS('Full List'!B:B,'Full List'!A:A,NM!$A22,'Full List'!E:E,NM!$A$1),"")</f>
        <v>53955</v>
      </c>
      <c r="C22" s="18">
        <f t="shared" si="0"/>
        <v>3.6819122605528706E-2</v>
      </c>
    </row>
    <row r="23" spans="1:3" x14ac:dyDescent="0.15">
      <c r="A23" t="s">
        <v>23</v>
      </c>
      <c r="B23" s="17">
        <f>IFERROR(SUMIFS('Full List'!B:B,'Full List'!A:A,NM!$A23,'Full List'!E:E,NM!$A$1),"")</f>
        <v>48278</v>
      </c>
      <c r="C23" s="18">
        <f t="shared" si="0"/>
        <v>3.2945113541835137E-2</v>
      </c>
    </row>
    <row r="24" spans="1:3" x14ac:dyDescent="0.15">
      <c r="A24" t="s">
        <v>24</v>
      </c>
      <c r="B24" s="17">
        <f>IFERROR(SUMIFS('Full List'!B:B,'Full List'!A:A,NM!$A24,'Full List'!E:E,NM!$A$1),"")</f>
        <v>11619</v>
      </c>
      <c r="C24" s="18">
        <f t="shared" si="0"/>
        <v>7.9288552600062651E-3</v>
      </c>
    </row>
    <row r="25" spans="1:3" x14ac:dyDescent="0.15">
      <c r="A25" t="s">
        <v>25</v>
      </c>
      <c r="B25" s="17">
        <f>IFERROR(SUMIFS('Full List'!B:B,'Full List'!A:A,NM!$A25,'Full List'!E:E,NM!$A$1),"")</f>
        <v>46646</v>
      </c>
      <c r="C25" s="18">
        <f t="shared" si="0"/>
        <v>3.1831429766610915E-2</v>
      </c>
    </row>
    <row r="26" spans="1:3" x14ac:dyDescent="0.15">
      <c r="A26" t="s">
        <v>26</v>
      </c>
      <c r="B26" s="17">
        <f>IFERROR(SUMIFS('Full List'!B:B,'Full List'!A:A,NM!$A26,'Full List'!E:E,NM!$A$1),"")</f>
        <v>28754</v>
      </c>
      <c r="C26" s="18">
        <f t="shared" si="0"/>
        <v>1.962185249558655E-2</v>
      </c>
    </row>
    <row r="27" spans="1:3" x14ac:dyDescent="0.15">
      <c r="A27" t="s">
        <v>27</v>
      </c>
      <c r="B27" s="17">
        <f>IFERROR(SUMIFS('Full List'!B:B,'Full List'!A:A,NM!$A27,'Full List'!E:E,NM!$A$1),"")</f>
        <v>93378</v>
      </c>
      <c r="C27" s="18">
        <f t="shared" si="0"/>
        <v>6.3721546300788787E-2</v>
      </c>
    </row>
    <row r="28" spans="1:3" x14ac:dyDescent="0.15">
      <c r="A28" t="s">
        <v>28</v>
      </c>
      <c r="B28" s="17">
        <f>IFERROR(SUMIFS('Full List'!B:B,'Full List'!A:A,NM!$A28,'Full List'!E:E,NM!$A$1),"")</f>
        <v>157842</v>
      </c>
      <c r="C28" s="18">
        <f t="shared" si="0"/>
        <v>0.10771205542214551</v>
      </c>
    </row>
    <row r="29" spans="1:3" x14ac:dyDescent="0.15">
      <c r="A29" t="s">
        <v>29</v>
      </c>
      <c r="B29" s="17">
        <f>IFERROR(SUMIFS('Full List'!B:B,'Full List'!A:A,NM!$A29,'Full List'!E:E,NM!$A$1),"")</f>
        <v>429290</v>
      </c>
      <c r="C29" s="18">
        <f t="shared" si="0"/>
        <v>0.29294933080024865</v>
      </c>
    </row>
    <row r="30" spans="1:3" x14ac:dyDescent="0.15">
      <c r="A30" t="s">
        <v>30</v>
      </c>
      <c r="B30" s="17">
        <f>IFERROR(SUMIFS('Full List'!B:B,'Full List'!A:A,NM!$A30,'Full List'!E:E,NM!$A$1),"")</f>
        <v>45799</v>
      </c>
      <c r="C30" s="18">
        <f t="shared" si="0"/>
        <v>3.1253433346503733E-2</v>
      </c>
    </row>
    <row r="31" spans="1:3" x14ac:dyDescent="0.15">
      <c r="A31" t="s">
        <v>31</v>
      </c>
      <c r="B31" s="17">
        <f>IFERROR(SUMIFS('Full List'!B:B,'Full List'!A:A,NM!$A31,'Full List'!E:E,NM!$A$1),"")</f>
        <v>26241</v>
      </c>
      <c r="C31" s="18">
        <f t="shared" si="0"/>
        <v>1.7906970554937979E-2</v>
      </c>
    </row>
    <row r="32" spans="1:3" x14ac:dyDescent="0.15">
      <c r="A32" t="s">
        <v>32</v>
      </c>
      <c r="B32" s="17">
        <f>IFERROR(SUMIFS('Full List'!B:B,'Full List'!A:A,NM!$A32,'Full List'!E:E,NM!$A$1),"")</f>
        <v>85426</v>
      </c>
      <c r="C32" s="18">
        <f t="shared" si="0"/>
        <v>5.8295067513666851E-2</v>
      </c>
    </row>
    <row r="33" spans="1:3" x14ac:dyDescent="0.15">
      <c r="A33" t="s">
        <v>33</v>
      </c>
      <c r="B33" s="17">
        <f>IFERROR(SUMIFS('Full List'!B:B,'Full List'!A:A,NM!$A33,'Full List'!E:E,NM!$A$1),"")</f>
        <v>423517</v>
      </c>
      <c r="C33" s="18">
        <f t="shared" si="0"/>
        <v>0.28900981092624778</v>
      </c>
    </row>
    <row r="34" spans="1:3" x14ac:dyDescent="0.15">
      <c r="A34" t="s">
        <v>34</v>
      </c>
      <c r="B34" s="17">
        <f>IFERROR(SUMIFS('Full List'!B:B,'Full List'!A:A,NM!$A34,'Full List'!E:E,NM!$A$1),"")</f>
        <v>70339</v>
      </c>
      <c r="C34" s="18">
        <f t="shared" si="0"/>
        <v>4.7999634231309117E-2</v>
      </c>
    </row>
    <row r="35" spans="1:3" x14ac:dyDescent="0.15">
      <c r="A35" t="s">
        <v>35</v>
      </c>
      <c r="B35" s="17">
        <f>IFERROR(SUMIFS('Full List'!B:B,'Full List'!A:A,NM!$A35,'Full List'!E:E,NM!$A$1),"")</f>
        <v>105813</v>
      </c>
      <c r="C35" s="18">
        <f t="shared" si="0"/>
        <v>7.2207243448407163E-2</v>
      </c>
    </row>
    <row r="36" spans="1:3" x14ac:dyDescent="0.15">
      <c r="A36" t="s">
        <v>36</v>
      </c>
      <c r="B36" s="17">
        <f>IFERROR(SUMIFS('Full List'!B:B,'Full List'!A:A,NM!$A36,'Full List'!E:E,NM!$A$1),"")</f>
        <v>121597</v>
      </c>
      <c r="C36" s="18">
        <f t="shared" si="0"/>
        <v>8.2978312509766908E-2</v>
      </c>
    </row>
    <row r="37" spans="1:3" x14ac:dyDescent="0.15">
      <c r="A37" t="s">
        <v>37</v>
      </c>
      <c r="B37" s="17">
        <f>IFERROR(SUMIFS('Full List'!B:B,'Full List'!A:A,NM!$A37,'Full List'!E:E,NM!$A$1),"")</f>
        <v>111215</v>
      </c>
      <c r="C37" s="18">
        <f t="shared" si="0"/>
        <v>7.5893591336741256E-2</v>
      </c>
    </row>
    <row r="38" spans="1:3" x14ac:dyDescent="0.15">
      <c r="A38" t="s">
        <v>38</v>
      </c>
      <c r="B38" s="17">
        <f>IFERROR(SUMIFS('Full List'!B:B,'Full List'!A:A,NM!$A38,'Full List'!E:E,NM!$A$1),"")</f>
        <v>35649</v>
      </c>
      <c r="C38" s="18">
        <f t="shared" si="0"/>
        <v>2.4327029965054078E-2</v>
      </c>
    </row>
    <row r="39" spans="1:3" x14ac:dyDescent="0.15">
      <c r="A39" t="s">
        <v>39</v>
      </c>
      <c r="B39" s="17">
        <f>IFERROR(SUMIFS('Full List'!B:B,'Full List'!A:A,NM!$A39,'Full List'!E:E,NM!$A$1),"")</f>
        <v>84968</v>
      </c>
      <c r="C39" s="18">
        <f t="shared" si="0"/>
        <v>5.7982526356159074E-2</v>
      </c>
    </row>
    <row r="40" spans="1:3" x14ac:dyDescent="0.15">
      <c r="A40" t="s">
        <v>40</v>
      </c>
      <c r="B40" s="17">
        <f>IFERROR(SUMIFS('Full List'!B:B,'Full List'!A:A,NM!$A40,'Full List'!E:E,NM!$A$1),"")</f>
        <v>19187</v>
      </c>
      <c r="C40" s="18">
        <f t="shared" si="0"/>
        <v>1.3093290805898975E-2</v>
      </c>
    </row>
    <row r="41" spans="1:3" x14ac:dyDescent="0.15">
      <c r="A41" t="s">
        <v>41</v>
      </c>
      <c r="B41" s="17">
        <f>IFERROR(SUMIFS('Full List'!B:B,'Full List'!A:A,NM!$A41,'Full List'!E:E,NM!$A$1),"")</f>
        <v>27381</v>
      </c>
      <c r="C41" s="18">
        <f t="shared" si="0"/>
        <v>1.8684911427337251E-2</v>
      </c>
    </row>
    <row r="42" spans="1:3" x14ac:dyDescent="0.15">
      <c r="A42" t="s">
        <v>42</v>
      </c>
      <c r="B42" s="17">
        <f>IFERROR(SUMIFS('Full List'!B:B,'Full List'!A:A,NM!$A42,'Full List'!E:E,NM!$A$1),"")</f>
        <v>77747</v>
      </c>
      <c r="C42" s="18">
        <f t="shared" si="0"/>
        <v>5.3054885093356319E-2</v>
      </c>
    </row>
    <row r="43" spans="1:3" x14ac:dyDescent="0.15">
      <c r="A43" t="s">
        <v>43</v>
      </c>
      <c r="B43" s="17">
        <f>IFERROR(SUMIFS('Full List'!B:B,'Full List'!A:A,NM!$A43,'Full List'!E:E,NM!$A$1),"")</f>
        <v>178260</v>
      </c>
      <c r="C43" s="18">
        <f t="shared" si="0"/>
        <v>0.1216453858893809</v>
      </c>
    </row>
    <row r="44" spans="1:3" x14ac:dyDescent="0.15">
      <c r="A44" t="s">
        <v>44</v>
      </c>
      <c r="B44" s="17">
        <f>IFERROR(SUMIFS('Full List'!B:B,'Full List'!A:A,NM!$A44,'Full List'!E:E,NM!$A$1),"")</f>
        <v>135048</v>
      </c>
      <c r="C44" s="18">
        <f t="shared" si="0"/>
        <v>9.2157332399804281E-2</v>
      </c>
    </row>
    <row r="45" spans="1:3" x14ac:dyDescent="0.15">
      <c r="A45" t="s">
        <v>45</v>
      </c>
      <c r="B45" s="17">
        <f>IFERROR(SUMIFS('Full List'!B:B,'Full List'!A:A,NM!$A45,'Full List'!E:E,NM!$A$1),"")</f>
        <v>253714</v>
      </c>
      <c r="C45" s="18">
        <f t="shared" si="0"/>
        <v>0.17313551798237622</v>
      </c>
    </row>
    <row r="46" spans="1:3" x14ac:dyDescent="0.15">
      <c r="A46" t="s">
        <v>46</v>
      </c>
      <c r="B46" s="17">
        <f>IFERROR(SUMIFS('Full List'!B:B,'Full List'!A:A,NM!$A46,'Full List'!E:E,NM!$A$1),"")</f>
        <v>512971</v>
      </c>
      <c r="C46" s="18">
        <f t="shared" si="0"/>
        <v>0.3500536028557254</v>
      </c>
    </row>
    <row r="47" spans="1:3" x14ac:dyDescent="0.15">
      <c r="A47" t="s">
        <v>47</v>
      </c>
      <c r="B47" s="17">
        <f>IFERROR(SUMIFS('Full List'!B:B,'Full List'!A:A,NM!$A47,'Full List'!E:E,NM!$A$1),"")</f>
        <v>613157</v>
      </c>
      <c r="C47" s="18">
        <f t="shared" si="0"/>
        <v>0.41842095745414071</v>
      </c>
    </row>
    <row r="48" spans="1:3" x14ac:dyDescent="0.15">
      <c r="A48" t="s">
        <v>48</v>
      </c>
      <c r="B48" s="17">
        <f>IFERROR(SUMIFS('Full List'!B:B,'Full List'!A:A,NM!$A48,'Full List'!E:E,NM!$A$1),"")</f>
        <v>138168</v>
      </c>
      <c r="C48" s="18">
        <f t="shared" si="0"/>
        <v>9.4286433734791772E-2</v>
      </c>
    </row>
    <row r="49" spans="1:3" x14ac:dyDescent="0.15">
      <c r="A49" t="s">
        <v>49</v>
      </c>
      <c r="B49" s="17">
        <f>IFERROR(SUMIFS('Full List'!B:B,'Full List'!A:A,NM!$A49,'Full List'!E:E,NM!$A$1),"")</f>
        <v>172593</v>
      </c>
      <c r="C49" s="18">
        <f t="shared" si="0"/>
        <v>0.11777820086842768</v>
      </c>
    </row>
    <row r="50" spans="1:3" x14ac:dyDescent="0.15">
      <c r="A50" t="s">
        <v>50</v>
      </c>
      <c r="B50" s="17">
        <f>IFERROR(SUMIFS('Full List'!B:B,'Full List'!A:A,NM!$A50,'Full List'!E:E,NM!$A$1),"")</f>
        <v>311433</v>
      </c>
      <c r="C50" s="18">
        <f t="shared" si="0"/>
        <v>0.21252321027537061</v>
      </c>
    </row>
    <row r="51" spans="1:3" x14ac:dyDescent="0.15">
      <c r="A51" t="s">
        <v>51</v>
      </c>
      <c r="B51" s="17">
        <f>IFERROR(SUMIFS('Full List'!B:B,'Full List'!A:A,NM!$A51,'Full List'!E:E,NM!$A$1),"")</f>
        <v>432519</v>
      </c>
      <c r="C51" s="18">
        <f t="shared" si="0"/>
        <v>0.2951528142011059</v>
      </c>
    </row>
    <row r="52" spans="1:3" x14ac:dyDescent="0.15">
      <c r="A52" t="s">
        <v>52</v>
      </c>
      <c r="B52" s="17">
        <f>IFERROR(SUMIFS('Full List'!B:B,'Full List'!A:A,NM!$A52,'Full List'!E:E,NM!$A$1),"")</f>
        <v>216787</v>
      </c>
      <c r="C52" s="18">
        <f t="shared" si="0"/>
        <v>0.14793637535510612</v>
      </c>
    </row>
    <row r="53" spans="1:3" x14ac:dyDescent="0.15">
      <c r="A53" t="s">
        <v>53</v>
      </c>
      <c r="B53" s="17">
        <f>IFERROR(SUMIFS('Full List'!B:B,'Full List'!A:A,NM!$A53,'Full List'!E:E,NM!$A$1),"")</f>
        <v>162065</v>
      </c>
      <c r="C53" s="18">
        <f t="shared" si="0"/>
        <v>0.11059384867139301</v>
      </c>
    </row>
    <row r="54" spans="1:3" x14ac:dyDescent="0.15">
      <c r="A54" t="s">
        <v>54</v>
      </c>
      <c r="B54" s="17">
        <f>IFERROR(SUMIFS('Full List'!B:B,'Full List'!A:A,NM!$A54,'Full List'!E:E,NM!$A$1),"")</f>
        <v>459639</v>
      </c>
      <c r="C54" s="18">
        <f t="shared" si="0"/>
        <v>0.31365961811292015</v>
      </c>
    </row>
    <row r="55" spans="1:3" x14ac:dyDescent="0.15">
      <c r="A55" t="s">
        <v>55</v>
      </c>
      <c r="B55" s="17">
        <f>IFERROR(SUMIFS('Full List'!B:B,'Full List'!A:A,NM!$A55,'Full List'!E:E,NM!$A$1),"")</f>
        <v>400475</v>
      </c>
      <c r="C55" s="18">
        <f t="shared" si="0"/>
        <v>0.27328585164394603</v>
      </c>
    </row>
    <row r="56" spans="1:3" x14ac:dyDescent="0.15">
      <c r="A56" t="s">
        <v>56</v>
      </c>
      <c r="B56" s="17">
        <f>IFERROR(SUMIFS('Full List'!B:B,'Full List'!A:A,NM!$A56,'Full List'!E:E,NM!$A$1),"")</f>
        <v>352746</v>
      </c>
      <c r="C56" s="18">
        <f t="shared" si="0"/>
        <v>0.24071537804855581</v>
      </c>
    </row>
    <row r="57" spans="1:3" x14ac:dyDescent="0.15">
      <c r="A57" t="s">
        <v>57</v>
      </c>
      <c r="B57" s="17">
        <f>IFERROR(SUMIFS('Full List'!B:B,'Full List'!A:A,NM!$A57,'Full List'!E:E,NM!$A$1),"")</f>
        <v>247486</v>
      </c>
      <c r="C57" s="18">
        <f t="shared" si="0"/>
        <v>0.16888550416368966</v>
      </c>
    </row>
    <row r="58" spans="1:3" x14ac:dyDescent="0.15">
      <c r="A58" t="s">
        <v>58</v>
      </c>
      <c r="B58" s="17">
        <f>IFERROR(SUMIFS('Full List'!B:B,'Full List'!A:A,NM!$A58,'Full List'!E:E,NM!$A$1),"")</f>
        <v>153223</v>
      </c>
      <c r="C58" s="18">
        <f t="shared" si="0"/>
        <v>0.1045600300803804</v>
      </c>
    </row>
    <row r="59" spans="1:3" x14ac:dyDescent="0.15">
      <c r="A59" t="s">
        <v>59</v>
      </c>
      <c r="B59" s="17">
        <f>IFERROR(SUMIFS('Full List'!B:B,'Full List'!A:A,NM!$A59,'Full List'!E:E,NM!$A$1),"")</f>
        <v>591411</v>
      </c>
      <c r="C59" s="18">
        <f t="shared" si="0"/>
        <v>0.40358139411098759</v>
      </c>
    </row>
    <row r="60" spans="1:3" x14ac:dyDescent="0.15">
      <c r="A60" t="s">
        <v>60</v>
      </c>
      <c r="B60" s="17">
        <f>IFERROR(SUMIFS('Full List'!B:B,'Full List'!A:A,NM!$A60,'Full List'!E:E,NM!$A$1),"")</f>
        <v>204793</v>
      </c>
      <c r="C60" s="18">
        <f t="shared" si="0"/>
        <v>0.13975161849233694</v>
      </c>
    </row>
    <row r="61" spans="1:3" x14ac:dyDescent="0.15">
      <c r="A61" t="s">
        <v>61</v>
      </c>
      <c r="B61" s="17">
        <f>IFERROR(SUMIFS('Full List'!B:B,'Full List'!A:A,NM!$A61,'Full List'!E:E,NM!$A$1),"")</f>
        <v>181862</v>
      </c>
      <c r="C61" s="18">
        <f t="shared" si="0"/>
        <v>0.12410340608445299</v>
      </c>
    </row>
    <row r="62" spans="1:3" x14ac:dyDescent="0.15">
      <c r="A62" t="s">
        <v>62</v>
      </c>
      <c r="B62" s="17">
        <f>IFERROR(SUMIFS('Full List'!B:B,'Full List'!A:A,NM!$A62,'Full List'!E:E,NM!$A$1),"")</f>
        <v>164512</v>
      </c>
      <c r="C62" s="18">
        <f t="shared" si="0"/>
        <v>0.11226369192995529</v>
      </c>
    </row>
    <row r="63" spans="1:3" x14ac:dyDescent="0.15">
      <c r="A63" t="s">
        <v>63</v>
      </c>
      <c r="B63" s="17">
        <f>IFERROR(SUMIFS('Full List'!B:B,'Full List'!A:A,NM!$A63,'Full List'!E:E,NM!$A$1),"")</f>
        <v>287837</v>
      </c>
      <c r="C63" s="18">
        <f t="shared" si="0"/>
        <v>0.19642119902525373</v>
      </c>
    </row>
    <row r="64" spans="1:3" x14ac:dyDescent="0.15">
      <c r="A64" t="s">
        <v>64</v>
      </c>
      <c r="B64" s="17">
        <f>IFERROR(SUMIFS('Full List'!B:B,'Full List'!A:A,NM!$A64,'Full List'!E:E,NM!$A$1),"")</f>
        <v>74159</v>
      </c>
      <c r="C64" s="18">
        <f t="shared" si="0"/>
        <v>5.0606418558120717E-2</v>
      </c>
    </row>
    <row r="65" spans="1:3" x14ac:dyDescent="0.15">
      <c r="A65" t="s">
        <v>65</v>
      </c>
      <c r="B65" s="17">
        <f>IFERROR(SUMIFS('Full List'!B:B,'Full List'!A:A,NM!$A65,'Full List'!E:E,NM!$A$1),"")</f>
        <v>322318</v>
      </c>
      <c r="C65" s="18">
        <f t="shared" si="0"/>
        <v>0.21995118079823558</v>
      </c>
    </row>
    <row r="66" spans="1:3" x14ac:dyDescent="0.15">
      <c r="A66" t="s">
        <v>66</v>
      </c>
      <c r="B66" s="17">
        <f>IFERROR(SUMIFS('Full List'!B:B,'Full List'!A:A,NM!$A66,'Full List'!E:E,NM!$A$1),"")</f>
        <v>168209</v>
      </c>
      <c r="C66" s="18">
        <f t="shared" si="0"/>
        <v>0.11478654053106066</v>
      </c>
    </row>
    <row r="67" spans="1:3" x14ac:dyDescent="0.15">
      <c r="A67" t="s">
        <v>67</v>
      </c>
      <c r="B67" s="17">
        <f>IFERROR(SUMIFS('Full List'!B:B,'Full List'!A:A,NM!$A67,'Full List'!E:E,NM!$A$1),"")</f>
        <v>362715</v>
      </c>
      <c r="C67" s="18">
        <f t="shared" ref="C67:C82" si="1">IFERROR(B67/$B$2,"")</f>
        <v>0.24751826625640522</v>
      </c>
    </row>
    <row r="68" spans="1:3" x14ac:dyDescent="0.15">
      <c r="A68" t="s">
        <v>68</v>
      </c>
      <c r="B68" s="17">
        <f>IFERROR(SUMIFS('Full List'!B:B,'Full List'!A:A,NM!$A68,'Full List'!E:E,NM!$A$1),"")</f>
        <v>581585</v>
      </c>
      <c r="C68" s="18">
        <f t="shared" si="1"/>
        <v>0.39687608971432509</v>
      </c>
    </row>
    <row r="69" spans="1:3" x14ac:dyDescent="0.15">
      <c r="A69" t="s">
        <v>69</v>
      </c>
      <c r="B69" s="17">
        <f>IFERROR(SUMIFS('Full List'!B:B,'Full List'!A:A,NM!$A69,'Full List'!E:E,NM!$A$1),"")</f>
        <v>974882</v>
      </c>
      <c r="C69" s="18">
        <f t="shared" si="1"/>
        <v>0.66526364347925182</v>
      </c>
    </row>
    <row r="70" spans="1:3" x14ac:dyDescent="0.15">
      <c r="A70" t="s">
        <v>70</v>
      </c>
      <c r="B70" s="17">
        <f>IFERROR(SUMIFS('Full List'!B:B,'Full List'!A:A,NM!$A70,'Full List'!E:E,NM!$A$1),"")</f>
        <v>273740</v>
      </c>
      <c r="C70" s="18">
        <f t="shared" si="1"/>
        <v>0.1868013459741901</v>
      </c>
    </row>
    <row r="71" spans="1:3" x14ac:dyDescent="0.15">
      <c r="A71" t="s">
        <v>71</v>
      </c>
      <c r="B71" s="17">
        <f>IFERROR(SUMIFS('Full List'!B:B,'Full List'!A:A,NM!$A71,'Full List'!E:E,NM!$A$1),"")</f>
        <v>106247</v>
      </c>
      <c r="C71" s="18">
        <f t="shared" si="1"/>
        <v>7.2503406903338119E-2</v>
      </c>
    </row>
    <row r="72" spans="1:3" x14ac:dyDescent="0.15">
      <c r="A72" t="s">
        <v>72</v>
      </c>
      <c r="B72" s="17">
        <f>IFERROR(SUMIFS('Full List'!B:B,'Full List'!A:A,NM!$A72,'Full List'!E:E,NM!$A$1),"")</f>
        <v>238726</v>
      </c>
      <c r="C72" s="18">
        <f t="shared" si="1"/>
        <v>0.16290764272314789</v>
      </c>
    </row>
    <row r="73" spans="1:3" x14ac:dyDescent="0.15">
      <c r="A73" t="s">
        <v>73</v>
      </c>
      <c r="B73" s="17">
        <f>IFERROR(SUMIFS('Full List'!B:B,'Full List'!A:A,NM!$A73,'Full List'!E:E,NM!$A$1),"")</f>
        <v>830112</v>
      </c>
      <c r="C73" s="18">
        <f t="shared" si="1"/>
        <v>0.56647197672728467</v>
      </c>
    </row>
    <row r="74" spans="1:3" x14ac:dyDescent="0.15">
      <c r="A74" t="s">
        <v>74</v>
      </c>
      <c r="B74" s="17">
        <f>IFERROR(SUMIFS('Full List'!B:B,'Full List'!A:A,NM!$A74,'Full List'!E:E,NM!$A$1),"")</f>
        <v>313185</v>
      </c>
      <c r="C74" s="18">
        <f t="shared" si="1"/>
        <v>0.21371878256347895</v>
      </c>
    </row>
    <row r="75" spans="1:3" x14ac:dyDescent="0.15">
      <c r="A75" t="s">
        <v>75</v>
      </c>
      <c r="B75" s="17">
        <f>IFERROR(SUMIFS('Full List'!B:B,'Full List'!A:A,NM!$A75,'Full List'!E:E,NM!$A$1),"")</f>
        <v>442155</v>
      </c>
      <c r="C75" s="18">
        <f t="shared" si="1"/>
        <v>0.30172846178570184</v>
      </c>
    </row>
    <row r="76" spans="1:3" x14ac:dyDescent="0.15">
      <c r="A76" t="s">
        <v>76</v>
      </c>
      <c r="B76" s="17">
        <f>IFERROR(SUMIFS('Full List'!B:B,'Full List'!A:A,NM!$A76,'Full List'!E:E,NM!$A$1),"")</f>
        <v>370535</v>
      </c>
      <c r="C76" s="18">
        <f t="shared" si="1"/>
        <v>0.25285466767935461</v>
      </c>
    </row>
    <row r="77" spans="1:3" x14ac:dyDescent="0.15">
      <c r="A77" t="s">
        <v>77</v>
      </c>
      <c r="B77" s="17">
        <f>IFERROR(SUMIFS('Full List'!B:B,'Full List'!A:A,NM!$A77,'Full List'!E:E,NM!$A$1),"")</f>
        <v>317290</v>
      </c>
      <c r="C77" s="18">
        <f t="shared" si="1"/>
        <v>0.21652005210839037</v>
      </c>
    </row>
    <row r="78" spans="1:3" x14ac:dyDescent="0.15">
      <c r="A78" t="s">
        <v>78</v>
      </c>
      <c r="B78" s="17">
        <f>IFERROR(SUMIFS('Full List'!B:B,'Full List'!A:A,NM!$A78,'Full List'!E:E,NM!$A$1),"")</f>
        <v>222890</v>
      </c>
      <c r="C78" s="18">
        <f t="shared" si="1"/>
        <v>0.15210108863953836</v>
      </c>
    </row>
    <row r="79" spans="1:3" x14ac:dyDescent="0.15">
      <c r="A79" t="s">
        <v>79</v>
      </c>
      <c r="B79" s="17">
        <f>IFERROR(SUMIFS('Full List'!B:B,'Full List'!A:A,NM!$A79,'Full List'!E:E,NM!$A$1),"")</f>
        <v>327220</v>
      </c>
      <c r="C79" s="18">
        <f t="shared" si="1"/>
        <v>0.22329632654955245</v>
      </c>
    </row>
    <row r="80" spans="1:3" x14ac:dyDescent="0.15">
      <c r="A80" t="s">
        <v>80</v>
      </c>
      <c r="B80" s="17">
        <f>IFERROR(SUMIFS('Full List'!B:B,'Full List'!A:A,NM!$A80,'Full List'!E:E,NM!$A$1),"")</f>
        <v>183521</v>
      </c>
      <c r="C80" s="18">
        <f t="shared" si="1"/>
        <v>0.12523551477507613</v>
      </c>
    </row>
    <row r="81" spans="1:6" x14ac:dyDescent="0.15">
      <c r="A81" t="s">
        <v>81</v>
      </c>
      <c r="B81" s="17">
        <f>IFERROR(SUMIFS('Full List'!B:B,'Full List'!A:A,NM!$A81,'Full List'!E:E,NM!$A$1),"")</f>
        <v>182775</v>
      </c>
      <c r="C81" s="18">
        <f t="shared" si="1"/>
        <v>0.12472644118664644</v>
      </c>
    </row>
    <row r="82" spans="1:6" x14ac:dyDescent="0.15">
      <c r="A82" t="s">
        <v>82</v>
      </c>
      <c r="B82" s="17">
        <f>IFERROR(SUMIFS('Full List'!B:B,'Full List'!A:A,NM!$A82,'Full List'!E:E,NM!$A$1),"")</f>
        <v>251372</v>
      </c>
      <c r="C82" s="18">
        <f t="shared" si="1"/>
        <v>0.17153732717258754</v>
      </c>
    </row>
    <row r="83" spans="1:6" x14ac:dyDescent="0.15">
      <c r="B83" s="17"/>
      <c r="C83" s="18"/>
      <c r="D83" t="s">
        <v>812</v>
      </c>
      <c r="E83" t="s">
        <v>860</v>
      </c>
    </row>
    <row r="84" spans="1:6" x14ac:dyDescent="0.15">
      <c r="A84" t="s">
        <v>917</v>
      </c>
      <c r="B84" s="17">
        <v>480034</v>
      </c>
      <c r="C84" s="18">
        <f t="shared" ref="C84:C89" si="2">IFERROR(B84/$B$2,"")</f>
        <v>0.32757725328185278</v>
      </c>
      <c r="D84">
        <v>27</v>
      </c>
      <c r="E84" t="str">
        <f>VLOOKUP(D84,Validation!$A$2:$C$41,3,FALSE)</f>
        <v xml:space="preserve">NFL </v>
      </c>
      <c r="F84" t="s">
        <v>1350</v>
      </c>
    </row>
    <row r="85" spans="1:6" x14ac:dyDescent="0.15">
      <c r="A85" t="s">
        <v>1103</v>
      </c>
      <c r="B85" s="17">
        <v>427579</v>
      </c>
      <c r="C85" s="18">
        <f t="shared" si="2"/>
        <v>0.2917817370873757</v>
      </c>
      <c r="D85">
        <v>27</v>
      </c>
      <c r="E85" t="str">
        <f>VLOOKUP(D85,Validation!$A$2:$C$41,3,FALSE)</f>
        <v xml:space="preserve">NFL </v>
      </c>
      <c r="F85" t="s">
        <v>1351</v>
      </c>
    </row>
    <row r="86" spans="1:6" x14ac:dyDescent="0.15">
      <c r="A86" t="s">
        <v>1104</v>
      </c>
      <c r="B86" s="17">
        <v>427210</v>
      </c>
      <c r="C86" s="18">
        <f t="shared" si="2"/>
        <v>0.291529929910257</v>
      </c>
      <c r="D86">
        <v>4</v>
      </c>
      <c r="E86" t="str">
        <f>VLOOKUP(D86,Validation!$A$2:$C$41,3,FALSE)</f>
        <v>MCB</v>
      </c>
      <c r="F86" t="s">
        <v>1351</v>
      </c>
    </row>
    <row r="87" spans="1:6" x14ac:dyDescent="0.15">
      <c r="A87" t="s">
        <v>1105</v>
      </c>
      <c r="B87" s="17">
        <v>285796</v>
      </c>
      <c r="C87" s="18">
        <f t="shared" si="2"/>
        <v>0.19502841190194942</v>
      </c>
      <c r="D87">
        <v>5</v>
      </c>
      <c r="E87" t="str">
        <f>VLOOKUP(D87,Validation!$A$2:$C$41,3,FALSE)</f>
        <v>CFB</v>
      </c>
      <c r="F87" t="s">
        <v>1351</v>
      </c>
    </row>
    <row r="88" spans="1:6" x14ac:dyDescent="0.15">
      <c r="A88" t="s">
        <v>1106</v>
      </c>
      <c r="B88" s="17">
        <v>132373</v>
      </c>
      <c r="C88" s="18">
        <f t="shared" si="2"/>
        <v>9.0331900966762135E-2</v>
      </c>
      <c r="D88">
        <v>4</v>
      </c>
      <c r="E88" t="str">
        <f>VLOOKUP(D88,Validation!$A$2:$C$41,3,FALSE)</f>
        <v>MCB</v>
      </c>
      <c r="F88" t="s">
        <v>1350</v>
      </c>
    </row>
    <row r="89" spans="1:6" x14ac:dyDescent="0.15">
      <c r="A89" t="s">
        <v>1107</v>
      </c>
      <c r="B89" s="17">
        <v>88117</v>
      </c>
      <c r="C89" s="18">
        <f t="shared" si="2"/>
        <v>6.0131417415093556E-2</v>
      </c>
      <c r="D89">
        <v>5</v>
      </c>
      <c r="E89" t="str">
        <f>VLOOKUP(D89,Validation!$A$2:$C$41,3,FALSE)</f>
        <v>CFB</v>
      </c>
      <c r="F89" t="s">
        <v>1350</v>
      </c>
    </row>
    <row r="90" spans="1:6" x14ac:dyDescent="0.15">
      <c r="B90" s="17"/>
      <c r="C90" s="18"/>
    </row>
    <row r="91" spans="1:6" x14ac:dyDescent="0.15">
      <c r="B91" s="17"/>
      <c r="C91" s="18"/>
    </row>
    <row r="92" spans="1:6" x14ac:dyDescent="0.15">
      <c r="B92" s="17"/>
      <c r="C92" s="18"/>
    </row>
    <row r="93" spans="1:6" x14ac:dyDescent="0.15">
      <c r="B93" s="17"/>
      <c r="C93" s="18"/>
    </row>
    <row r="94" spans="1:6" x14ac:dyDescent="0.15">
      <c r="B94" s="17"/>
      <c r="C94" s="18"/>
    </row>
    <row r="95" spans="1:6" x14ac:dyDescent="0.15">
      <c r="B95" s="17"/>
      <c r="C95" s="18"/>
    </row>
    <row r="96" spans="1:6" x14ac:dyDescent="0.15">
      <c r="B96" s="17"/>
      <c r="C96" s="18"/>
    </row>
    <row r="97" spans="2:3" x14ac:dyDescent="0.15">
      <c r="B97" s="17"/>
      <c r="C97" s="18"/>
    </row>
    <row r="98" spans="2:3" x14ac:dyDescent="0.15">
      <c r="B98" s="17"/>
      <c r="C98" s="18"/>
    </row>
  </sheetData>
  <pageMargins left="0.7" right="0.7" top="0.75" bottom="0.75" header="0.3" footer="0.3"/>
  <pageSetup orientation="portrait" verticalDpi="0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 enableFormatConditionsCalculation="0"/>
  <dimension ref="A1:F97"/>
  <sheetViews>
    <sheetView topLeftCell="A61" zoomScale="85" zoomScaleNormal="85" zoomScalePageLayoutView="85" workbookViewId="0">
      <selection activeCell="F85" sqref="F85"/>
    </sheetView>
  </sheetViews>
  <sheetFormatPr baseColWidth="10" defaultColWidth="8.83203125" defaultRowHeight="13" x14ac:dyDescent="0.15"/>
  <cols>
    <col min="1" max="1" width="33.33203125" bestFit="1" customWidth="1"/>
    <col min="2" max="2" width="10.5" bestFit="1" customWidth="1"/>
  </cols>
  <sheetData>
    <row r="1" spans="1:3" x14ac:dyDescent="0.15">
      <c r="A1" t="s">
        <v>512</v>
      </c>
      <c r="B1" t="s">
        <v>807</v>
      </c>
      <c r="C1" t="s">
        <v>811</v>
      </c>
    </row>
    <row r="2" spans="1:3" x14ac:dyDescent="0.15">
      <c r="A2" t="s">
        <v>0</v>
      </c>
      <c r="B2" s="17">
        <f>IFERROR(SUMIFS('Full List'!B:B,'Full List'!A:A,NV!$A2,'Full List'!E:E,NV!$A$1),"")</f>
        <v>1531099</v>
      </c>
      <c r="C2" s="18">
        <f>IFERROR(B2/$B$2,"")</f>
        <v>1</v>
      </c>
    </row>
    <row r="3" spans="1:3" x14ac:dyDescent="0.15">
      <c r="A3" t="s">
        <v>3</v>
      </c>
      <c r="B3" s="17">
        <f>IFERROR(SUMIFS('Full List'!B:B,'Full List'!A:A,NV!$A3,'Full List'!E:E,NV!$A$1),"")</f>
        <v>23110</v>
      </c>
      <c r="C3" s="18">
        <f t="shared" ref="C3:C66" si="0">IFERROR(B3/$B$2,"")</f>
        <v>1.5093733324886241E-2</v>
      </c>
    </row>
    <row r="4" spans="1:3" x14ac:dyDescent="0.15">
      <c r="A4" t="s">
        <v>4</v>
      </c>
      <c r="B4" s="17">
        <f>IFERROR(SUMIFS('Full List'!B:B,'Full List'!A:A,NV!$A4,'Full List'!E:E,NV!$A$1),"")</f>
        <v>15714</v>
      </c>
      <c r="C4" s="18">
        <f t="shared" si="0"/>
        <v>1.0263216160418105E-2</v>
      </c>
    </row>
    <row r="5" spans="1:3" x14ac:dyDescent="0.15">
      <c r="A5" t="s">
        <v>5</v>
      </c>
      <c r="B5" s="17">
        <f>IFERROR(SUMIFS('Full List'!B:B,'Full List'!A:A,NV!$A5,'Full List'!E:E,NV!$A$1),"")</f>
        <v>28827</v>
      </c>
      <c r="C5" s="18">
        <f t="shared" si="0"/>
        <v>1.8827652555451997E-2</v>
      </c>
    </row>
    <row r="6" spans="1:3" x14ac:dyDescent="0.15">
      <c r="A6" t="s">
        <v>6</v>
      </c>
      <c r="B6" s="17">
        <f>IFERROR(SUMIFS('Full List'!B:B,'Full List'!A:A,NV!$A6,'Full List'!E:E,NV!$A$1),"")</f>
        <v>136811</v>
      </c>
      <c r="C6" s="18">
        <f t="shared" si="0"/>
        <v>8.9354770658200411E-2</v>
      </c>
    </row>
    <row r="7" spans="1:3" x14ac:dyDescent="0.15">
      <c r="A7" t="s">
        <v>7</v>
      </c>
      <c r="B7" s="17">
        <f>IFERROR(SUMIFS('Full List'!B:B,'Full List'!A:A,NV!$A7,'Full List'!E:E,NV!$A$1),"")</f>
        <v>204582</v>
      </c>
      <c r="C7" s="18">
        <f t="shared" si="0"/>
        <v>0.1336177477746377</v>
      </c>
    </row>
    <row r="8" spans="1:3" x14ac:dyDescent="0.15">
      <c r="A8" t="s">
        <v>8</v>
      </c>
      <c r="B8" s="17">
        <f>IFERROR(SUMIFS('Full List'!B:B,'Full List'!A:A,NV!$A8,'Full List'!E:E,NV!$A$1),"")</f>
        <v>14007</v>
      </c>
      <c r="C8" s="18">
        <f t="shared" si="0"/>
        <v>9.1483307088568409E-3</v>
      </c>
    </row>
    <row r="9" spans="1:3" x14ac:dyDescent="0.15">
      <c r="A9" t="s">
        <v>9</v>
      </c>
      <c r="B9" s="17">
        <f>IFERROR(SUMIFS('Full List'!B:B,'Full List'!A:A,NV!$A9,'Full List'!E:E,NV!$A$1),"")</f>
        <v>45972</v>
      </c>
      <c r="C9" s="18">
        <f t="shared" si="0"/>
        <v>3.0025491493365222E-2</v>
      </c>
    </row>
    <row r="10" spans="1:3" x14ac:dyDescent="0.15">
      <c r="A10" t="s">
        <v>10</v>
      </c>
      <c r="B10" s="17">
        <f>IFERROR(SUMIFS('Full List'!B:B,'Full List'!A:A,NV!$A10,'Full List'!E:E,NV!$A$1),"")</f>
        <v>51678</v>
      </c>
      <c r="C10" s="18">
        <f t="shared" si="0"/>
        <v>3.3752226341993562E-2</v>
      </c>
    </row>
    <row r="11" spans="1:3" x14ac:dyDescent="0.15">
      <c r="A11" t="s">
        <v>11</v>
      </c>
      <c r="B11" s="17">
        <f>IFERROR(SUMIFS('Full List'!B:B,'Full List'!A:A,NV!$A11,'Full List'!E:E,NV!$A$1),"")</f>
        <v>77261</v>
      </c>
      <c r="C11" s="18">
        <f t="shared" si="0"/>
        <v>5.0461139351537683E-2</v>
      </c>
    </row>
    <row r="12" spans="1:3" x14ac:dyDescent="0.15">
      <c r="A12" t="s">
        <v>12</v>
      </c>
      <c r="B12" s="17">
        <f>IFERROR(SUMIFS('Full List'!B:B,'Full List'!A:A,NV!$A12,'Full List'!E:E,NV!$A$1),"")</f>
        <v>36065</v>
      </c>
      <c r="C12" s="18">
        <f t="shared" si="0"/>
        <v>2.3554975870273574E-2</v>
      </c>
    </row>
    <row r="13" spans="1:3" x14ac:dyDescent="0.15">
      <c r="A13" t="s">
        <v>13</v>
      </c>
      <c r="B13" s="17">
        <f>IFERROR(SUMIFS('Full List'!B:B,'Full List'!A:A,NV!$A13,'Full List'!E:E,NV!$A$1),"")</f>
        <v>17278</v>
      </c>
      <c r="C13" s="18">
        <f t="shared" si="0"/>
        <v>1.1284704646792924E-2</v>
      </c>
    </row>
    <row r="14" spans="1:3" x14ac:dyDescent="0.15">
      <c r="A14" t="s">
        <v>14</v>
      </c>
      <c r="B14" s="17">
        <f>IFERROR(SUMIFS('Full List'!B:B,'Full List'!A:A,NV!$A14,'Full List'!E:E,NV!$A$1),"")</f>
        <v>134260</v>
      </c>
      <c r="C14" s="18">
        <f t="shared" si="0"/>
        <v>8.7688647174349932E-2</v>
      </c>
    </row>
    <row r="15" spans="1:3" x14ac:dyDescent="0.15">
      <c r="A15" t="s">
        <v>15</v>
      </c>
      <c r="B15" s="17">
        <f>IFERROR(SUMIFS('Full List'!B:B,'Full List'!A:A,NV!$A15,'Full List'!E:E,NV!$A$1),"")</f>
        <v>38602</v>
      </c>
      <c r="C15" s="18">
        <f t="shared" si="0"/>
        <v>2.521195559529462E-2</v>
      </c>
    </row>
    <row r="16" spans="1:3" x14ac:dyDescent="0.15">
      <c r="A16" t="s">
        <v>16</v>
      </c>
      <c r="B16" s="17">
        <f>IFERROR(SUMIFS('Full List'!B:B,'Full List'!A:A,NV!$A16,'Full List'!E:E,NV!$A$1),"")</f>
        <v>37075</v>
      </c>
      <c r="C16" s="18">
        <f t="shared" si="0"/>
        <v>2.4214632757254755E-2</v>
      </c>
    </row>
    <row r="17" spans="1:3" x14ac:dyDescent="0.15">
      <c r="A17" t="s">
        <v>17</v>
      </c>
      <c r="B17" s="17">
        <f>IFERROR(SUMIFS('Full List'!B:B,'Full List'!A:A,NV!$A17,'Full List'!E:E,NV!$A$1),"")</f>
        <v>44013</v>
      </c>
      <c r="C17" s="18">
        <f t="shared" si="0"/>
        <v>2.8746018382874002E-2</v>
      </c>
    </row>
    <row r="18" spans="1:3" x14ac:dyDescent="0.15">
      <c r="A18" t="s">
        <v>18</v>
      </c>
      <c r="B18" s="17">
        <f>IFERROR(SUMIFS('Full List'!B:B,'Full List'!A:A,NV!$A18,'Full List'!E:E,NV!$A$1),"")</f>
        <v>26240</v>
      </c>
      <c r="C18" s="18">
        <f t="shared" si="0"/>
        <v>1.7138016548897229E-2</v>
      </c>
    </row>
    <row r="19" spans="1:3" x14ac:dyDescent="0.15">
      <c r="A19" t="s">
        <v>19</v>
      </c>
      <c r="B19" s="17">
        <f>IFERROR(SUMIFS('Full List'!B:B,'Full List'!A:A,NV!$A19,'Full List'!E:E,NV!$A$1),"")</f>
        <v>169385</v>
      </c>
      <c r="C19" s="18">
        <f t="shared" si="0"/>
        <v>0.11062968495178953</v>
      </c>
    </row>
    <row r="20" spans="1:3" x14ac:dyDescent="0.15">
      <c r="A20" t="s">
        <v>20</v>
      </c>
      <c r="B20" s="17">
        <f>IFERROR(SUMIFS('Full List'!B:B,'Full List'!A:A,NV!$A20,'Full List'!E:E,NV!$A$1),"")</f>
        <v>23864</v>
      </c>
      <c r="C20" s="18">
        <f t="shared" si="0"/>
        <v>1.5586190050414768E-2</v>
      </c>
    </row>
    <row r="21" spans="1:3" x14ac:dyDescent="0.15">
      <c r="A21" t="s">
        <v>21</v>
      </c>
      <c r="B21" s="17">
        <f>IFERROR(SUMIFS('Full List'!B:B,'Full List'!A:A,NV!$A21,'Full List'!E:E,NV!$A$1),"")</f>
        <v>54469</v>
      </c>
      <c r="C21" s="18">
        <f t="shared" si="0"/>
        <v>3.5575099977205912E-2</v>
      </c>
    </row>
    <row r="22" spans="1:3" x14ac:dyDescent="0.15">
      <c r="A22" t="s">
        <v>22</v>
      </c>
      <c r="B22" s="17">
        <f>IFERROR(SUMIFS('Full List'!B:B,'Full List'!A:A,NV!$A22,'Full List'!E:E,NV!$A$1),"")</f>
        <v>31559</v>
      </c>
      <c r="C22" s="18">
        <f t="shared" si="0"/>
        <v>2.0611991778454561E-2</v>
      </c>
    </row>
    <row r="23" spans="1:3" x14ac:dyDescent="0.15">
      <c r="A23" t="s">
        <v>23</v>
      </c>
      <c r="B23" s="17">
        <f>IFERROR(SUMIFS('Full List'!B:B,'Full List'!A:A,NV!$A23,'Full List'!E:E,NV!$A$1),"")</f>
        <v>20311</v>
      </c>
      <c r="C23" s="18">
        <f t="shared" si="0"/>
        <v>1.3265634684628493E-2</v>
      </c>
    </row>
    <row r="24" spans="1:3" x14ac:dyDescent="0.15">
      <c r="A24" t="s">
        <v>24</v>
      </c>
      <c r="B24" s="17">
        <f>IFERROR(SUMIFS('Full List'!B:B,'Full List'!A:A,NV!$A24,'Full List'!E:E,NV!$A$1),"")</f>
        <v>15801</v>
      </c>
      <c r="C24" s="18">
        <f t="shared" si="0"/>
        <v>1.0320038090286782E-2</v>
      </c>
    </row>
    <row r="25" spans="1:3" x14ac:dyDescent="0.15">
      <c r="A25" t="s">
        <v>25</v>
      </c>
      <c r="B25" s="17">
        <f>IFERROR(SUMIFS('Full List'!B:B,'Full List'!A:A,NV!$A25,'Full List'!E:E,NV!$A$1),"")</f>
        <v>32469</v>
      </c>
      <c r="C25" s="18">
        <f t="shared" si="0"/>
        <v>2.1206336102368301E-2</v>
      </c>
    </row>
    <row r="26" spans="1:3" x14ac:dyDescent="0.15">
      <c r="A26" t="s">
        <v>26</v>
      </c>
      <c r="B26" s="17">
        <f>IFERROR(SUMIFS('Full List'!B:B,'Full List'!A:A,NV!$A26,'Full List'!E:E,NV!$A$1),"")</f>
        <v>31650</v>
      </c>
      <c r="C26" s="18">
        <f t="shared" si="0"/>
        <v>2.0671426210845934E-2</v>
      </c>
    </row>
    <row r="27" spans="1:3" x14ac:dyDescent="0.15">
      <c r="A27" t="s">
        <v>27</v>
      </c>
      <c r="B27" s="17">
        <f>IFERROR(SUMIFS('Full List'!B:B,'Full List'!A:A,NV!$A27,'Full List'!E:E,NV!$A$1),"")</f>
        <v>135541</v>
      </c>
      <c r="C27" s="18">
        <f t="shared" si="0"/>
        <v>8.8525301107243881E-2</v>
      </c>
    </row>
    <row r="28" spans="1:3" x14ac:dyDescent="0.15">
      <c r="A28" t="s">
        <v>28</v>
      </c>
      <c r="B28" s="17">
        <f>IFERROR(SUMIFS('Full List'!B:B,'Full List'!A:A,NV!$A28,'Full List'!E:E,NV!$A$1),"")</f>
        <v>157905</v>
      </c>
      <c r="C28" s="18">
        <f t="shared" si="0"/>
        <v>0.103131802711647</v>
      </c>
    </row>
    <row r="29" spans="1:3" x14ac:dyDescent="0.15">
      <c r="A29" t="s">
        <v>29</v>
      </c>
      <c r="B29" s="17">
        <f>IFERROR(SUMIFS('Full List'!B:B,'Full List'!A:A,NV!$A29,'Full List'!E:E,NV!$A$1),"")</f>
        <v>421518</v>
      </c>
      <c r="C29" s="18">
        <f t="shared" si="0"/>
        <v>0.2753042095906274</v>
      </c>
    </row>
    <row r="30" spans="1:3" x14ac:dyDescent="0.15">
      <c r="A30" t="s">
        <v>30</v>
      </c>
      <c r="B30" s="17">
        <f>IFERROR(SUMIFS('Full List'!B:B,'Full List'!A:A,NV!$A30,'Full List'!E:E,NV!$A$1),"")</f>
        <v>51547</v>
      </c>
      <c r="C30" s="18">
        <f t="shared" si="0"/>
        <v>3.366666688437521E-2</v>
      </c>
    </row>
    <row r="31" spans="1:3" x14ac:dyDescent="0.15">
      <c r="A31" t="s">
        <v>31</v>
      </c>
      <c r="B31" s="17">
        <f>IFERROR(SUMIFS('Full List'!B:B,'Full List'!A:A,NV!$A31,'Full List'!E:E,NV!$A$1),"")</f>
        <v>11822</v>
      </c>
      <c r="C31" s="18">
        <f t="shared" si="0"/>
        <v>7.7212512058331953E-3</v>
      </c>
    </row>
    <row r="32" spans="1:3" x14ac:dyDescent="0.15">
      <c r="A32" t="s">
        <v>32</v>
      </c>
      <c r="B32" s="17">
        <f>IFERROR(SUMIFS('Full List'!B:B,'Full List'!A:A,NV!$A32,'Full List'!E:E,NV!$A$1),"")</f>
        <v>71701</v>
      </c>
      <c r="C32" s="18">
        <f t="shared" si="0"/>
        <v>4.6829760844987814E-2</v>
      </c>
    </row>
    <row r="33" spans="1:3" x14ac:dyDescent="0.15">
      <c r="A33" t="s">
        <v>33</v>
      </c>
      <c r="B33" s="17">
        <f>IFERROR(SUMIFS('Full List'!B:B,'Full List'!A:A,NV!$A33,'Full List'!E:E,NV!$A$1),"")</f>
        <v>381711</v>
      </c>
      <c r="C33" s="18">
        <f t="shared" si="0"/>
        <v>0.24930523761037007</v>
      </c>
    </row>
    <row r="34" spans="1:3" x14ac:dyDescent="0.15">
      <c r="A34" t="s">
        <v>34</v>
      </c>
      <c r="B34" s="17">
        <f>IFERROR(SUMIFS('Full List'!B:B,'Full List'!A:A,NV!$A34,'Full List'!E:E,NV!$A$1),"")</f>
        <v>131916</v>
      </c>
      <c r="C34" s="18">
        <f t="shared" si="0"/>
        <v>8.6157720696049045E-2</v>
      </c>
    </row>
    <row r="35" spans="1:3" x14ac:dyDescent="0.15">
      <c r="A35" t="s">
        <v>35</v>
      </c>
      <c r="B35" s="17">
        <f>IFERROR(SUMIFS('Full List'!B:B,'Full List'!A:A,NV!$A35,'Full List'!E:E,NV!$A$1),"")</f>
        <v>102809</v>
      </c>
      <c r="C35" s="18">
        <f t="shared" si="0"/>
        <v>6.7147192964008201E-2</v>
      </c>
    </row>
    <row r="36" spans="1:3" x14ac:dyDescent="0.15">
      <c r="A36" t="s">
        <v>36</v>
      </c>
      <c r="B36" s="17">
        <f>IFERROR(SUMIFS('Full List'!B:B,'Full List'!A:A,NV!$A36,'Full List'!E:E,NV!$A$1),"")</f>
        <v>40006</v>
      </c>
      <c r="C36" s="18">
        <f t="shared" si="0"/>
        <v>2.6128943980761533E-2</v>
      </c>
    </row>
    <row r="37" spans="1:3" x14ac:dyDescent="0.15">
      <c r="A37" t="s">
        <v>37</v>
      </c>
      <c r="B37" s="17">
        <f>IFERROR(SUMIFS('Full List'!B:B,'Full List'!A:A,NV!$A37,'Full List'!E:E,NV!$A$1),"")</f>
        <v>29356</v>
      </c>
      <c r="C37" s="18">
        <f t="shared" si="0"/>
        <v>1.9173156014078777E-2</v>
      </c>
    </row>
    <row r="38" spans="1:3" x14ac:dyDescent="0.15">
      <c r="A38" t="s">
        <v>38</v>
      </c>
      <c r="B38" s="17">
        <f>IFERROR(SUMIFS('Full List'!B:B,'Full List'!A:A,NV!$A38,'Full List'!E:E,NV!$A$1),"")</f>
        <v>40689</v>
      </c>
      <c r="C38" s="18">
        <f t="shared" si="0"/>
        <v>2.6575028786512172E-2</v>
      </c>
    </row>
    <row r="39" spans="1:3" x14ac:dyDescent="0.15">
      <c r="A39" t="s">
        <v>39</v>
      </c>
      <c r="B39" s="17">
        <f>IFERROR(SUMIFS('Full List'!B:B,'Full List'!A:A,NV!$A39,'Full List'!E:E,NV!$A$1),"")</f>
        <v>112029</v>
      </c>
      <c r="C39" s="18">
        <f t="shared" si="0"/>
        <v>7.316901127882651E-2</v>
      </c>
    </row>
    <row r="40" spans="1:3" x14ac:dyDescent="0.15">
      <c r="A40" t="s">
        <v>40</v>
      </c>
      <c r="B40" s="17">
        <f>IFERROR(SUMIFS('Full List'!B:B,'Full List'!A:A,NV!$A40,'Full List'!E:E,NV!$A$1),"")</f>
        <v>11489</v>
      </c>
      <c r="C40" s="18">
        <f t="shared" si="0"/>
        <v>7.5037603708186084E-3</v>
      </c>
    </row>
    <row r="41" spans="1:3" x14ac:dyDescent="0.15">
      <c r="A41" t="s">
        <v>41</v>
      </c>
      <c r="B41" s="17">
        <f>IFERROR(SUMIFS('Full List'!B:B,'Full List'!A:A,NV!$A41,'Full List'!E:E,NV!$A$1),"")</f>
        <v>46458</v>
      </c>
      <c r="C41" s="18">
        <f t="shared" si="0"/>
        <v>3.0342910549872999E-2</v>
      </c>
    </row>
    <row r="42" spans="1:3" x14ac:dyDescent="0.15">
      <c r="A42" t="s">
        <v>42</v>
      </c>
      <c r="B42" s="17">
        <f>IFERROR(SUMIFS('Full List'!B:B,'Full List'!A:A,NV!$A42,'Full List'!E:E,NV!$A$1),"")</f>
        <v>36686</v>
      </c>
      <c r="C42" s="18">
        <f t="shared" si="0"/>
        <v>2.3960566886922399E-2</v>
      </c>
    </row>
    <row r="43" spans="1:3" x14ac:dyDescent="0.15">
      <c r="A43" t="s">
        <v>43</v>
      </c>
      <c r="B43" s="17">
        <f>IFERROR(SUMIFS('Full List'!B:B,'Full List'!A:A,NV!$A43,'Full List'!E:E,NV!$A$1),"")</f>
        <v>145264</v>
      </c>
      <c r="C43" s="18">
        <f t="shared" si="0"/>
        <v>9.4875641614291434E-2</v>
      </c>
    </row>
    <row r="44" spans="1:3" x14ac:dyDescent="0.15">
      <c r="A44" t="s">
        <v>44</v>
      </c>
      <c r="B44" s="17">
        <f>IFERROR(SUMIFS('Full List'!B:B,'Full List'!A:A,NV!$A44,'Full List'!E:E,NV!$A$1),"")</f>
        <v>157074</v>
      </c>
      <c r="C44" s="18">
        <f t="shared" si="0"/>
        <v>0.10258905531255653</v>
      </c>
    </row>
    <row r="45" spans="1:3" x14ac:dyDescent="0.15">
      <c r="A45" t="s">
        <v>45</v>
      </c>
      <c r="B45" s="17">
        <f>IFERROR(SUMIFS('Full List'!B:B,'Full List'!A:A,NV!$A45,'Full List'!E:E,NV!$A$1),"")</f>
        <v>258344</v>
      </c>
      <c r="C45" s="18">
        <f t="shared" si="0"/>
        <v>0.16873108793095679</v>
      </c>
    </row>
    <row r="46" spans="1:3" x14ac:dyDescent="0.15">
      <c r="A46" t="s">
        <v>46</v>
      </c>
      <c r="B46" s="17">
        <f>IFERROR(SUMIFS('Full List'!B:B,'Full List'!A:A,NV!$A46,'Full List'!E:E,NV!$A$1),"")</f>
        <v>447433</v>
      </c>
      <c r="C46" s="18">
        <f t="shared" si="0"/>
        <v>0.29222996030955545</v>
      </c>
    </row>
    <row r="47" spans="1:3" x14ac:dyDescent="0.15">
      <c r="A47" t="s">
        <v>47</v>
      </c>
      <c r="B47" s="17">
        <f>IFERROR(SUMIFS('Full List'!B:B,'Full List'!A:A,NV!$A47,'Full List'!E:E,NV!$A$1),"")</f>
        <v>561402</v>
      </c>
      <c r="C47" s="18">
        <f t="shared" si="0"/>
        <v>0.36666603531189035</v>
      </c>
    </row>
    <row r="48" spans="1:3" x14ac:dyDescent="0.15">
      <c r="A48" t="s">
        <v>48</v>
      </c>
      <c r="B48" s="17">
        <f>IFERROR(SUMIFS('Full List'!B:B,'Full List'!A:A,NV!$A48,'Full List'!E:E,NV!$A$1),"")</f>
        <v>122456</v>
      </c>
      <c r="C48" s="18">
        <f t="shared" si="0"/>
        <v>7.9979152229868872E-2</v>
      </c>
    </row>
    <row r="49" spans="1:3" x14ac:dyDescent="0.15">
      <c r="A49" t="s">
        <v>49</v>
      </c>
      <c r="B49" s="17">
        <f>IFERROR(SUMIFS('Full List'!B:B,'Full List'!A:A,NV!$A49,'Full List'!E:E,NV!$A$1),"")</f>
        <v>244630</v>
      </c>
      <c r="C49" s="18">
        <f t="shared" si="0"/>
        <v>0.15977412303188757</v>
      </c>
    </row>
    <row r="50" spans="1:3" x14ac:dyDescent="0.15">
      <c r="A50" t="s">
        <v>50</v>
      </c>
      <c r="B50" s="17">
        <f>IFERROR(SUMIFS('Full List'!B:B,'Full List'!A:A,NV!$A50,'Full List'!E:E,NV!$A$1),"")</f>
        <v>256787</v>
      </c>
      <c r="C50" s="18">
        <f t="shared" si="0"/>
        <v>0.16771417132399669</v>
      </c>
    </row>
    <row r="51" spans="1:3" x14ac:dyDescent="0.15">
      <c r="A51" t="s">
        <v>51</v>
      </c>
      <c r="B51" s="17">
        <f>IFERROR(SUMIFS('Full List'!B:B,'Full List'!A:A,NV!$A51,'Full List'!E:E,NV!$A$1),"")</f>
        <v>433605</v>
      </c>
      <c r="C51" s="18">
        <f t="shared" si="0"/>
        <v>0.28319853908858933</v>
      </c>
    </row>
    <row r="52" spans="1:3" x14ac:dyDescent="0.15">
      <c r="A52" t="s">
        <v>52</v>
      </c>
      <c r="B52" s="17">
        <f>IFERROR(SUMIFS('Full List'!B:B,'Full List'!A:A,NV!$A52,'Full List'!E:E,NV!$A$1),"")</f>
        <v>223045</v>
      </c>
      <c r="C52" s="18">
        <f t="shared" si="0"/>
        <v>0.14567640629377981</v>
      </c>
    </row>
    <row r="53" spans="1:3" x14ac:dyDescent="0.15">
      <c r="A53" t="s">
        <v>53</v>
      </c>
      <c r="B53" s="17">
        <f>IFERROR(SUMIFS('Full List'!B:B,'Full List'!A:A,NV!$A53,'Full List'!E:E,NV!$A$1),"")</f>
        <v>139933</v>
      </c>
      <c r="C53" s="18">
        <f t="shared" si="0"/>
        <v>9.1393828877166003E-2</v>
      </c>
    </row>
    <row r="54" spans="1:3" x14ac:dyDescent="0.15">
      <c r="A54" t="s">
        <v>54</v>
      </c>
      <c r="B54" s="17">
        <f>IFERROR(SUMIFS('Full List'!B:B,'Full List'!A:A,NV!$A54,'Full List'!E:E,NV!$A$1),"")</f>
        <v>526080</v>
      </c>
      <c r="C54" s="18">
        <f t="shared" si="0"/>
        <v>0.34359633178520788</v>
      </c>
    </row>
    <row r="55" spans="1:3" x14ac:dyDescent="0.15">
      <c r="A55" t="s">
        <v>55</v>
      </c>
      <c r="B55" s="17">
        <f>IFERROR(SUMIFS('Full List'!B:B,'Full List'!A:A,NV!$A55,'Full List'!E:E,NV!$A$1),"")</f>
        <v>266962</v>
      </c>
      <c r="C55" s="18">
        <f t="shared" si="0"/>
        <v>0.17435972461610907</v>
      </c>
    </row>
    <row r="56" spans="1:3" x14ac:dyDescent="0.15">
      <c r="A56" t="s">
        <v>56</v>
      </c>
      <c r="B56" s="17">
        <f>IFERROR(SUMIFS('Full List'!B:B,'Full List'!A:A,NV!$A56,'Full List'!E:E,NV!$A$1),"")</f>
        <v>340152</v>
      </c>
      <c r="C56" s="18">
        <f t="shared" si="0"/>
        <v>0.22216198952517113</v>
      </c>
    </row>
    <row r="57" spans="1:3" x14ac:dyDescent="0.15">
      <c r="A57" t="s">
        <v>57</v>
      </c>
      <c r="B57" s="17">
        <f>IFERROR(SUMIFS('Full List'!B:B,'Full List'!A:A,NV!$A57,'Full List'!E:E,NV!$A$1),"")</f>
        <v>268018</v>
      </c>
      <c r="C57" s="18">
        <f t="shared" si="0"/>
        <v>0.1750494252821013</v>
      </c>
    </row>
    <row r="58" spans="1:3" x14ac:dyDescent="0.15">
      <c r="A58" t="s">
        <v>58</v>
      </c>
      <c r="B58" s="17">
        <f>IFERROR(SUMIFS('Full List'!B:B,'Full List'!A:A,NV!$A58,'Full List'!E:E,NV!$A$1),"")</f>
        <v>175286</v>
      </c>
      <c r="C58" s="18">
        <f t="shared" si="0"/>
        <v>0.11448377929839938</v>
      </c>
    </row>
    <row r="59" spans="1:3" x14ac:dyDescent="0.15">
      <c r="A59" t="s">
        <v>59</v>
      </c>
      <c r="B59" s="17">
        <f>IFERROR(SUMIFS('Full List'!B:B,'Full List'!A:A,NV!$A59,'Full List'!E:E,NV!$A$1),"")</f>
        <v>615076</v>
      </c>
      <c r="C59" s="18">
        <f t="shared" si="0"/>
        <v>0.40172190041271011</v>
      </c>
    </row>
    <row r="60" spans="1:3" x14ac:dyDescent="0.15">
      <c r="A60" t="s">
        <v>60</v>
      </c>
      <c r="B60" s="17">
        <f>IFERROR(SUMIFS('Full List'!B:B,'Full List'!A:A,NV!$A60,'Full List'!E:E,NV!$A$1),"")</f>
        <v>256950</v>
      </c>
      <c r="C60" s="18">
        <f t="shared" si="0"/>
        <v>0.16782063080179663</v>
      </c>
    </row>
    <row r="61" spans="1:3" x14ac:dyDescent="0.15">
      <c r="A61" t="s">
        <v>61</v>
      </c>
      <c r="B61" s="17">
        <f>IFERROR(SUMIFS('Full List'!B:B,'Full List'!A:A,NV!$A61,'Full List'!E:E,NV!$A$1),"")</f>
        <v>268720</v>
      </c>
      <c r="C61" s="18">
        <f t="shared" si="0"/>
        <v>0.17550791947483474</v>
      </c>
    </row>
    <row r="62" spans="1:3" x14ac:dyDescent="0.15">
      <c r="A62" t="s">
        <v>62</v>
      </c>
      <c r="B62" s="17">
        <f>IFERROR(SUMIFS('Full List'!B:B,'Full List'!A:A,NV!$A62,'Full List'!E:E,NV!$A$1),"")</f>
        <v>245440</v>
      </c>
      <c r="C62" s="18">
        <f t="shared" si="0"/>
        <v>0.16030315479273385</v>
      </c>
    </row>
    <row r="63" spans="1:3" x14ac:dyDescent="0.15">
      <c r="A63" t="s">
        <v>63</v>
      </c>
      <c r="B63" s="17">
        <f>IFERROR(SUMIFS('Full List'!B:B,'Full List'!A:A,NV!$A63,'Full List'!E:E,NV!$A$1),"")</f>
        <v>220652</v>
      </c>
      <c r="C63" s="18">
        <f t="shared" si="0"/>
        <v>0.14411347665957591</v>
      </c>
    </row>
    <row r="64" spans="1:3" x14ac:dyDescent="0.15">
      <c r="A64" t="s">
        <v>64</v>
      </c>
      <c r="B64" s="17">
        <f>IFERROR(SUMIFS('Full List'!B:B,'Full List'!A:A,NV!$A64,'Full List'!E:E,NV!$A$1),"")</f>
        <v>75952</v>
      </c>
      <c r="C64" s="18">
        <f t="shared" si="0"/>
        <v>4.9606197900984847E-2</v>
      </c>
    </row>
    <row r="65" spans="1:3" x14ac:dyDescent="0.15">
      <c r="A65" t="s">
        <v>65</v>
      </c>
      <c r="B65" s="17">
        <f>IFERROR(SUMIFS('Full List'!B:B,'Full List'!A:A,NV!$A65,'Full List'!E:E,NV!$A$1),"")</f>
        <v>187790</v>
      </c>
      <c r="C65" s="18">
        <f t="shared" si="0"/>
        <v>0.12265046218435255</v>
      </c>
    </row>
    <row r="66" spans="1:3" x14ac:dyDescent="0.15">
      <c r="A66" t="s">
        <v>66</v>
      </c>
      <c r="B66" s="17">
        <f>IFERROR(SUMIFS('Full List'!B:B,'Full List'!A:A,NV!$A66,'Full List'!E:E,NV!$A$1),"")</f>
        <v>141037</v>
      </c>
      <c r="C66" s="18">
        <f t="shared" si="0"/>
        <v>9.2114879573430591E-2</v>
      </c>
    </row>
    <row r="67" spans="1:3" x14ac:dyDescent="0.15">
      <c r="A67" t="s">
        <v>67</v>
      </c>
      <c r="B67" s="17">
        <f>IFERROR(SUMIFS('Full List'!B:B,'Full List'!A:A,NV!$A67,'Full List'!E:E,NV!$A$1),"")</f>
        <v>427481</v>
      </c>
      <c r="C67" s="18">
        <f t="shared" ref="C67:C82" si="1">IFERROR(B67/$B$2,"")</f>
        <v>0.27919879772633904</v>
      </c>
    </row>
    <row r="68" spans="1:3" x14ac:dyDescent="0.15">
      <c r="A68" t="s">
        <v>68</v>
      </c>
      <c r="B68" s="17">
        <f>IFERROR(SUMIFS('Full List'!B:B,'Full List'!A:A,NV!$A68,'Full List'!E:E,NV!$A$1),"")</f>
        <v>560037</v>
      </c>
      <c r="C68" s="18">
        <f t="shared" si="1"/>
        <v>0.36577451882601975</v>
      </c>
    </row>
    <row r="69" spans="1:3" x14ac:dyDescent="0.15">
      <c r="A69" t="s">
        <v>69</v>
      </c>
      <c r="B69" s="17">
        <f>IFERROR(SUMIFS('Full List'!B:B,'Full List'!A:A,NV!$A69,'Full List'!E:E,NV!$A$1),"")</f>
        <v>889183</v>
      </c>
      <c r="C69" s="18">
        <f t="shared" si="1"/>
        <v>0.58074820765998802</v>
      </c>
    </row>
    <row r="70" spans="1:3" x14ac:dyDescent="0.15">
      <c r="A70" t="s">
        <v>70</v>
      </c>
      <c r="B70" s="17">
        <f>IFERROR(SUMIFS('Full List'!B:B,'Full List'!A:A,NV!$A70,'Full List'!E:E,NV!$A$1),"")</f>
        <v>349766</v>
      </c>
      <c r="C70" s="18">
        <f t="shared" si="1"/>
        <v>0.22844113933847518</v>
      </c>
    </row>
    <row r="71" spans="1:3" x14ac:dyDescent="0.15">
      <c r="A71" t="s">
        <v>71</v>
      </c>
      <c r="B71" s="17">
        <f>IFERROR(SUMIFS('Full List'!B:B,'Full List'!A:A,NV!$A71,'Full List'!E:E,NV!$A$1),"")</f>
        <v>99238</v>
      </c>
      <c r="C71" s="18">
        <f t="shared" si="1"/>
        <v>6.4814881336869787E-2</v>
      </c>
    </row>
    <row r="72" spans="1:3" x14ac:dyDescent="0.15">
      <c r="A72" t="s">
        <v>72</v>
      </c>
      <c r="B72" s="17">
        <f>IFERROR(SUMIFS('Full List'!B:B,'Full List'!A:A,NV!$A72,'Full List'!E:E,NV!$A$1),"")</f>
        <v>229915</v>
      </c>
      <c r="C72" s="18">
        <f t="shared" si="1"/>
        <v>0.15016337937651322</v>
      </c>
    </row>
    <row r="73" spans="1:3" x14ac:dyDescent="0.15">
      <c r="A73" t="s">
        <v>73</v>
      </c>
      <c r="B73" s="17">
        <f>IFERROR(SUMIFS('Full List'!B:B,'Full List'!A:A,NV!$A73,'Full List'!E:E,NV!$A$1),"")</f>
        <v>881383</v>
      </c>
      <c r="C73" s="18">
        <f t="shared" si="1"/>
        <v>0.57565382774072738</v>
      </c>
    </row>
    <row r="74" spans="1:3" x14ac:dyDescent="0.15">
      <c r="A74" t="s">
        <v>74</v>
      </c>
      <c r="B74" s="17">
        <f>IFERROR(SUMIFS('Full List'!B:B,'Full List'!A:A,NV!$A74,'Full List'!E:E,NV!$A$1),"")</f>
        <v>388261</v>
      </c>
      <c r="C74" s="18">
        <f t="shared" si="1"/>
        <v>0.25358321049128763</v>
      </c>
    </row>
    <row r="75" spans="1:3" x14ac:dyDescent="0.15">
      <c r="A75" t="s">
        <v>75</v>
      </c>
      <c r="B75" s="17">
        <f>IFERROR(SUMIFS('Full List'!B:B,'Full List'!A:A,NV!$A75,'Full List'!E:E,NV!$A$1),"")</f>
        <v>453233</v>
      </c>
      <c r="C75" s="18">
        <f t="shared" si="1"/>
        <v>0.29601808896746717</v>
      </c>
    </row>
    <row r="76" spans="1:3" x14ac:dyDescent="0.15">
      <c r="A76" t="s">
        <v>76</v>
      </c>
      <c r="B76" s="17">
        <f>IFERROR(SUMIFS('Full List'!B:B,'Full List'!A:A,NV!$A76,'Full List'!E:E,NV!$A$1),"")</f>
        <v>302338</v>
      </c>
      <c r="C76" s="18">
        <f t="shared" si="1"/>
        <v>0.19746469692684798</v>
      </c>
    </row>
    <row r="77" spans="1:3" x14ac:dyDescent="0.15">
      <c r="A77" t="s">
        <v>77</v>
      </c>
      <c r="B77" s="17">
        <f>IFERROR(SUMIFS('Full List'!B:B,'Full List'!A:A,NV!$A77,'Full List'!E:E,NV!$A$1),"")</f>
        <v>284712</v>
      </c>
      <c r="C77" s="18">
        <f t="shared" si="1"/>
        <v>0.18595270456058033</v>
      </c>
    </row>
    <row r="78" spans="1:3" x14ac:dyDescent="0.15">
      <c r="A78" t="s">
        <v>78</v>
      </c>
      <c r="B78" s="17">
        <f>IFERROR(SUMIFS('Full List'!B:B,'Full List'!A:A,NV!$A78,'Full List'!E:E,NV!$A$1),"")</f>
        <v>198783</v>
      </c>
      <c r="C78" s="18">
        <f t="shared" si="1"/>
        <v>0.12983027224235663</v>
      </c>
    </row>
    <row r="79" spans="1:3" x14ac:dyDescent="0.15">
      <c r="A79" t="s">
        <v>79</v>
      </c>
      <c r="B79" s="17">
        <f>IFERROR(SUMIFS('Full List'!B:B,'Full List'!A:A,NV!$A79,'Full List'!E:E,NV!$A$1),"")</f>
        <v>374229</v>
      </c>
      <c r="C79" s="18">
        <f t="shared" si="1"/>
        <v>0.24441855164166393</v>
      </c>
    </row>
    <row r="80" spans="1:3" x14ac:dyDescent="0.15">
      <c r="A80" t="s">
        <v>80</v>
      </c>
      <c r="B80" s="17">
        <f>IFERROR(SUMIFS('Full List'!B:B,'Full List'!A:A,NV!$A80,'Full List'!E:E,NV!$A$1),"")</f>
        <v>142710</v>
      </c>
      <c r="C80" s="18">
        <f t="shared" si="1"/>
        <v>9.3207558753548927E-2</v>
      </c>
    </row>
    <row r="81" spans="1:6" x14ac:dyDescent="0.15">
      <c r="A81" t="s">
        <v>81</v>
      </c>
      <c r="B81" s="17">
        <f>IFERROR(SUMIFS('Full List'!B:B,'Full List'!A:A,NV!$A81,'Full List'!E:E,NV!$A$1),"")</f>
        <v>250882</v>
      </c>
      <c r="C81" s="18">
        <f t="shared" si="1"/>
        <v>0.16385746447486413</v>
      </c>
    </row>
    <row r="82" spans="1:6" x14ac:dyDescent="0.15">
      <c r="A82" t="s">
        <v>82</v>
      </c>
      <c r="B82" s="17">
        <f>IFERROR(SUMIFS('Full List'!B:B,'Full List'!A:A,NV!$A82,'Full List'!E:E,NV!$A$1),"")</f>
        <v>170711</v>
      </c>
      <c r="C82" s="18">
        <f t="shared" si="1"/>
        <v>0.11149572953806383</v>
      </c>
    </row>
    <row r="83" spans="1:6" x14ac:dyDescent="0.15">
      <c r="B83" s="17"/>
      <c r="C83" s="18"/>
      <c r="D83" t="s">
        <v>812</v>
      </c>
      <c r="E83" t="s">
        <v>860</v>
      </c>
    </row>
    <row r="84" spans="1:6" x14ac:dyDescent="0.15">
      <c r="A84" t="s">
        <v>1111</v>
      </c>
      <c r="B84" s="17">
        <v>303407</v>
      </c>
      <c r="C84" s="18">
        <f t="shared" ref="C84:C92" si="2">IFERROR(B84/$B$2,"")</f>
        <v>0.19816288822603895</v>
      </c>
      <c r="D84">
        <v>4</v>
      </c>
      <c r="E84" t="str">
        <f>VLOOKUP(D84,Validation!$A$2:$C$41,3,FALSE)</f>
        <v>MCB</v>
      </c>
      <c r="F84" t="s">
        <v>1350</v>
      </c>
    </row>
    <row r="85" spans="1:6" x14ac:dyDescent="0.15">
      <c r="A85" t="s">
        <v>894</v>
      </c>
      <c r="B85" s="17">
        <v>276217</v>
      </c>
      <c r="C85" s="18">
        <f t="shared" si="2"/>
        <v>0.18040440232800101</v>
      </c>
      <c r="D85">
        <v>26</v>
      </c>
      <c r="E85" t="str">
        <f>VLOOKUP(D85,Validation!$A$2:$C$41,3,FALSE)</f>
        <v xml:space="preserve">NBA </v>
      </c>
    </row>
    <row r="86" spans="1:6" x14ac:dyDescent="0.15">
      <c r="A86" t="s">
        <v>1110</v>
      </c>
      <c r="B86" s="17">
        <v>227116</v>
      </c>
      <c r="C86" s="18">
        <f t="shared" si="2"/>
        <v>0.14833528073625546</v>
      </c>
      <c r="D86">
        <v>5</v>
      </c>
      <c r="E86" t="str">
        <f>VLOOKUP(D86,Validation!$A$2:$C$41,3,FALSE)</f>
        <v>CFB</v>
      </c>
      <c r="F86" t="s">
        <v>1350</v>
      </c>
    </row>
    <row r="87" spans="1:6" x14ac:dyDescent="0.15">
      <c r="A87" t="s">
        <v>892</v>
      </c>
      <c r="B87" s="17">
        <v>199369</v>
      </c>
      <c r="C87" s="18">
        <f t="shared" si="2"/>
        <v>0.13021300386193185</v>
      </c>
      <c r="D87">
        <v>17</v>
      </c>
      <c r="E87" t="str">
        <f>VLOOKUP(D87,Validation!$A$2:$C$41,3,FALSE)</f>
        <v>MLB</v>
      </c>
      <c r="F87" t="s">
        <v>1350</v>
      </c>
    </row>
    <row r="88" spans="1:6" x14ac:dyDescent="0.15">
      <c r="A88" t="s">
        <v>890</v>
      </c>
      <c r="B88" s="17">
        <v>178460</v>
      </c>
      <c r="C88" s="18">
        <f t="shared" si="2"/>
        <v>0.11655680005016004</v>
      </c>
      <c r="D88">
        <v>17</v>
      </c>
      <c r="E88" t="str">
        <f>VLOOKUP(D88,Validation!$A$2:$C$41,3,FALSE)</f>
        <v>MLB</v>
      </c>
      <c r="F88" t="s">
        <v>1351</v>
      </c>
    </row>
    <row r="89" spans="1:6" x14ac:dyDescent="0.15">
      <c r="A89" t="s">
        <v>899</v>
      </c>
      <c r="B89" s="17">
        <v>102832</v>
      </c>
      <c r="C89" s="18">
        <f t="shared" si="2"/>
        <v>6.7162214853513716E-2</v>
      </c>
      <c r="D89">
        <v>17</v>
      </c>
      <c r="E89" t="str">
        <f>VLOOKUP(D89,Validation!$A$2:$C$41,3,FALSE)</f>
        <v>MLB</v>
      </c>
      <c r="F89" t="s">
        <v>1350</v>
      </c>
    </row>
    <row r="90" spans="1:6" x14ac:dyDescent="0.15">
      <c r="A90" t="s">
        <v>1112</v>
      </c>
      <c r="B90" s="17">
        <v>98028</v>
      </c>
      <c r="C90" s="18">
        <f t="shared" si="2"/>
        <v>6.402459932375372E-2</v>
      </c>
      <c r="D90">
        <v>5</v>
      </c>
      <c r="E90" t="str">
        <f>VLOOKUP(D90,Validation!$A$2:$C$41,3,FALSE)</f>
        <v>CFB</v>
      </c>
      <c r="F90" t="s">
        <v>1350</v>
      </c>
    </row>
    <row r="91" spans="1:6" x14ac:dyDescent="0.15">
      <c r="A91" t="s">
        <v>1108</v>
      </c>
      <c r="B91" s="17">
        <v>92994</v>
      </c>
      <c r="C91" s="18">
        <f t="shared" si="2"/>
        <v>6.0736764898938603E-2</v>
      </c>
      <c r="D91">
        <v>17</v>
      </c>
      <c r="E91" t="str">
        <f>VLOOKUP(D91,Validation!$A$2:$C$41,3,FALSE)</f>
        <v>MLB</v>
      </c>
      <c r="F91" t="s">
        <v>1351</v>
      </c>
    </row>
    <row r="92" spans="1:6" x14ac:dyDescent="0.15">
      <c r="A92" t="s">
        <v>1109</v>
      </c>
      <c r="B92" s="17">
        <v>83223</v>
      </c>
      <c r="C92" s="18">
        <f t="shared" si="2"/>
        <v>5.4355074361618683E-2</v>
      </c>
      <c r="D92">
        <v>26</v>
      </c>
      <c r="E92" t="str">
        <f>VLOOKUP(D92,Validation!$A$2:$C$41,3,FALSE)</f>
        <v xml:space="preserve">NBA </v>
      </c>
      <c r="F92" t="s">
        <v>1350</v>
      </c>
    </row>
    <row r="93" spans="1:6" x14ac:dyDescent="0.15">
      <c r="B93" s="17"/>
      <c r="C93" s="18"/>
    </row>
    <row r="94" spans="1:6" x14ac:dyDescent="0.15">
      <c r="B94" s="17"/>
      <c r="C94" s="18"/>
    </row>
    <row r="95" spans="1:6" x14ac:dyDescent="0.15">
      <c r="B95" s="17"/>
      <c r="C95" s="18"/>
    </row>
    <row r="96" spans="1:6" x14ac:dyDescent="0.15">
      <c r="B96" s="17"/>
      <c r="C96" s="18"/>
    </row>
    <row r="97" spans="2:3" x14ac:dyDescent="0.15">
      <c r="B97" s="17"/>
      <c r="C97" s="18"/>
    </row>
  </sheetData>
  <pageMargins left="0.7" right="0.7" top="0.75" bottom="0.75" header="0.3" footer="0.3"/>
  <pageSetup orientation="portrait" verticalDpi="0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 enableFormatConditionsCalculation="0"/>
  <dimension ref="A1:F108"/>
  <sheetViews>
    <sheetView topLeftCell="A77" zoomScale="85" zoomScaleNormal="85" zoomScalePageLayoutView="85" workbookViewId="0">
      <selection activeCell="A101" sqref="A101"/>
    </sheetView>
  </sheetViews>
  <sheetFormatPr baseColWidth="10" defaultColWidth="8.83203125" defaultRowHeight="13" x14ac:dyDescent="0.15"/>
  <cols>
    <col min="1" max="1" width="33.33203125" bestFit="1" customWidth="1"/>
    <col min="2" max="2" width="10.5" bestFit="1" customWidth="1"/>
  </cols>
  <sheetData>
    <row r="1" spans="1:3" x14ac:dyDescent="0.15">
      <c r="A1" t="s">
        <v>191</v>
      </c>
      <c r="B1" t="s">
        <v>807</v>
      </c>
      <c r="C1" t="s">
        <v>811</v>
      </c>
    </row>
    <row r="2" spans="1:3" x14ac:dyDescent="0.15">
      <c r="A2" t="s">
        <v>0</v>
      </c>
      <c r="B2" s="17">
        <f>IFERROR(SUMIFS('Full List'!B:B,'Full List'!A:A,NY!$A2,'Full List'!E:E,NY!$A$1),"")</f>
        <v>14383745</v>
      </c>
      <c r="C2" s="18">
        <f>IFERROR(B2/$B$2,"")</f>
        <v>1</v>
      </c>
    </row>
    <row r="3" spans="1:3" x14ac:dyDescent="0.15">
      <c r="A3" t="s">
        <v>3</v>
      </c>
      <c r="B3" s="17">
        <f>IFERROR(SUMIFS('Full List'!B:B,'Full List'!A:A,NY!$A3,'Full List'!E:E,NY!$A$1),"")</f>
        <v>146082</v>
      </c>
      <c r="C3" s="18">
        <f t="shared" ref="C3:C66" si="0">IFERROR(B3/$B$2,"")</f>
        <v>1.0156047677430322E-2</v>
      </c>
    </row>
    <row r="4" spans="1:3" x14ac:dyDescent="0.15">
      <c r="A4" t="s">
        <v>4</v>
      </c>
      <c r="B4" s="17">
        <f>IFERROR(SUMIFS('Full List'!B:B,'Full List'!A:A,NY!$A4,'Full List'!E:E,NY!$A$1),"")</f>
        <v>146358</v>
      </c>
      <c r="C4" s="18">
        <f t="shared" si="0"/>
        <v>1.0175236004253413E-2</v>
      </c>
    </row>
    <row r="5" spans="1:3" x14ac:dyDescent="0.15">
      <c r="A5" t="s">
        <v>5</v>
      </c>
      <c r="B5" s="17">
        <f>IFERROR(SUMIFS('Full List'!B:B,'Full List'!A:A,NY!$A5,'Full List'!E:E,NY!$A$1),"")</f>
        <v>224130</v>
      </c>
      <c r="C5" s="18">
        <f t="shared" si="0"/>
        <v>1.5582172792968729E-2</v>
      </c>
    </row>
    <row r="6" spans="1:3" x14ac:dyDescent="0.15">
      <c r="A6" t="s">
        <v>6</v>
      </c>
      <c r="B6" s="17">
        <f>IFERROR(SUMIFS('Full List'!B:B,'Full List'!A:A,NY!$A6,'Full List'!E:E,NY!$A$1),"")</f>
        <v>1125373</v>
      </c>
      <c r="C6" s="18">
        <f t="shared" si="0"/>
        <v>7.8239220731457629E-2</v>
      </c>
    </row>
    <row r="7" spans="1:3" x14ac:dyDescent="0.15">
      <c r="A7" t="s">
        <v>7</v>
      </c>
      <c r="B7" s="17">
        <f>IFERROR(SUMIFS('Full List'!B:B,'Full List'!A:A,NY!$A7,'Full List'!E:E,NY!$A$1),"")</f>
        <v>1146343</v>
      </c>
      <c r="C7" s="18">
        <f t="shared" si="0"/>
        <v>7.9697116432472903E-2</v>
      </c>
    </row>
    <row r="8" spans="1:3" x14ac:dyDescent="0.15">
      <c r="A8" t="s">
        <v>8</v>
      </c>
      <c r="B8" s="17">
        <f>IFERROR(SUMIFS('Full List'!B:B,'Full List'!A:A,NY!$A8,'Full List'!E:E,NY!$A$1),"")</f>
        <v>148905</v>
      </c>
      <c r="C8" s="18">
        <f t="shared" si="0"/>
        <v>1.0352310889827371E-2</v>
      </c>
    </row>
    <row r="9" spans="1:3" x14ac:dyDescent="0.15">
      <c r="A9" t="s">
        <v>9</v>
      </c>
      <c r="B9" s="17">
        <f>IFERROR(SUMIFS('Full List'!B:B,'Full List'!A:A,NY!$A9,'Full List'!E:E,NY!$A$1),"")</f>
        <v>649908</v>
      </c>
      <c r="C9" s="18">
        <f t="shared" si="0"/>
        <v>4.5183504017903546E-2</v>
      </c>
    </row>
    <row r="10" spans="1:3" x14ac:dyDescent="0.15">
      <c r="A10" t="s">
        <v>10</v>
      </c>
      <c r="B10" s="17">
        <f>IFERROR(SUMIFS('Full List'!B:B,'Full List'!A:A,NY!$A10,'Full List'!E:E,NY!$A$1),"")</f>
        <v>340574</v>
      </c>
      <c r="C10" s="18">
        <f t="shared" si="0"/>
        <v>2.3677700070461483E-2</v>
      </c>
    </row>
    <row r="11" spans="1:3" x14ac:dyDescent="0.15">
      <c r="A11" t="s">
        <v>11</v>
      </c>
      <c r="B11" s="17">
        <f>IFERROR(SUMIFS('Full List'!B:B,'Full List'!A:A,NY!$A11,'Full List'!E:E,NY!$A$1),"")</f>
        <v>976545</v>
      </c>
      <c r="C11" s="18">
        <f t="shared" si="0"/>
        <v>6.7892263106722209E-2</v>
      </c>
    </row>
    <row r="12" spans="1:3" x14ac:dyDescent="0.15">
      <c r="A12" t="s">
        <v>12</v>
      </c>
      <c r="B12" s="17">
        <f>IFERROR(SUMIFS('Full List'!B:B,'Full List'!A:A,NY!$A12,'Full List'!E:E,NY!$A$1),"")</f>
        <v>223690</v>
      </c>
      <c r="C12" s="18">
        <f t="shared" si="0"/>
        <v>1.5551582706729019E-2</v>
      </c>
    </row>
    <row r="13" spans="1:3" x14ac:dyDescent="0.15">
      <c r="A13" t="s">
        <v>13</v>
      </c>
      <c r="B13" s="17">
        <f>IFERROR(SUMIFS('Full List'!B:B,'Full List'!A:A,NY!$A13,'Full List'!E:E,NY!$A$1),"")</f>
        <v>113579</v>
      </c>
      <c r="C13" s="18">
        <f t="shared" si="0"/>
        <v>7.8963441023182767E-3</v>
      </c>
    </row>
    <row r="14" spans="1:3" x14ac:dyDescent="0.15">
      <c r="A14" t="s">
        <v>14</v>
      </c>
      <c r="B14" s="17">
        <f>IFERROR(SUMIFS('Full List'!B:B,'Full List'!A:A,NY!$A14,'Full List'!E:E,NY!$A$1),"")</f>
        <v>1071453</v>
      </c>
      <c r="C14" s="18">
        <f t="shared" si="0"/>
        <v>7.449054470862769E-2</v>
      </c>
    </row>
    <row r="15" spans="1:3" x14ac:dyDescent="0.15">
      <c r="A15" t="s">
        <v>15</v>
      </c>
      <c r="B15" s="17">
        <f>IFERROR(SUMIFS('Full List'!B:B,'Full List'!A:A,NY!$A15,'Full List'!E:E,NY!$A$1),"")</f>
        <v>428039</v>
      </c>
      <c r="C15" s="18">
        <f t="shared" si="0"/>
        <v>2.9758522554452962E-2</v>
      </c>
    </row>
    <row r="16" spans="1:3" x14ac:dyDescent="0.15">
      <c r="A16" t="s">
        <v>16</v>
      </c>
      <c r="B16" s="17">
        <f>IFERROR(SUMIFS('Full List'!B:B,'Full List'!A:A,NY!$A16,'Full List'!E:E,NY!$A$1),"")</f>
        <v>563929</v>
      </c>
      <c r="C16" s="18">
        <f t="shared" si="0"/>
        <v>3.9205992597894361E-2</v>
      </c>
    </row>
    <row r="17" spans="1:3" x14ac:dyDescent="0.15">
      <c r="A17" t="s">
        <v>17</v>
      </c>
      <c r="B17" s="17">
        <f>IFERROR(SUMIFS('Full List'!B:B,'Full List'!A:A,NY!$A17,'Full List'!E:E,NY!$A$1),"")</f>
        <v>225814</v>
      </c>
      <c r="C17" s="18">
        <f t="shared" si="0"/>
        <v>1.5699249395758893E-2</v>
      </c>
    </row>
    <row r="18" spans="1:3" x14ac:dyDescent="0.15">
      <c r="A18" t="s">
        <v>18</v>
      </c>
      <c r="B18" s="17">
        <f>IFERROR(SUMIFS('Full List'!B:B,'Full List'!A:A,NY!$A18,'Full List'!E:E,NY!$A$1),"")</f>
        <v>192076</v>
      </c>
      <c r="C18" s="18">
        <f t="shared" si="0"/>
        <v>1.3353685010405843E-2</v>
      </c>
    </row>
    <row r="19" spans="1:3" x14ac:dyDescent="0.15">
      <c r="A19" t="s">
        <v>19</v>
      </c>
      <c r="B19" s="17">
        <f>IFERROR(SUMIFS('Full List'!B:B,'Full List'!A:A,NY!$A19,'Full List'!E:E,NY!$A$1),"")</f>
        <v>2667661</v>
      </c>
      <c r="C19" s="18">
        <f t="shared" si="0"/>
        <v>0.18546359101888973</v>
      </c>
    </row>
    <row r="20" spans="1:3" x14ac:dyDescent="0.15">
      <c r="A20" t="s">
        <v>20</v>
      </c>
      <c r="B20" s="17">
        <f>IFERROR(SUMIFS('Full List'!B:B,'Full List'!A:A,NY!$A20,'Full List'!E:E,NY!$A$1),"")</f>
        <v>359450</v>
      </c>
      <c r="C20" s="18">
        <f t="shared" si="0"/>
        <v>2.499001477014505E-2</v>
      </c>
    </row>
    <row r="21" spans="1:3" x14ac:dyDescent="0.15">
      <c r="A21" t="s">
        <v>21</v>
      </c>
      <c r="B21" s="17">
        <f>IFERROR(SUMIFS('Full List'!B:B,'Full List'!A:A,NY!$A21,'Full List'!E:E,NY!$A$1),"")</f>
        <v>559790</v>
      </c>
      <c r="C21" s="18">
        <f t="shared" si="0"/>
        <v>3.891823721847127E-2</v>
      </c>
    </row>
    <row r="22" spans="1:3" x14ac:dyDescent="0.15">
      <c r="A22" t="s">
        <v>22</v>
      </c>
      <c r="B22" s="17">
        <f>IFERROR(SUMIFS('Full List'!B:B,'Full List'!A:A,NY!$A22,'Full List'!E:E,NY!$A$1),"")</f>
        <v>226343</v>
      </c>
      <c r="C22" s="18">
        <f t="shared" si="0"/>
        <v>1.5736027022169818E-2</v>
      </c>
    </row>
    <row r="23" spans="1:3" x14ac:dyDescent="0.15">
      <c r="A23" t="s">
        <v>23</v>
      </c>
      <c r="B23" s="17">
        <f>IFERROR(SUMIFS('Full List'!B:B,'Full List'!A:A,NY!$A23,'Full List'!E:E,NY!$A$1),"")</f>
        <v>228926</v>
      </c>
      <c r="C23" s="18">
        <f t="shared" si="0"/>
        <v>1.5915604732981571E-2</v>
      </c>
    </row>
    <row r="24" spans="1:3" x14ac:dyDescent="0.15">
      <c r="A24" t="s">
        <v>24</v>
      </c>
      <c r="B24" s="17">
        <f>IFERROR(SUMIFS('Full List'!B:B,'Full List'!A:A,NY!$A24,'Full List'!E:E,NY!$A$1),"")</f>
        <v>103749</v>
      </c>
      <c r="C24" s="18">
        <f t="shared" si="0"/>
        <v>7.2129337665538425E-3</v>
      </c>
    </row>
    <row r="25" spans="1:3" x14ac:dyDescent="0.15">
      <c r="A25" t="s">
        <v>25</v>
      </c>
      <c r="B25" s="17">
        <f>IFERROR(SUMIFS('Full List'!B:B,'Full List'!A:A,NY!$A25,'Full List'!E:E,NY!$A$1),"")</f>
        <v>194779</v>
      </c>
      <c r="C25" s="18">
        <f t="shared" si="0"/>
        <v>1.3541605472010245E-2</v>
      </c>
    </row>
    <row r="26" spans="1:3" x14ac:dyDescent="0.15">
      <c r="A26" t="s">
        <v>26</v>
      </c>
      <c r="B26" s="17">
        <f>IFERROR(SUMIFS('Full List'!B:B,'Full List'!A:A,NY!$A26,'Full List'!E:E,NY!$A$1),"")</f>
        <v>110155</v>
      </c>
      <c r="C26" s="18">
        <f t="shared" si="0"/>
        <v>7.6582976130347138E-3</v>
      </c>
    </row>
    <row r="27" spans="1:3" x14ac:dyDescent="0.15">
      <c r="A27" t="s">
        <v>27</v>
      </c>
      <c r="B27" s="17">
        <f>IFERROR(SUMIFS('Full List'!B:B,'Full List'!A:A,NY!$A27,'Full List'!E:E,NY!$A$1),"")</f>
        <v>722163</v>
      </c>
      <c r="C27" s="18">
        <f t="shared" si="0"/>
        <v>5.020688283892686E-2</v>
      </c>
    </row>
    <row r="28" spans="1:3" x14ac:dyDescent="0.15">
      <c r="A28" t="s">
        <v>28</v>
      </c>
      <c r="B28" s="17">
        <f>IFERROR(SUMIFS('Full List'!B:B,'Full List'!A:A,NY!$A28,'Full List'!E:E,NY!$A$1),"")</f>
        <v>1428421</v>
      </c>
      <c r="C28" s="18">
        <f t="shared" si="0"/>
        <v>9.9308003583211471E-2</v>
      </c>
    </row>
    <row r="29" spans="1:3" x14ac:dyDescent="0.15">
      <c r="A29" t="s">
        <v>29</v>
      </c>
      <c r="B29" s="17">
        <f>IFERROR(SUMIFS('Full List'!B:B,'Full List'!A:A,NY!$A29,'Full List'!E:E,NY!$A$1),"")</f>
        <v>3626460</v>
      </c>
      <c r="C29" s="18">
        <f t="shared" si="0"/>
        <v>0.25212210032922583</v>
      </c>
    </row>
    <row r="30" spans="1:3" x14ac:dyDescent="0.15">
      <c r="A30" t="s">
        <v>30</v>
      </c>
      <c r="B30" s="17">
        <f>IFERROR(SUMIFS('Full List'!B:B,'Full List'!A:A,NY!$A30,'Full List'!E:E,NY!$A$1),"")</f>
        <v>1142466</v>
      </c>
      <c r="C30" s="18">
        <f t="shared" si="0"/>
        <v>7.9427576058947097E-2</v>
      </c>
    </row>
    <row r="31" spans="1:3" x14ac:dyDescent="0.15">
      <c r="A31" t="s">
        <v>31</v>
      </c>
      <c r="B31" s="17">
        <f>IFERROR(SUMIFS('Full List'!B:B,'Full List'!A:A,NY!$A31,'Full List'!E:E,NY!$A$1),"")</f>
        <v>164497</v>
      </c>
      <c r="C31" s="18">
        <f t="shared" si="0"/>
        <v>1.1436312309485464E-2</v>
      </c>
    </row>
    <row r="32" spans="1:3" x14ac:dyDescent="0.15">
      <c r="A32" t="s">
        <v>32</v>
      </c>
      <c r="B32" s="17">
        <f>IFERROR(SUMIFS('Full List'!B:B,'Full List'!A:A,NY!$A32,'Full List'!E:E,NY!$A$1),"")</f>
        <v>237602</v>
      </c>
      <c r="C32" s="18">
        <f t="shared" si="0"/>
        <v>1.6518785615290039E-2</v>
      </c>
    </row>
    <row r="33" spans="1:3" x14ac:dyDescent="0.15">
      <c r="A33" t="s">
        <v>33</v>
      </c>
      <c r="B33" s="17">
        <f>IFERROR(SUMIFS('Full List'!B:B,'Full List'!A:A,NY!$A33,'Full List'!E:E,NY!$A$1),"")</f>
        <v>3524752</v>
      </c>
      <c r="C33" s="18">
        <f t="shared" si="0"/>
        <v>0.24505106284907024</v>
      </c>
    </row>
    <row r="34" spans="1:3" x14ac:dyDescent="0.15">
      <c r="A34" t="s">
        <v>34</v>
      </c>
      <c r="B34" s="17">
        <f>IFERROR(SUMIFS('Full List'!B:B,'Full List'!A:A,NY!$A34,'Full List'!E:E,NY!$A$1),"")</f>
        <v>869359</v>
      </c>
      <c r="C34" s="18">
        <f t="shared" si="0"/>
        <v>6.0440379052882263E-2</v>
      </c>
    </row>
    <row r="35" spans="1:3" x14ac:dyDescent="0.15">
      <c r="A35" t="s">
        <v>35</v>
      </c>
      <c r="B35" s="17">
        <f>IFERROR(SUMIFS('Full List'!B:B,'Full List'!A:A,NY!$A35,'Full List'!E:E,NY!$A$1),"")</f>
        <v>862624</v>
      </c>
      <c r="C35" s="18">
        <f t="shared" si="0"/>
        <v>5.997214216464488E-2</v>
      </c>
    </row>
    <row r="36" spans="1:3" x14ac:dyDescent="0.15">
      <c r="A36" t="s">
        <v>36</v>
      </c>
      <c r="B36" s="17">
        <f>IFERROR(SUMIFS('Full List'!B:B,'Full List'!A:A,NY!$A36,'Full List'!E:E,NY!$A$1),"")</f>
        <v>134915</v>
      </c>
      <c r="C36" s="18">
        <f t="shared" si="0"/>
        <v>9.3796851932511326E-3</v>
      </c>
    </row>
    <row r="37" spans="1:3" x14ac:dyDescent="0.15">
      <c r="A37" t="s">
        <v>37</v>
      </c>
      <c r="B37" s="17">
        <f>IFERROR(SUMIFS('Full List'!B:B,'Full List'!A:A,NY!$A37,'Full List'!E:E,NY!$A$1),"")</f>
        <v>101563</v>
      </c>
      <c r="C37" s="18">
        <f t="shared" si="0"/>
        <v>7.0609566562811008E-3</v>
      </c>
    </row>
    <row r="38" spans="1:3" x14ac:dyDescent="0.15">
      <c r="A38" t="s">
        <v>38</v>
      </c>
      <c r="B38" s="17">
        <f>IFERROR(SUMIFS('Full List'!B:B,'Full List'!A:A,NY!$A38,'Full List'!E:E,NY!$A$1),"")</f>
        <v>173054</v>
      </c>
      <c r="C38" s="18">
        <f t="shared" si="0"/>
        <v>1.2031219963924556E-2</v>
      </c>
    </row>
    <row r="39" spans="1:3" x14ac:dyDescent="0.15">
      <c r="A39" t="s">
        <v>39</v>
      </c>
      <c r="B39" s="17">
        <f>IFERROR(SUMIFS('Full List'!B:B,'Full List'!A:A,NY!$A39,'Full List'!E:E,NY!$A$1),"")</f>
        <v>535931</v>
      </c>
      <c r="C39" s="18">
        <f t="shared" si="0"/>
        <v>3.7259489792122985E-2</v>
      </c>
    </row>
    <row r="40" spans="1:3" x14ac:dyDescent="0.15">
      <c r="A40" t="s">
        <v>40</v>
      </c>
      <c r="B40" s="17">
        <f>IFERROR(SUMIFS('Full List'!B:B,'Full List'!A:A,NY!$A40,'Full List'!E:E,NY!$A$1),"")</f>
        <v>232288</v>
      </c>
      <c r="C40" s="18">
        <f t="shared" si="0"/>
        <v>1.6149340801022264E-2</v>
      </c>
    </row>
    <row r="41" spans="1:3" x14ac:dyDescent="0.15">
      <c r="A41" t="s">
        <v>41</v>
      </c>
      <c r="B41" s="17">
        <f>IFERROR(SUMIFS('Full List'!B:B,'Full List'!A:A,NY!$A41,'Full List'!E:E,NY!$A$1),"")</f>
        <v>649380</v>
      </c>
      <c r="C41" s="18">
        <f t="shared" si="0"/>
        <v>4.5146795914415894E-2</v>
      </c>
    </row>
    <row r="42" spans="1:3" x14ac:dyDescent="0.15">
      <c r="A42" t="s">
        <v>42</v>
      </c>
      <c r="B42" s="17">
        <f>IFERROR(SUMIFS('Full List'!B:B,'Full List'!A:A,NY!$A42,'Full List'!E:E,NY!$A$1),"")</f>
        <v>479161</v>
      </c>
      <c r="C42" s="18">
        <f t="shared" si="0"/>
        <v>3.3312673437967649E-2</v>
      </c>
    </row>
    <row r="43" spans="1:3" x14ac:dyDescent="0.15">
      <c r="A43" t="s">
        <v>43</v>
      </c>
      <c r="B43" s="17">
        <f>IFERROR(SUMIFS('Full List'!B:B,'Full List'!A:A,NY!$A43,'Full List'!E:E,NY!$A$1),"")</f>
        <v>1022276</v>
      </c>
      <c r="C43" s="18">
        <f t="shared" si="0"/>
        <v>7.107161591087717E-2</v>
      </c>
    </row>
    <row r="44" spans="1:3" x14ac:dyDescent="0.15">
      <c r="A44" t="s">
        <v>44</v>
      </c>
      <c r="B44" s="17">
        <f>IFERROR(SUMIFS('Full List'!B:B,'Full List'!A:A,NY!$A44,'Full List'!E:E,NY!$A$1),"")</f>
        <v>1157561</v>
      </c>
      <c r="C44" s="18">
        <f t="shared" si="0"/>
        <v>8.0477024585738965E-2</v>
      </c>
    </row>
    <row r="45" spans="1:3" x14ac:dyDescent="0.15">
      <c r="A45" t="s">
        <v>45</v>
      </c>
      <c r="B45" s="17">
        <f>IFERROR(SUMIFS('Full List'!B:B,'Full List'!A:A,NY!$A45,'Full List'!E:E,NY!$A$1),"")</f>
        <v>1774094</v>
      </c>
      <c r="C45" s="18">
        <f t="shared" si="0"/>
        <v>0.12334020103943723</v>
      </c>
    </row>
    <row r="46" spans="1:3" x14ac:dyDescent="0.15">
      <c r="A46" t="s">
        <v>46</v>
      </c>
      <c r="B46" s="17">
        <f>IFERROR(SUMIFS('Full List'!B:B,'Full List'!A:A,NY!$A46,'Full List'!E:E,NY!$A$1),"")</f>
        <v>3487660</v>
      </c>
      <c r="C46" s="18">
        <f t="shared" si="0"/>
        <v>0.24247231857906268</v>
      </c>
    </row>
    <row r="47" spans="1:3" x14ac:dyDescent="0.15">
      <c r="A47" t="s">
        <v>47</v>
      </c>
      <c r="B47" s="17">
        <f>IFERROR(SUMIFS('Full List'!B:B,'Full List'!A:A,NY!$A47,'Full List'!E:E,NY!$A$1),"")</f>
        <v>3856674</v>
      </c>
      <c r="C47" s="18">
        <f t="shared" si="0"/>
        <v>0.26812725058738179</v>
      </c>
    </row>
    <row r="48" spans="1:3" x14ac:dyDescent="0.15">
      <c r="A48" t="s">
        <v>48</v>
      </c>
      <c r="B48" s="17">
        <f>IFERROR(SUMIFS('Full List'!B:B,'Full List'!A:A,NY!$A48,'Full List'!E:E,NY!$A$1),"")</f>
        <v>1410857</v>
      </c>
      <c r="C48" s="18">
        <f t="shared" si="0"/>
        <v>9.8086902958860855E-2</v>
      </c>
    </row>
    <row r="49" spans="1:3" x14ac:dyDescent="0.15">
      <c r="A49" t="s">
        <v>49</v>
      </c>
      <c r="B49" s="17">
        <f>IFERROR(SUMIFS('Full List'!B:B,'Full List'!A:A,NY!$A49,'Full List'!E:E,NY!$A$1),"")</f>
        <v>2266107</v>
      </c>
      <c r="C49" s="18">
        <f t="shared" si="0"/>
        <v>0.15754638308729751</v>
      </c>
    </row>
    <row r="50" spans="1:3" x14ac:dyDescent="0.15">
      <c r="A50" t="s">
        <v>50</v>
      </c>
      <c r="B50" s="17">
        <f>IFERROR(SUMIFS('Full List'!B:B,'Full List'!A:A,NY!$A50,'Full List'!E:E,NY!$A$1),"")</f>
        <v>2037214</v>
      </c>
      <c r="C50" s="18">
        <f t="shared" si="0"/>
        <v>0.14163307261078392</v>
      </c>
    </row>
    <row r="51" spans="1:3" x14ac:dyDescent="0.15">
      <c r="A51" t="s">
        <v>51</v>
      </c>
      <c r="B51" s="17">
        <f>IFERROR(SUMIFS('Full List'!B:B,'Full List'!A:A,NY!$A51,'Full List'!E:E,NY!$A$1),"")</f>
        <v>4292749</v>
      </c>
      <c r="C51" s="18">
        <f t="shared" si="0"/>
        <v>0.29844445935324909</v>
      </c>
    </row>
    <row r="52" spans="1:3" x14ac:dyDescent="0.15">
      <c r="A52" t="s">
        <v>52</v>
      </c>
      <c r="B52" s="17">
        <f>IFERROR(SUMIFS('Full List'!B:B,'Full List'!A:A,NY!$A52,'Full List'!E:E,NY!$A$1),"")</f>
        <v>1545549</v>
      </c>
      <c r="C52" s="18">
        <f t="shared" si="0"/>
        <v>0.10745108454022231</v>
      </c>
    </row>
    <row r="53" spans="1:3" x14ac:dyDescent="0.15">
      <c r="A53" t="s">
        <v>53</v>
      </c>
      <c r="B53" s="17">
        <f>IFERROR(SUMIFS('Full List'!B:B,'Full List'!A:A,NY!$A53,'Full List'!E:E,NY!$A$1),"")</f>
        <v>1057230</v>
      </c>
      <c r="C53" s="18">
        <f t="shared" si="0"/>
        <v>7.3501720170929055E-2</v>
      </c>
    </row>
    <row r="54" spans="1:3" x14ac:dyDescent="0.15">
      <c r="A54" t="s">
        <v>54</v>
      </c>
      <c r="B54" s="17">
        <f>IFERROR(SUMIFS('Full List'!B:B,'Full List'!A:A,NY!$A54,'Full List'!E:E,NY!$A$1),"")</f>
        <v>4717772</v>
      </c>
      <c r="C54" s="18">
        <f t="shared" si="0"/>
        <v>0.32799330077111349</v>
      </c>
    </row>
    <row r="55" spans="1:3" x14ac:dyDescent="0.15">
      <c r="A55" t="s">
        <v>55</v>
      </c>
      <c r="B55" s="17">
        <f>IFERROR(SUMIFS('Full List'!B:B,'Full List'!A:A,NY!$A55,'Full List'!E:E,NY!$A$1),"")</f>
        <v>2747843</v>
      </c>
      <c r="C55" s="18">
        <f t="shared" si="0"/>
        <v>0.19103807805269074</v>
      </c>
    </row>
    <row r="56" spans="1:3" x14ac:dyDescent="0.15">
      <c r="A56" t="s">
        <v>56</v>
      </c>
      <c r="B56" s="17">
        <f>IFERROR(SUMIFS('Full List'!B:B,'Full List'!A:A,NY!$A56,'Full List'!E:E,NY!$A$1),"")</f>
        <v>3137396</v>
      </c>
      <c r="C56" s="18">
        <f t="shared" si="0"/>
        <v>0.21812094138209487</v>
      </c>
    </row>
    <row r="57" spans="1:3" x14ac:dyDescent="0.15">
      <c r="A57" t="s">
        <v>57</v>
      </c>
      <c r="B57" s="17">
        <f>IFERROR(SUMIFS('Full List'!B:B,'Full List'!A:A,NY!$A57,'Full List'!E:E,NY!$A$1),"")</f>
        <v>1569034</v>
      </c>
      <c r="C57" s="18">
        <f t="shared" si="0"/>
        <v>0.10908383039326684</v>
      </c>
    </row>
    <row r="58" spans="1:3" x14ac:dyDescent="0.15">
      <c r="A58" t="s">
        <v>58</v>
      </c>
      <c r="B58" s="17">
        <f>IFERROR(SUMIFS('Full List'!B:B,'Full List'!A:A,NY!$A58,'Full List'!E:E,NY!$A$1),"")</f>
        <v>1594589</v>
      </c>
      <c r="C58" s="18">
        <f t="shared" si="0"/>
        <v>0.11086048869748456</v>
      </c>
    </row>
    <row r="59" spans="1:3" x14ac:dyDescent="0.15">
      <c r="A59" t="s">
        <v>59</v>
      </c>
      <c r="B59" s="17">
        <f>IFERROR(SUMIFS('Full List'!B:B,'Full List'!A:A,NY!$A59,'Full List'!E:E,NY!$A$1),"")</f>
        <v>7058231</v>
      </c>
      <c r="C59" s="18">
        <f t="shared" si="0"/>
        <v>0.49070885224953587</v>
      </c>
    </row>
    <row r="60" spans="1:3" x14ac:dyDescent="0.15">
      <c r="A60" t="s">
        <v>60</v>
      </c>
      <c r="B60" s="17">
        <f>IFERROR(SUMIFS('Full List'!B:B,'Full List'!A:A,NY!$A60,'Full List'!E:E,NY!$A$1),"")</f>
        <v>2578549</v>
      </c>
      <c r="C60" s="18">
        <f t="shared" si="0"/>
        <v>0.17926826428026915</v>
      </c>
    </row>
    <row r="61" spans="1:3" x14ac:dyDescent="0.15">
      <c r="A61" t="s">
        <v>61</v>
      </c>
      <c r="B61" s="17">
        <f>IFERROR(SUMIFS('Full List'!B:B,'Full List'!A:A,NY!$A61,'Full List'!E:E,NY!$A$1),"")</f>
        <v>3015824</v>
      </c>
      <c r="C61" s="18">
        <f t="shared" si="0"/>
        <v>0.20966890055406293</v>
      </c>
    </row>
    <row r="62" spans="1:3" x14ac:dyDescent="0.15">
      <c r="A62" t="s">
        <v>62</v>
      </c>
      <c r="B62" s="17">
        <f>IFERROR(SUMIFS('Full List'!B:B,'Full List'!A:A,NY!$A62,'Full List'!E:E,NY!$A$1),"")</f>
        <v>1100471</v>
      </c>
      <c r="C62" s="18">
        <f t="shared" si="0"/>
        <v>7.6507960896136581E-2</v>
      </c>
    </row>
    <row r="63" spans="1:3" x14ac:dyDescent="0.15">
      <c r="A63" t="s">
        <v>63</v>
      </c>
      <c r="B63" s="17">
        <f>IFERROR(SUMIFS('Full List'!B:B,'Full List'!A:A,NY!$A63,'Full List'!E:E,NY!$A$1),"")</f>
        <v>1963227</v>
      </c>
      <c r="C63" s="18">
        <f t="shared" si="0"/>
        <v>0.13648928008665337</v>
      </c>
    </row>
    <row r="64" spans="1:3" x14ac:dyDescent="0.15">
      <c r="A64" t="s">
        <v>64</v>
      </c>
      <c r="B64" s="17">
        <f>IFERROR(SUMIFS('Full List'!B:B,'Full List'!A:A,NY!$A64,'Full List'!E:E,NY!$A$1),"")</f>
        <v>1039584</v>
      </c>
      <c r="C64" s="18">
        <f t="shared" si="0"/>
        <v>7.2274918666870136E-2</v>
      </c>
    </row>
    <row r="65" spans="1:3" x14ac:dyDescent="0.15">
      <c r="A65" t="s">
        <v>65</v>
      </c>
      <c r="B65" s="17">
        <f>IFERROR(SUMIFS('Full List'!B:B,'Full List'!A:A,NY!$A65,'Full List'!E:E,NY!$A$1),"")</f>
        <v>1347145</v>
      </c>
      <c r="C65" s="18">
        <f t="shared" si="0"/>
        <v>9.3657458471350818E-2</v>
      </c>
    </row>
    <row r="66" spans="1:3" x14ac:dyDescent="0.15">
      <c r="A66" t="s">
        <v>66</v>
      </c>
      <c r="B66" s="17">
        <f>IFERROR(SUMIFS('Full List'!B:B,'Full List'!A:A,NY!$A66,'Full List'!E:E,NY!$A$1),"")</f>
        <v>914385</v>
      </c>
      <c r="C66" s="18">
        <f t="shared" si="0"/>
        <v>6.357071819613043E-2</v>
      </c>
    </row>
    <row r="67" spans="1:3" x14ac:dyDescent="0.15">
      <c r="A67" t="s">
        <v>67</v>
      </c>
      <c r="B67" s="17">
        <f>IFERROR(SUMIFS('Full List'!B:B,'Full List'!A:A,NY!$A67,'Full List'!E:E,NY!$A$1),"")</f>
        <v>2859210</v>
      </c>
      <c r="C67" s="18">
        <f t="shared" ref="C67:C82" si="1">IFERROR(B67/$B$2,"")</f>
        <v>0.1987806374487312</v>
      </c>
    </row>
    <row r="68" spans="1:3" x14ac:dyDescent="0.15">
      <c r="A68" t="s">
        <v>68</v>
      </c>
      <c r="B68" s="17">
        <f>IFERROR(SUMIFS('Full List'!B:B,'Full List'!A:A,NY!$A68,'Full List'!E:E,NY!$A$1),"")</f>
        <v>4704383</v>
      </c>
      <c r="C68" s="18">
        <f t="shared" si="1"/>
        <v>0.32706245835142378</v>
      </c>
    </row>
    <row r="69" spans="1:3" x14ac:dyDescent="0.15">
      <c r="A69" t="s">
        <v>69</v>
      </c>
      <c r="B69" s="17">
        <f>IFERROR(SUMIFS('Full List'!B:B,'Full List'!A:A,NY!$A69,'Full List'!E:E,NY!$A$1),"")</f>
        <v>7722106</v>
      </c>
      <c r="C69" s="18">
        <f t="shared" si="1"/>
        <v>0.53686338293678038</v>
      </c>
    </row>
    <row r="70" spans="1:3" x14ac:dyDescent="0.15">
      <c r="A70" t="s">
        <v>70</v>
      </c>
      <c r="B70" s="17">
        <f>IFERROR(SUMIFS('Full List'!B:B,'Full List'!A:A,NY!$A70,'Full List'!E:E,NY!$A$1),"")</f>
        <v>3893754</v>
      </c>
      <c r="C70" s="18">
        <f t="shared" si="1"/>
        <v>0.27070516058231009</v>
      </c>
    </row>
    <row r="71" spans="1:3" x14ac:dyDescent="0.15">
      <c r="A71" t="s">
        <v>71</v>
      </c>
      <c r="B71" s="17">
        <f>IFERROR(SUMIFS('Full List'!B:B,'Full List'!A:A,NY!$A71,'Full List'!E:E,NY!$A$1),"")</f>
        <v>958685</v>
      </c>
      <c r="C71" s="18">
        <f t="shared" si="1"/>
        <v>6.6650583697083057E-2</v>
      </c>
    </row>
    <row r="72" spans="1:3" x14ac:dyDescent="0.15">
      <c r="A72" t="s">
        <v>72</v>
      </c>
      <c r="B72" s="17">
        <f>IFERROR(SUMIFS('Full List'!B:B,'Full List'!A:A,NY!$A72,'Full List'!E:E,NY!$A$1),"")</f>
        <v>1204623</v>
      </c>
      <c r="C72" s="18">
        <f t="shared" si="1"/>
        <v>8.3748912400769066E-2</v>
      </c>
    </row>
    <row r="73" spans="1:3" x14ac:dyDescent="0.15">
      <c r="A73" t="s">
        <v>73</v>
      </c>
      <c r="B73" s="17">
        <f>IFERROR(SUMIFS('Full List'!B:B,'Full List'!A:A,NY!$A73,'Full List'!E:E,NY!$A$1),"")</f>
        <v>8214064</v>
      </c>
      <c r="C73" s="18">
        <f t="shared" si="1"/>
        <v>0.57106574122386067</v>
      </c>
    </row>
    <row r="74" spans="1:3" x14ac:dyDescent="0.15">
      <c r="A74" t="s">
        <v>74</v>
      </c>
      <c r="B74" s="17">
        <f>IFERROR(SUMIFS('Full List'!B:B,'Full List'!A:A,NY!$A74,'Full List'!E:E,NY!$A$1),"")</f>
        <v>3386209</v>
      </c>
      <c r="C74" s="18">
        <f t="shared" si="1"/>
        <v>0.23541914849018805</v>
      </c>
    </row>
    <row r="75" spans="1:3" x14ac:dyDescent="0.15">
      <c r="A75" t="s">
        <v>75</v>
      </c>
      <c r="B75" s="17">
        <f>IFERROR(SUMIFS('Full List'!B:B,'Full List'!A:A,NY!$A75,'Full List'!E:E,NY!$A$1),"")</f>
        <v>3076154</v>
      </c>
      <c r="C75" s="18">
        <f t="shared" si="1"/>
        <v>0.21386321851506684</v>
      </c>
    </row>
    <row r="76" spans="1:3" x14ac:dyDescent="0.15">
      <c r="A76" t="s">
        <v>76</v>
      </c>
      <c r="B76" s="17">
        <f>IFERROR(SUMIFS('Full List'!B:B,'Full List'!A:A,NY!$A76,'Full List'!E:E,NY!$A$1),"")</f>
        <v>1149294</v>
      </c>
      <c r="C76" s="18">
        <f t="shared" si="1"/>
        <v>7.9902278579048774E-2</v>
      </c>
    </row>
    <row r="77" spans="1:3" x14ac:dyDescent="0.15">
      <c r="A77" t="s">
        <v>77</v>
      </c>
      <c r="B77" s="17">
        <f>IFERROR(SUMIFS('Full List'!B:B,'Full List'!A:A,NY!$A77,'Full List'!E:E,NY!$A$1),"")</f>
        <v>906618</v>
      </c>
      <c r="C77" s="18">
        <f t="shared" si="1"/>
        <v>6.3030733651076268E-2</v>
      </c>
    </row>
    <row r="78" spans="1:3" x14ac:dyDescent="0.15">
      <c r="A78" t="s">
        <v>78</v>
      </c>
      <c r="B78" s="17">
        <f>IFERROR(SUMIFS('Full List'!B:B,'Full List'!A:A,NY!$A78,'Full List'!E:E,NY!$A$1),"")</f>
        <v>1151601</v>
      </c>
      <c r="C78" s="18">
        <f t="shared" si="1"/>
        <v>8.0062667963037445E-2</v>
      </c>
    </row>
    <row r="79" spans="1:3" x14ac:dyDescent="0.15">
      <c r="A79" t="s">
        <v>79</v>
      </c>
      <c r="B79" s="17">
        <f>IFERROR(SUMIFS('Full List'!B:B,'Full List'!A:A,NY!$A79,'Full List'!E:E,NY!$A$1),"")</f>
        <v>2000763</v>
      </c>
      <c r="C79" s="18">
        <f t="shared" si="1"/>
        <v>0.13909889253459373</v>
      </c>
    </row>
    <row r="80" spans="1:3" x14ac:dyDescent="0.15">
      <c r="A80" t="s">
        <v>80</v>
      </c>
      <c r="B80" s="17">
        <f>IFERROR(SUMIFS('Full List'!B:B,'Full List'!A:A,NY!$A80,'Full List'!E:E,NY!$A$1),"")</f>
        <v>1622378</v>
      </c>
      <c r="C80" s="18">
        <f t="shared" si="1"/>
        <v>0.11279246121229207</v>
      </c>
    </row>
    <row r="81" spans="1:6" x14ac:dyDescent="0.15">
      <c r="A81" t="s">
        <v>81</v>
      </c>
      <c r="B81" s="17">
        <f>IFERROR(SUMIFS('Full List'!B:B,'Full List'!A:A,NY!$A81,'Full List'!E:E,NY!$A$1),"")</f>
        <v>3016468</v>
      </c>
      <c r="C81" s="18">
        <f t="shared" si="1"/>
        <v>0.20971367331665014</v>
      </c>
    </row>
    <row r="82" spans="1:6" x14ac:dyDescent="0.15">
      <c r="A82" t="s">
        <v>82</v>
      </c>
      <c r="B82" s="17">
        <f>IFERROR(SUMIFS('Full List'!B:B,'Full List'!A:A,NY!$A82,'Full List'!E:E,NY!$A$1),"")</f>
        <v>1792697</v>
      </c>
      <c r="C82" s="18">
        <f t="shared" si="1"/>
        <v>0.12463353598106752</v>
      </c>
    </row>
    <row r="83" spans="1:6" x14ac:dyDescent="0.15">
      <c r="B83" s="17"/>
      <c r="C83" s="18"/>
      <c r="D83" t="s">
        <v>812</v>
      </c>
      <c r="E83" t="s">
        <v>860</v>
      </c>
    </row>
    <row r="84" spans="1:6" x14ac:dyDescent="0.15">
      <c r="A84" t="s">
        <v>933</v>
      </c>
      <c r="B84" s="17">
        <v>5389593</v>
      </c>
      <c r="C84" s="18">
        <f t="shared" ref="C84:C108" si="2">IFERROR(B84/$B$2,"")</f>
        <v>0.37470026060667788</v>
      </c>
      <c r="D84">
        <v>17</v>
      </c>
      <c r="E84" t="str">
        <f>VLOOKUP(D84,Validation!$A$2:$C$41,3,FALSE)</f>
        <v>MLB</v>
      </c>
      <c r="F84" t="s">
        <v>1351</v>
      </c>
    </row>
    <row r="85" spans="1:6" x14ac:dyDescent="0.15">
      <c r="A85" t="s">
        <v>926</v>
      </c>
      <c r="B85" s="17">
        <v>4991354</v>
      </c>
      <c r="C85" s="18">
        <f t="shared" si="2"/>
        <v>0.34701352116573259</v>
      </c>
      <c r="D85">
        <v>27</v>
      </c>
      <c r="E85" t="str">
        <f>VLOOKUP(D85,Validation!$A$2:$C$41,3,FALSE)</f>
        <v xml:space="preserve">NFL </v>
      </c>
      <c r="F85" t="s">
        <v>1351</v>
      </c>
    </row>
    <row r="86" spans="1:6" x14ac:dyDescent="0.15">
      <c r="A86" t="s">
        <v>928</v>
      </c>
      <c r="B86" s="17">
        <v>4036776</v>
      </c>
      <c r="C86" s="18">
        <f t="shared" si="2"/>
        <v>0.28064846811452787</v>
      </c>
      <c r="D86">
        <v>27</v>
      </c>
      <c r="E86" t="str">
        <f>VLOOKUP(D86,Validation!$A$2:$C$41,3,FALSE)</f>
        <v xml:space="preserve">NFL </v>
      </c>
      <c r="F86" t="s">
        <v>1351</v>
      </c>
    </row>
    <row r="87" spans="1:6" x14ac:dyDescent="0.15">
      <c r="A87" t="s">
        <v>930</v>
      </c>
      <c r="B87" s="17">
        <v>3802561</v>
      </c>
      <c r="C87" s="18">
        <f t="shared" si="2"/>
        <v>0.26436515664036037</v>
      </c>
      <c r="D87">
        <v>17</v>
      </c>
      <c r="E87" t="str">
        <f>VLOOKUP(D87,Validation!$A$2:$C$41,3,FALSE)</f>
        <v>MLB</v>
      </c>
      <c r="F87" t="s">
        <v>1351</v>
      </c>
    </row>
    <row r="88" spans="1:6" x14ac:dyDescent="0.15">
      <c r="A88" t="s">
        <v>929</v>
      </c>
      <c r="B88" s="17">
        <v>2921361</v>
      </c>
      <c r="C88" s="18">
        <f t="shared" si="2"/>
        <v>0.20310155665301352</v>
      </c>
      <c r="D88">
        <v>26</v>
      </c>
      <c r="E88" t="str">
        <f>VLOOKUP(D88,Validation!$A$2:$C$41,3,FALSE)</f>
        <v xml:space="preserve">NBA </v>
      </c>
      <c r="F88" t="s">
        <v>1350</v>
      </c>
    </row>
    <row r="89" spans="1:6" x14ac:dyDescent="0.15">
      <c r="A89" t="s">
        <v>1117</v>
      </c>
      <c r="B89" s="17">
        <v>1452890</v>
      </c>
      <c r="C89" s="18">
        <f t="shared" si="2"/>
        <v>0.10100915999275571</v>
      </c>
      <c r="D89">
        <v>27</v>
      </c>
      <c r="E89" t="str">
        <f>VLOOKUP(D89,Validation!$A$2:$C$41,3,FALSE)</f>
        <v xml:space="preserve">NFL </v>
      </c>
      <c r="F89" t="s">
        <v>1351</v>
      </c>
    </row>
    <row r="90" spans="1:6" x14ac:dyDescent="0.15">
      <c r="A90" t="s">
        <v>934</v>
      </c>
      <c r="B90" s="17">
        <v>1441791</v>
      </c>
      <c r="C90" s="18">
        <f t="shared" si="2"/>
        <v>0.10023752506735903</v>
      </c>
      <c r="D90">
        <v>26</v>
      </c>
      <c r="E90" t="str">
        <f>VLOOKUP(D90,Validation!$A$2:$C$41,3,FALSE)</f>
        <v xml:space="preserve">NBA </v>
      </c>
      <c r="F90" t="s">
        <v>1350</v>
      </c>
    </row>
    <row r="91" spans="1:6" x14ac:dyDescent="0.15">
      <c r="A91" t="s">
        <v>931</v>
      </c>
      <c r="B91" s="17">
        <v>1438380</v>
      </c>
      <c r="C91" s="18">
        <f t="shared" si="2"/>
        <v>0.100000382376078</v>
      </c>
      <c r="D91">
        <v>28</v>
      </c>
      <c r="E91" t="str">
        <f>VLOOKUP(D91,Validation!$A$2:$C$41,3,FALSE)</f>
        <v xml:space="preserve">NHL </v>
      </c>
      <c r="F91" t="s">
        <v>1350</v>
      </c>
    </row>
    <row r="92" spans="1:6" x14ac:dyDescent="0.15">
      <c r="A92" t="s">
        <v>1118</v>
      </c>
      <c r="B92" s="17">
        <v>854167</v>
      </c>
      <c r="C92" s="18">
        <f t="shared" si="2"/>
        <v>5.9384186802532997E-2</v>
      </c>
      <c r="D92">
        <v>28</v>
      </c>
      <c r="E92" t="str">
        <f>VLOOKUP(D92,Validation!$A$2:$C$41,3,FALSE)</f>
        <v xml:space="preserve">NHL </v>
      </c>
      <c r="F92" t="s">
        <v>1350</v>
      </c>
    </row>
    <row r="93" spans="1:6" x14ac:dyDescent="0.15">
      <c r="A93" t="s">
        <v>925</v>
      </c>
      <c r="B93" s="17">
        <v>805319</v>
      </c>
      <c r="C93" s="18">
        <f t="shared" si="2"/>
        <v>5.5988131046538991E-2</v>
      </c>
      <c r="D93">
        <v>28</v>
      </c>
      <c r="E93" t="str">
        <f>VLOOKUP(D93,Validation!$A$2:$C$41,3,FALSE)</f>
        <v xml:space="preserve">NHL </v>
      </c>
      <c r="F93" t="s">
        <v>1351</v>
      </c>
    </row>
    <row r="94" spans="1:6" x14ac:dyDescent="0.15">
      <c r="A94" t="s">
        <v>927</v>
      </c>
      <c r="B94" s="17">
        <v>796333</v>
      </c>
      <c r="C94" s="18">
        <f t="shared" si="2"/>
        <v>5.5363398058016183E-2</v>
      </c>
      <c r="D94">
        <v>28</v>
      </c>
      <c r="E94" t="str">
        <f>VLOOKUP(D94,Validation!$A$2:$C$41,3,FALSE)</f>
        <v xml:space="preserve">NHL </v>
      </c>
      <c r="F94" t="s">
        <v>1351</v>
      </c>
    </row>
    <row r="95" spans="1:6" x14ac:dyDescent="0.15">
      <c r="A95" t="s">
        <v>1116</v>
      </c>
      <c r="B95" s="17">
        <v>755218</v>
      </c>
      <c r="C95" s="18">
        <f t="shared" si="2"/>
        <v>5.2504963067685081E-2</v>
      </c>
      <c r="D95">
        <v>4</v>
      </c>
      <c r="E95" t="str">
        <f>VLOOKUP(D95,Validation!$A$2:$C$41,3,FALSE)</f>
        <v>MCB</v>
      </c>
      <c r="F95" t="s">
        <v>1351</v>
      </c>
    </row>
    <row r="96" spans="1:6" x14ac:dyDescent="0.15">
      <c r="A96" t="s">
        <v>941</v>
      </c>
      <c r="B96" s="17">
        <v>604972</v>
      </c>
      <c r="C96" s="18">
        <f t="shared" si="2"/>
        <v>4.205942193774987E-2</v>
      </c>
      <c r="D96">
        <v>4</v>
      </c>
      <c r="E96" t="str">
        <f>VLOOKUP(D96,Validation!$A$2:$C$41,3,FALSE)</f>
        <v>MCB</v>
      </c>
      <c r="F96" t="s">
        <v>1350</v>
      </c>
    </row>
    <row r="97" spans="1:6" x14ac:dyDescent="0.15">
      <c r="A97" t="s">
        <v>932</v>
      </c>
      <c r="B97" s="17">
        <v>587368</v>
      </c>
      <c r="C97" s="18">
        <f t="shared" si="2"/>
        <v>4.0835540396468376E-2</v>
      </c>
      <c r="D97">
        <v>18</v>
      </c>
      <c r="E97" t="str">
        <f>VLOOKUP(D97,Validation!$A$2:$C$41,3,FALSE)</f>
        <v>MLS</v>
      </c>
    </row>
    <row r="98" spans="1:6" x14ac:dyDescent="0.15">
      <c r="A98" t="s">
        <v>1113</v>
      </c>
      <c r="B98" s="17">
        <v>476350</v>
      </c>
      <c r="C98" s="18">
        <f t="shared" si="2"/>
        <v>3.3117244500649866E-2</v>
      </c>
      <c r="D98">
        <v>5</v>
      </c>
      <c r="E98" t="str">
        <f>VLOOKUP(D98,Validation!$A$2:$C$41,3,FALSE)</f>
        <v>CFB</v>
      </c>
      <c r="F98" t="s">
        <v>1351</v>
      </c>
    </row>
    <row r="99" spans="1:6" x14ac:dyDescent="0.15">
      <c r="A99" t="s">
        <v>939</v>
      </c>
      <c r="B99" s="17">
        <v>378471</v>
      </c>
      <c r="C99" s="18">
        <f t="shared" si="2"/>
        <v>2.6312410293703067E-2</v>
      </c>
      <c r="D99">
        <v>5</v>
      </c>
      <c r="E99" t="str">
        <f>VLOOKUP(D99,Validation!$A$2:$C$41,3,FALSE)</f>
        <v>CFB</v>
      </c>
      <c r="F99" t="s">
        <v>1351</v>
      </c>
    </row>
    <row r="100" spans="1:6" x14ac:dyDescent="0.15">
      <c r="A100" t="s">
        <v>938</v>
      </c>
      <c r="B100" s="17">
        <v>348354</v>
      </c>
      <c r="C100" s="18">
        <f t="shared" si="2"/>
        <v>2.4218588413518177E-2</v>
      </c>
      <c r="D100">
        <v>4</v>
      </c>
      <c r="E100" t="str">
        <f>VLOOKUP(D100,Validation!$A$2:$C$41,3,FALSE)</f>
        <v>MCB</v>
      </c>
      <c r="F100" t="s">
        <v>1351</v>
      </c>
    </row>
    <row r="101" spans="1:6" x14ac:dyDescent="0.15">
      <c r="A101" t="s">
        <v>940</v>
      </c>
      <c r="B101" s="17">
        <v>289131</v>
      </c>
      <c r="C101" s="18">
        <f t="shared" si="2"/>
        <v>2.0101232328576458E-2</v>
      </c>
      <c r="D101">
        <v>4</v>
      </c>
      <c r="E101" t="str">
        <f>VLOOKUP(D101,Validation!$A$2:$C$41,3,FALSE)</f>
        <v>MCB</v>
      </c>
      <c r="F101" t="s">
        <v>1351</v>
      </c>
    </row>
    <row r="102" spans="1:6" x14ac:dyDescent="0.15">
      <c r="A102" t="s">
        <v>1386</v>
      </c>
      <c r="B102" s="17">
        <v>91338</v>
      </c>
      <c r="C102" s="18">
        <f t="shared" si="2"/>
        <v>6.3500847658241998E-3</v>
      </c>
      <c r="D102">
        <v>5</v>
      </c>
      <c r="E102" t="str">
        <f>VLOOKUP(D102,Validation!$A$2:$C$41,3,FALSE)</f>
        <v>CFB</v>
      </c>
    </row>
    <row r="103" spans="1:6" x14ac:dyDescent="0.15">
      <c r="A103" t="s">
        <v>1387</v>
      </c>
      <c r="B103" s="17">
        <v>51668</v>
      </c>
      <c r="C103" s="18">
        <f t="shared" si="2"/>
        <v>3.5921103996212392E-3</v>
      </c>
      <c r="D103">
        <v>4</v>
      </c>
      <c r="E103" t="str">
        <f>VLOOKUP(D103,Validation!$A$2:$C$41,3,FALSE)</f>
        <v>MCB</v>
      </c>
    </row>
    <row r="104" spans="1:6" x14ac:dyDescent="0.15">
      <c r="A104" t="s">
        <v>1388</v>
      </c>
      <c r="B104" s="17">
        <v>47655</v>
      </c>
      <c r="C104" s="18">
        <f t="shared" si="2"/>
        <v>3.3131149085304278E-3</v>
      </c>
      <c r="D104">
        <v>4</v>
      </c>
      <c r="E104" t="str">
        <f>VLOOKUP(D104,Validation!$A$2:$C$41,3,FALSE)</f>
        <v>MCB</v>
      </c>
    </row>
    <row r="105" spans="1:6" x14ac:dyDescent="0.15">
      <c r="A105" t="s">
        <v>1115</v>
      </c>
      <c r="B105" s="17">
        <v>29775</v>
      </c>
      <c r="C105" s="18">
        <f t="shared" si="2"/>
        <v>2.0700450404258419E-3</v>
      </c>
      <c r="D105">
        <v>4</v>
      </c>
      <c r="E105" t="str">
        <f>VLOOKUP(D105,Validation!$A$2:$C$41,3,FALSE)</f>
        <v>MCB</v>
      </c>
      <c r="F105" t="s">
        <v>1351</v>
      </c>
    </row>
    <row r="106" spans="1:6" x14ac:dyDescent="0.15">
      <c r="A106" t="s">
        <v>1114</v>
      </c>
      <c r="B106" s="17">
        <v>23969</v>
      </c>
      <c r="C106" s="18">
        <f t="shared" si="2"/>
        <v>1.6663949479082116E-3</v>
      </c>
      <c r="D106">
        <v>6</v>
      </c>
      <c r="E106" t="str">
        <f>VLOOKUP(D106,Validation!$A$2:$C$41,3,FALSE)</f>
        <v>CH</v>
      </c>
      <c r="F106" t="s">
        <v>1351</v>
      </c>
    </row>
    <row r="107" spans="1:6" x14ac:dyDescent="0.15">
      <c r="A107" t="s">
        <v>1389</v>
      </c>
      <c r="B107" s="17">
        <v>15959</v>
      </c>
      <c r="C107" s="18">
        <f t="shared" si="2"/>
        <v>1.1095163324989423E-3</v>
      </c>
      <c r="D107">
        <v>6</v>
      </c>
      <c r="E107" t="str">
        <f>VLOOKUP(D107,Validation!$A$2:$C$41,3,FALSE)</f>
        <v>CH</v>
      </c>
    </row>
    <row r="108" spans="1:6" x14ac:dyDescent="0.15">
      <c r="A108" t="s">
        <v>1390</v>
      </c>
      <c r="B108" s="17">
        <v>14081</v>
      </c>
      <c r="C108" s="18">
        <f t="shared" si="2"/>
        <v>9.7895228259399763E-4</v>
      </c>
      <c r="D108">
        <v>4</v>
      </c>
      <c r="E108" t="str">
        <f>VLOOKUP(D108,Validation!$A$2:$C$41,3,FALSE)</f>
        <v>MCB</v>
      </c>
    </row>
  </sheetData>
  <pageMargins left="0.7" right="0.7" top="0.75" bottom="0.75" header="0.3" footer="0.3"/>
  <pageSetup orientation="portrait" verticalDpi="0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 enableFormatConditionsCalculation="0"/>
  <dimension ref="A1:F123"/>
  <sheetViews>
    <sheetView topLeftCell="A91" zoomScale="85" zoomScaleNormal="85" zoomScalePageLayoutView="85" workbookViewId="0">
      <selection activeCell="A102" sqref="A102"/>
    </sheetView>
  </sheetViews>
  <sheetFormatPr baseColWidth="10" defaultColWidth="8.83203125" defaultRowHeight="13" x14ac:dyDescent="0.15"/>
  <cols>
    <col min="1" max="1" width="33.33203125" bestFit="1" customWidth="1"/>
    <col min="2" max="2" width="10.5" bestFit="1" customWidth="1"/>
  </cols>
  <sheetData>
    <row r="1" spans="1:3" x14ac:dyDescent="0.15">
      <c r="A1" t="s">
        <v>168</v>
      </c>
      <c r="B1" t="s">
        <v>807</v>
      </c>
      <c r="C1" t="s">
        <v>811</v>
      </c>
    </row>
    <row r="2" spans="1:3" x14ac:dyDescent="0.15">
      <c r="A2" t="s">
        <v>0</v>
      </c>
      <c r="B2" s="17">
        <f>IFERROR(SUMIFS('Full List'!B:B,'Full List'!A:A,OH!$A2,'Full List'!E:E,OH!$A$1),"")</f>
        <v>8383537</v>
      </c>
      <c r="C2" s="18">
        <f>IFERROR(B2/$B$2,"")</f>
        <v>1</v>
      </c>
    </row>
    <row r="3" spans="1:3" x14ac:dyDescent="0.15">
      <c r="A3" t="s">
        <v>3</v>
      </c>
      <c r="B3" s="17">
        <f>IFERROR(SUMIFS('Full List'!B:B,'Full List'!A:A,OH!$A3,'Full List'!E:E,OH!$A$1),"")</f>
        <v>92505</v>
      </c>
      <c r="C3" s="18">
        <f t="shared" ref="C3:C66" si="0">IFERROR(B3/$B$2,"")</f>
        <v>1.1034125572535792E-2</v>
      </c>
    </row>
    <row r="4" spans="1:3" x14ac:dyDescent="0.15">
      <c r="A4" t="s">
        <v>4</v>
      </c>
      <c r="B4" s="17">
        <f>IFERROR(SUMIFS('Full List'!B:B,'Full List'!A:A,OH!$A4,'Full List'!E:E,OH!$A$1),"")</f>
        <v>82209</v>
      </c>
      <c r="C4" s="18">
        <f t="shared" si="0"/>
        <v>9.8060043153623579E-3</v>
      </c>
    </row>
    <row r="5" spans="1:3" x14ac:dyDescent="0.15">
      <c r="A5" t="s">
        <v>5</v>
      </c>
      <c r="B5" s="17">
        <f>IFERROR(SUMIFS('Full List'!B:B,'Full List'!A:A,OH!$A5,'Full List'!E:E,OH!$A$1),"")</f>
        <v>292152</v>
      </c>
      <c r="C5" s="18">
        <f t="shared" si="0"/>
        <v>3.4848298516485347E-2</v>
      </c>
    </row>
    <row r="6" spans="1:3" x14ac:dyDescent="0.15">
      <c r="A6" t="s">
        <v>6</v>
      </c>
      <c r="B6" s="17">
        <f>IFERROR(SUMIFS('Full List'!B:B,'Full List'!A:A,OH!$A6,'Full List'!E:E,OH!$A$1),"")</f>
        <v>1477023</v>
      </c>
      <c r="C6" s="18">
        <f t="shared" si="0"/>
        <v>0.17618136593182568</v>
      </c>
    </row>
    <row r="7" spans="1:3" x14ac:dyDescent="0.15">
      <c r="A7" t="s">
        <v>7</v>
      </c>
      <c r="B7" s="17">
        <f>IFERROR(SUMIFS('Full List'!B:B,'Full List'!A:A,OH!$A7,'Full List'!E:E,OH!$A$1),"")</f>
        <v>2496592</v>
      </c>
      <c r="C7" s="18">
        <f t="shared" si="0"/>
        <v>0.29779697996203752</v>
      </c>
    </row>
    <row r="8" spans="1:3" x14ac:dyDescent="0.15">
      <c r="A8" t="s">
        <v>8</v>
      </c>
      <c r="B8" s="17">
        <f>IFERROR(SUMIFS('Full List'!B:B,'Full List'!A:A,OH!$A8,'Full List'!E:E,OH!$A$1),"")</f>
        <v>87029</v>
      </c>
      <c r="C8" s="18">
        <f t="shared" si="0"/>
        <v>1.0380940645935003E-2</v>
      </c>
    </row>
    <row r="9" spans="1:3" x14ac:dyDescent="0.15">
      <c r="A9" t="s">
        <v>9</v>
      </c>
      <c r="B9" s="17">
        <f>IFERROR(SUMIFS('Full List'!B:B,'Full List'!A:A,OH!$A9,'Full List'!E:E,OH!$A$1),"")</f>
        <v>201710</v>
      </c>
      <c r="C9" s="18">
        <f t="shared" si="0"/>
        <v>2.40602504646905E-2</v>
      </c>
    </row>
    <row r="10" spans="1:3" x14ac:dyDescent="0.15">
      <c r="A10" t="s">
        <v>10</v>
      </c>
      <c r="B10" s="17">
        <f>IFERROR(SUMIFS('Full List'!B:B,'Full List'!A:A,OH!$A10,'Full List'!E:E,OH!$A$1),"")</f>
        <v>134084</v>
      </c>
      <c r="C10" s="18">
        <f t="shared" si="0"/>
        <v>1.5993726752801352E-2</v>
      </c>
    </row>
    <row r="11" spans="1:3" x14ac:dyDescent="0.15">
      <c r="A11" t="s">
        <v>11</v>
      </c>
      <c r="B11" s="17">
        <f>IFERROR(SUMIFS('Full List'!B:B,'Full List'!A:A,OH!$A11,'Full List'!E:E,OH!$A$1),"")</f>
        <v>439494</v>
      </c>
      <c r="C11" s="18">
        <f t="shared" si="0"/>
        <v>5.2423458022550627E-2</v>
      </c>
    </row>
    <row r="12" spans="1:3" x14ac:dyDescent="0.15">
      <c r="A12" t="s">
        <v>12</v>
      </c>
      <c r="B12" s="17">
        <f>IFERROR(SUMIFS('Full List'!B:B,'Full List'!A:A,OH!$A12,'Full List'!E:E,OH!$A$1),"")</f>
        <v>127858</v>
      </c>
      <c r="C12" s="18">
        <f t="shared" si="0"/>
        <v>1.5251080778912289E-2</v>
      </c>
    </row>
    <row r="13" spans="1:3" x14ac:dyDescent="0.15">
      <c r="A13" t="s">
        <v>13</v>
      </c>
      <c r="B13" s="17">
        <f>IFERROR(SUMIFS('Full List'!B:B,'Full List'!A:A,OH!$A13,'Full List'!E:E,OH!$A$1),"")</f>
        <v>86290</v>
      </c>
      <c r="C13" s="18">
        <f t="shared" si="0"/>
        <v>1.0292791694006957E-2</v>
      </c>
    </row>
    <row r="14" spans="1:3" x14ac:dyDescent="0.15">
      <c r="A14" t="s">
        <v>14</v>
      </c>
      <c r="B14" s="17">
        <f>IFERROR(SUMIFS('Full List'!B:B,'Full List'!A:A,OH!$A14,'Full List'!E:E,OH!$A$1),"")</f>
        <v>496519</v>
      </c>
      <c r="C14" s="18">
        <f t="shared" si="0"/>
        <v>5.9225479651369109E-2</v>
      </c>
    </row>
    <row r="15" spans="1:3" x14ac:dyDescent="0.15">
      <c r="A15" t="s">
        <v>15</v>
      </c>
      <c r="B15" s="17">
        <f>IFERROR(SUMIFS('Full List'!B:B,'Full List'!A:A,OH!$A15,'Full List'!E:E,OH!$A$1),"")</f>
        <v>794315</v>
      </c>
      <c r="C15" s="18">
        <f t="shared" si="0"/>
        <v>9.4747002369047817E-2</v>
      </c>
    </row>
    <row r="16" spans="1:3" x14ac:dyDescent="0.15">
      <c r="A16" t="s">
        <v>16</v>
      </c>
      <c r="B16" s="17">
        <f>IFERROR(SUMIFS('Full List'!B:B,'Full List'!A:A,OH!$A16,'Full List'!E:E,OH!$A$1),"")</f>
        <v>322364</v>
      </c>
      <c r="C16" s="18">
        <f t="shared" si="0"/>
        <v>3.8452028064049813E-2</v>
      </c>
    </row>
    <row r="17" spans="1:3" x14ac:dyDescent="0.15">
      <c r="A17" t="s">
        <v>17</v>
      </c>
      <c r="B17" s="17">
        <f>IFERROR(SUMIFS('Full List'!B:B,'Full List'!A:A,OH!$A17,'Full List'!E:E,OH!$A$1),"")</f>
        <v>220700</v>
      </c>
      <c r="C17" s="18">
        <f t="shared" si="0"/>
        <v>2.6325404182029614E-2</v>
      </c>
    </row>
    <row r="18" spans="1:3" x14ac:dyDescent="0.15">
      <c r="A18" t="s">
        <v>18</v>
      </c>
      <c r="B18" s="17">
        <f>IFERROR(SUMIFS('Full List'!B:B,'Full List'!A:A,OH!$A18,'Full List'!E:E,OH!$A$1),"")</f>
        <v>112247</v>
      </c>
      <c r="C18" s="18">
        <f t="shared" si="0"/>
        <v>1.3388978899955949E-2</v>
      </c>
    </row>
    <row r="19" spans="1:3" x14ac:dyDescent="0.15">
      <c r="A19" t="s">
        <v>19</v>
      </c>
      <c r="B19" s="17">
        <f>IFERROR(SUMIFS('Full List'!B:B,'Full List'!A:A,OH!$A19,'Full List'!E:E,OH!$A$1),"")</f>
        <v>1463025</v>
      </c>
      <c r="C19" s="18">
        <f t="shared" si="0"/>
        <v>0.17451166494523732</v>
      </c>
    </row>
    <row r="20" spans="1:3" x14ac:dyDescent="0.15">
      <c r="A20" t="s">
        <v>20</v>
      </c>
      <c r="B20" s="17">
        <f>IFERROR(SUMIFS('Full List'!B:B,'Full List'!A:A,OH!$A20,'Full List'!E:E,OH!$A$1),"")</f>
        <v>133875</v>
      </c>
      <c r="C20" s="18">
        <f t="shared" si="0"/>
        <v>1.5968796940957021E-2</v>
      </c>
    </row>
    <row r="21" spans="1:3" x14ac:dyDescent="0.15">
      <c r="A21" t="s">
        <v>21</v>
      </c>
      <c r="B21" s="17">
        <f>IFERROR(SUMIFS('Full List'!B:B,'Full List'!A:A,OH!$A21,'Full List'!E:E,OH!$A$1),"")</f>
        <v>186525</v>
      </c>
      <c r="C21" s="18">
        <f t="shared" si="0"/>
        <v>2.22489624605939E-2</v>
      </c>
    </row>
    <row r="22" spans="1:3" x14ac:dyDescent="0.15">
      <c r="A22" t="s">
        <v>22</v>
      </c>
      <c r="B22" s="17">
        <f>IFERROR(SUMIFS('Full List'!B:B,'Full List'!A:A,OH!$A22,'Full List'!E:E,OH!$A$1),"")</f>
        <v>52031</v>
      </c>
      <c r="C22" s="18">
        <f t="shared" si="0"/>
        <v>6.2063303352749557E-3</v>
      </c>
    </row>
    <row r="23" spans="1:3" x14ac:dyDescent="0.15">
      <c r="A23" t="s">
        <v>23</v>
      </c>
      <c r="B23" s="17">
        <f>IFERROR(SUMIFS('Full List'!B:B,'Full List'!A:A,OH!$A23,'Full List'!E:E,OH!$A$1),"")</f>
        <v>160817</v>
      </c>
      <c r="C23" s="18">
        <f t="shared" si="0"/>
        <v>1.9182476322344613E-2</v>
      </c>
    </row>
    <row r="24" spans="1:3" x14ac:dyDescent="0.15">
      <c r="A24" t="s">
        <v>24</v>
      </c>
      <c r="B24" s="17">
        <f>IFERROR(SUMIFS('Full List'!B:B,'Full List'!A:A,OH!$A24,'Full List'!E:E,OH!$A$1),"")</f>
        <v>48289</v>
      </c>
      <c r="C24" s="18">
        <f t="shared" si="0"/>
        <v>5.7599793500046582E-3</v>
      </c>
    </row>
    <row r="25" spans="1:3" x14ac:dyDescent="0.15">
      <c r="A25" t="s">
        <v>25</v>
      </c>
      <c r="B25" s="17">
        <f>IFERROR(SUMIFS('Full List'!B:B,'Full List'!A:A,OH!$A25,'Full List'!E:E,OH!$A$1),"")</f>
        <v>171161</v>
      </c>
      <c r="C25" s="18">
        <f t="shared" si="0"/>
        <v>2.0416323086544497E-2</v>
      </c>
    </row>
    <row r="26" spans="1:3" x14ac:dyDescent="0.15">
      <c r="A26" t="s">
        <v>26</v>
      </c>
      <c r="B26" s="17">
        <f>IFERROR(SUMIFS('Full List'!B:B,'Full List'!A:A,OH!$A26,'Full List'!E:E,OH!$A$1),"")</f>
        <v>79087</v>
      </c>
      <c r="C26" s="18">
        <f t="shared" si="0"/>
        <v>9.4336077958503666E-3</v>
      </c>
    </row>
    <row r="27" spans="1:3" x14ac:dyDescent="0.15">
      <c r="A27" t="s">
        <v>27</v>
      </c>
      <c r="B27" s="17">
        <f>IFERROR(SUMIFS('Full List'!B:B,'Full List'!A:A,OH!$A27,'Full List'!E:E,OH!$A$1),"")</f>
        <v>777402</v>
      </c>
      <c r="C27" s="18">
        <f t="shared" si="0"/>
        <v>9.2729596111999033E-2</v>
      </c>
    </row>
    <row r="28" spans="1:3" x14ac:dyDescent="0.15">
      <c r="A28" t="s">
        <v>28</v>
      </c>
      <c r="B28" s="17">
        <f>IFERROR(SUMIFS('Full List'!B:B,'Full List'!A:A,OH!$A28,'Full List'!E:E,OH!$A$1),"")</f>
        <v>761365</v>
      </c>
      <c r="C28" s="18">
        <f t="shared" si="0"/>
        <v>9.0816680358182952E-2</v>
      </c>
    </row>
    <row r="29" spans="1:3" x14ac:dyDescent="0.15">
      <c r="A29" t="s">
        <v>29</v>
      </c>
      <c r="B29" s="17">
        <f>IFERROR(SUMIFS('Full List'!B:B,'Full List'!A:A,OH!$A29,'Full List'!E:E,OH!$A$1),"")</f>
        <v>2491644</v>
      </c>
      <c r="C29" s="18">
        <f t="shared" si="0"/>
        <v>0.29720677561272768</v>
      </c>
    </row>
    <row r="30" spans="1:3" x14ac:dyDescent="0.15">
      <c r="A30" t="s">
        <v>30</v>
      </c>
      <c r="B30" s="17">
        <f>IFERROR(SUMIFS('Full List'!B:B,'Full List'!A:A,OH!$A30,'Full List'!E:E,OH!$A$1),"")</f>
        <v>242028</v>
      </c>
      <c r="C30" s="18">
        <f t="shared" si="0"/>
        <v>2.8869437804115376E-2</v>
      </c>
    </row>
    <row r="31" spans="1:3" x14ac:dyDescent="0.15">
      <c r="A31" t="s">
        <v>31</v>
      </c>
      <c r="B31" s="17">
        <f>IFERROR(SUMIFS('Full List'!B:B,'Full List'!A:A,OH!$A31,'Full List'!E:E,OH!$A$1),"")</f>
        <v>56823</v>
      </c>
      <c r="C31" s="18">
        <f t="shared" si="0"/>
        <v>6.7779267867488389E-3</v>
      </c>
    </row>
    <row r="32" spans="1:3" x14ac:dyDescent="0.15">
      <c r="A32" t="s">
        <v>32</v>
      </c>
      <c r="B32" s="17">
        <f>IFERROR(SUMIFS('Full List'!B:B,'Full List'!A:A,OH!$A32,'Full List'!E:E,OH!$A$1),"")</f>
        <v>262268</v>
      </c>
      <c r="C32" s="18">
        <f t="shared" si="0"/>
        <v>3.1283693266934948E-2</v>
      </c>
    </row>
    <row r="33" spans="1:3" x14ac:dyDescent="0.15">
      <c r="A33" t="s">
        <v>33</v>
      </c>
      <c r="B33" s="17">
        <f>IFERROR(SUMIFS('Full List'!B:B,'Full List'!A:A,OH!$A33,'Full List'!E:E,OH!$A$1),"")</f>
        <v>2137840</v>
      </c>
      <c r="C33" s="18">
        <f t="shared" si="0"/>
        <v>0.25500454044635334</v>
      </c>
    </row>
    <row r="34" spans="1:3" x14ac:dyDescent="0.15">
      <c r="A34" t="s">
        <v>34</v>
      </c>
      <c r="B34" s="17">
        <f>IFERROR(SUMIFS('Full List'!B:B,'Full List'!A:A,OH!$A34,'Full List'!E:E,OH!$A$1),"")</f>
        <v>676051</v>
      </c>
      <c r="C34" s="18">
        <f t="shared" si="0"/>
        <v>8.0640307307047132E-2</v>
      </c>
    </row>
    <row r="35" spans="1:3" x14ac:dyDescent="0.15">
      <c r="A35" t="s">
        <v>35</v>
      </c>
      <c r="B35" s="17">
        <f>IFERROR(SUMIFS('Full List'!B:B,'Full List'!A:A,OH!$A35,'Full List'!E:E,OH!$A$1),"")</f>
        <v>303591</v>
      </c>
      <c r="C35" s="18">
        <f t="shared" si="0"/>
        <v>3.6212758409726112E-2</v>
      </c>
    </row>
    <row r="36" spans="1:3" x14ac:dyDescent="0.15">
      <c r="A36" t="s">
        <v>36</v>
      </c>
      <c r="B36" s="17">
        <f>IFERROR(SUMIFS('Full List'!B:B,'Full List'!A:A,OH!$A36,'Full List'!E:E,OH!$A$1),"")</f>
        <v>147874</v>
      </c>
      <c r="C36" s="18">
        <f t="shared" si="0"/>
        <v>1.7638617208941762E-2</v>
      </c>
    </row>
    <row r="37" spans="1:3" x14ac:dyDescent="0.15">
      <c r="A37" t="s">
        <v>37</v>
      </c>
      <c r="B37" s="17">
        <f>IFERROR(SUMIFS('Full List'!B:B,'Full List'!A:A,OH!$A37,'Full List'!E:E,OH!$A$1),"")</f>
        <v>101447</v>
      </c>
      <c r="C37" s="18">
        <f t="shared" si="0"/>
        <v>1.2100739819004796E-2</v>
      </c>
    </row>
    <row r="38" spans="1:3" x14ac:dyDescent="0.15">
      <c r="A38" t="s">
        <v>38</v>
      </c>
      <c r="B38" s="17">
        <f>IFERROR(SUMIFS('Full List'!B:B,'Full List'!A:A,OH!$A38,'Full List'!E:E,OH!$A$1),"")</f>
        <v>109498</v>
      </c>
      <c r="C38" s="18">
        <f t="shared" si="0"/>
        <v>1.3061074341295326E-2</v>
      </c>
    </row>
    <row r="39" spans="1:3" x14ac:dyDescent="0.15">
      <c r="A39" t="s">
        <v>39</v>
      </c>
      <c r="B39" s="17">
        <f>IFERROR(SUMIFS('Full List'!B:B,'Full List'!A:A,OH!$A39,'Full List'!E:E,OH!$A$1),"")</f>
        <v>397371</v>
      </c>
      <c r="C39" s="18">
        <f t="shared" si="0"/>
        <v>4.739896776265197E-2</v>
      </c>
    </row>
    <row r="40" spans="1:3" x14ac:dyDescent="0.15">
      <c r="A40" t="s">
        <v>40</v>
      </c>
      <c r="B40" s="17">
        <f>IFERROR(SUMIFS('Full List'!B:B,'Full List'!A:A,OH!$A40,'Full List'!E:E,OH!$A$1),"")</f>
        <v>91203</v>
      </c>
      <c r="C40" s="18">
        <f t="shared" si="0"/>
        <v>1.0878821194443347E-2</v>
      </c>
    </row>
    <row r="41" spans="1:3" x14ac:dyDescent="0.15">
      <c r="A41" t="s">
        <v>41</v>
      </c>
      <c r="B41" s="17">
        <f>IFERROR(SUMIFS('Full List'!B:B,'Full List'!A:A,OH!$A41,'Full List'!E:E,OH!$A$1),"")</f>
        <v>208343</v>
      </c>
      <c r="C41" s="18">
        <f t="shared" si="0"/>
        <v>2.4851443966908002E-2</v>
      </c>
    </row>
    <row r="42" spans="1:3" x14ac:dyDescent="0.15">
      <c r="A42" t="s">
        <v>42</v>
      </c>
      <c r="B42" s="17">
        <f>IFERROR(SUMIFS('Full List'!B:B,'Full List'!A:A,OH!$A42,'Full List'!E:E,OH!$A$1),"")</f>
        <v>297921</v>
      </c>
      <c r="C42" s="18">
        <f t="shared" si="0"/>
        <v>3.5536432892226751E-2</v>
      </c>
    </row>
    <row r="43" spans="1:3" x14ac:dyDescent="0.15">
      <c r="A43" t="s">
        <v>43</v>
      </c>
      <c r="B43" s="17">
        <f>IFERROR(SUMIFS('Full List'!B:B,'Full List'!A:A,OH!$A43,'Full List'!E:E,OH!$A$1),"")</f>
        <v>687406</v>
      </c>
      <c r="C43" s="18">
        <f t="shared" si="0"/>
        <v>8.1994747562991604E-2</v>
      </c>
    </row>
    <row r="44" spans="1:3" x14ac:dyDescent="0.15">
      <c r="A44" t="s">
        <v>44</v>
      </c>
      <c r="B44" s="17">
        <f>IFERROR(SUMIFS('Full List'!B:B,'Full List'!A:A,OH!$A44,'Full List'!E:E,OH!$A$1),"")</f>
        <v>890797</v>
      </c>
      <c r="C44" s="18">
        <f t="shared" si="0"/>
        <v>0.10625551005500423</v>
      </c>
    </row>
    <row r="45" spans="1:3" x14ac:dyDescent="0.15">
      <c r="A45" t="s">
        <v>45</v>
      </c>
      <c r="B45" s="17">
        <f>IFERROR(SUMIFS('Full List'!B:B,'Full List'!A:A,OH!$A45,'Full List'!E:E,OH!$A$1),"")</f>
        <v>1830555</v>
      </c>
      <c r="C45" s="18">
        <f t="shared" si="0"/>
        <v>0.21835115655838341</v>
      </c>
    </row>
    <row r="46" spans="1:3" x14ac:dyDescent="0.15">
      <c r="A46" t="s">
        <v>46</v>
      </c>
      <c r="B46" s="17">
        <f>IFERROR(SUMIFS('Full List'!B:B,'Full List'!A:A,OH!$A46,'Full List'!E:E,OH!$A$1),"")</f>
        <v>3837728</v>
      </c>
      <c r="C46" s="18">
        <f t="shared" si="0"/>
        <v>0.45776955478338083</v>
      </c>
    </row>
    <row r="47" spans="1:3" x14ac:dyDescent="0.15">
      <c r="A47" t="s">
        <v>47</v>
      </c>
      <c r="B47" s="17">
        <f>IFERROR(SUMIFS('Full List'!B:B,'Full List'!A:A,OH!$A47,'Full List'!E:E,OH!$A$1),"")</f>
        <v>4785232</v>
      </c>
      <c r="C47" s="18">
        <f t="shared" si="0"/>
        <v>0.5707891549831533</v>
      </c>
    </row>
    <row r="48" spans="1:3" x14ac:dyDescent="0.15">
      <c r="A48" t="s">
        <v>48</v>
      </c>
      <c r="B48" s="17">
        <f>IFERROR(SUMIFS('Full List'!B:B,'Full List'!A:A,OH!$A48,'Full List'!E:E,OH!$A$1),"")</f>
        <v>879794</v>
      </c>
      <c r="C48" s="18">
        <f t="shared" si="0"/>
        <v>0.10494305685058705</v>
      </c>
    </row>
    <row r="49" spans="1:3" x14ac:dyDescent="0.15">
      <c r="A49" t="s">
        <v>49</v>
      </c>
      <c r="B49" s="17">
        <f>IFERROR(SUMIFS('Full List'!B:B,'Full List'!A:A,OH!$A49,'Full List'!E:E,OH!$A$1),"")</f>
        <v>828271</v>
      </c>
      <c r="C49" s="18">
        <f t="shared" si="0"/>
        <v>9.8797321464675347E-2</v>
      </c>
    </row>
    <row r="50" spans="1:3" x14ac:dyDescent="0.15">
      <c r="A50" t="s">
        <v>50</v>
      </c>
      <c r="B50" s="17">
        <f>IFERROR(SUMIFS('Full List'!B:B,'Full List'!A:A,OH!$A50,'Full List'!E:E,OH!$A$1),"")</f>
        <v>1311512</v>
      </c>
      <c r="C50" s="18">
        <f t="shared" si="0"/>
        <v>0.15643898273485285</v>
      </c>
    </row>
    <row r="51" spans="1:3" x14ac:dyDescent="0.15">
      <c r="A51" t="s">
        <v>51</v>
      </c>
      <c r="B51" s="17">
        <f>IFERROR(SUMIFS('Full List'!B:B,'Full List'!A:A,OH!$A51,'Full List'!E:E,OH!$A$1),"")</f>
        <v>2632494</v>
      </c>
      <c r="C51" s="18">
        <f t="shared" si="0"/>
        <v>0.31400756029346566</v>
      </c>
    </row>
    <row r="52" spans="1:3" x14ac:dyDescent="0.15">
      <c r="A52" t="s">
        <v>52</v>
      </c>
      <c r="B52" s="17">
        <f>IFERROR(SUMIFS('Full List'!B:B,'Full List'!A:A,OH!$A52,'Full List'!E:E,OH!$A$1),"")</f>
        <v>892298</v>
      </c>
      <c r="C52" s="18">
        <f t="shared" si="0"/>
        <v>0.10643455143097716</v>
      </c>
    </row>
    <row r="53" spans="1:3" x14ac:dyDescent="0.15">
      <c r="A53" t="s">
        <v>53</v>
      </c>
      <c r="B53" s="17">
        <f>IFERROR(SUMIFS('Full List'!B:B,'Full List'!A:A,OH!$A53,'Full List'!E:E,OH!$A$1),"")</f>
        <v>650423</v>
      </c>
      <c r="C53" s="18">
        <f t="shared" si="0"/>
        <v>7.7583363680508596E-2</v>
      </c>
    </row>
    <row r="54" spans="1:3" x14ac:dyDescent="0.15">
      <c r="A54" t="s">
        <v>54</v>
      </c>
      <c r="B54" s="17">
        <f>IFERROR(SUMIFS('Full List'!B:B,'Full List'!A:A,OH!$A54,'Full List'!E:E,OH!$A$1),"")</f>
        <v>2846956</v>
      </c>
      <c r="C54" s="18">
        <f t="shared" si="0"/>
        <v>0.33958888712484958</v>
      </c>
    </row>
    <row r="55" spans="1:3" x14ac:dyDescent="0.15">
      <c r="A55" t="s">
        <v>55</v>
      </c>
      <c r="B55" s="17">
        <f>IFERROR(SUMIFS('Full List'!B:B,'Full List'!A:A,OH!$A55,'Full List'!E:E,OH!$A$1),"")</f>
        <v>3216606</v>
      </c>
      <c r="C55" s="18">
        <f t="shared" si="0"/>
        <v>0.38368125529833053</v>
      </c>
    </row>
    <row r="56" spans="1:3" x14ac:dyDescent="0.15">
      <c r="A56" t="s">
        <v>56</v>
      </c>
      <c r="B56" s="17">
        <f>IFERROR(SUMIFS('Full List'!B:B,'Full List'!A:A,OH!$A56,'Full List'!E:E,OH!$A$1),"")</f>
        <v>2245970</v>
      </c>
      <c r="C56" s="18">
        <f t="shared" si="0"/>
        <v>0.26790243783739487</v>
      </c>
    </row>
    <row r="57" spans="1:3" x14ac:dyDescent="0.15">
      <c r="A57" t="s">
        <v>57</v>
      </c>
      <c r="B57" s="17">
        <f>IFERROR(SUMIFS('Full List'!B:B,'Full List'!A:A,OH!$A57,'Full List'!E:E,OH!$A$1),"")</f>
        <v>1440339</v>
      </c>
      <c r="C57" s="18">
        <f t="shared" si="0"/>
        <v>0.17180564718686159</v>
      </c>
    </row>
    <row r="58" spans="1:3" x14ac:dyDescent="0.15">
      <c r="A58" t="s">
        <v>58</v>
      </c>
      <c r="B58" s="17">
        <f>IFERROR(SUMIFS('Full List'!B:B,'Full List'!A:A,OH!$A58,'Full List'!E:E,OH!$A$1),"")</f>
        <v>1100267</v>
      </c>
      <c r="C58" s="18">
        <f t="shared" si="0"/>
        <v>0.13124138415563741</v>
      </c>
    </row>
    <row r="59" spans="1:3" x14ac:dyDescent="0.15">
      <c r="A59" t="s">
        <v>59</v>
      </c>
      <c r="B59" s="17">
        <f>IFERROR(SUMIFS('Full List'!B:B,'Full List'!A:A,OH!$A59,'Full List'!E:E,OH!$A$1),"")</f>
        <v>4642019</v>
      </c>
      <c r="C59" s="18">
        <f t="shared" si="0"/>
        <v>0.55370650836275903</v>
      </c>
    </row>
    <row r="60" spans="1:3" x14ac:dyDescent="0.15">
      <c r="A60" t="s">
        <v>60</v>
      </c>
      <c r="B60" s="17">
        <f>IFERROR(SUMIFS('Full List'!B:B,'Full List'!A:A,OH!$A60,'Full List'!E:E,OH!$A$1),"")</f>
        <v>1227884</v>
      </c>
      <c r="C60" s="18">
        <f t="shared" si="0"/>
        <v>0.14646371811802106</v>
      </c>
    </row>
    <row r="61" spans="1:3" x14ac:dyDescent="0.15">
      <c r="A61" t="s">
        <v>61</v>
      </c>
      <c r="B61" s="17">
        <f>IFERROR(SUMIFS('Full List'!B:B,'Full List'!A:A,OH!$A61,'Full List'!E:E,OH!$A$1),"")</f>
        <v>1339370</v>
      </c>
      <c r="C61" s="18">
        <f t="shared" si="0"/>
        <v>0.1597619238753285</v>
      </c>
    </row>
    <row r="62" spans="1:3" x14ac:dyDescent="0.15">
      <c r="A62" t="s">
        <v>62</v>
      </c>
      <c r="B62" s="17">
        <f>IFERROR(SUMIFS('Full List'!B:B,'Full List'!A:A,OH!$A62,'Full List'!E:E,OH!$A$1),"")</f>
        <v>360925</v>
      </c>
      <c r="C62" s="18">
        <f t="shared" si="0"/>
        <v>4.3051637990027362E-2</v>
      </c>
    </row>
    <row r="63" spans="1:3" x14ac:dyDescent="0.15">
      <c r="A63" t="s">
        <v>63</v>
      </c>
      <c r="B63" s="17">
        <f>IFERROR(SUMIFS('Full List'!B:B,'Full List'!A:A,OH!$A63,'Full List'!E:E,OH!$A$1),"")</f>
        <v>1638886</v>
      </c>
      <c r="C63" s="18">
        <f t="shared" si="0"/>
        <v>0.19548861059478834</v>
      </c>
    </row>
    <row r="64" spans="1:3" x14ac:dyDescent="0.15">
      <c r="A64" t="s">
        <v>64</v>
      </c>
      <c r="B64" s="17">
        <f>IFERROR(SUMIFS('Full List'!B:B,'Full List'!A:A,OH!$A64,'Full List'!E:E,OH!$A$1),"")</f>
        <v>527503</v>
      </c>
      <c r="C64" s="18">
        <f t="shared" si="0"/>
        <v>6.2921294436942304E-2</v>
      </c>
    </row>
    <row r="65" spans="1:3" x14ac:dyDescent="0.15">
      <c r="A65" t="s">
        <v>65</v>
      </c>
      <c r="B65" s="17">
        <f>IFERROR(SUMIFS('Full List'!B:B,'Full List'!A:A,OH!$A65,'Full List'!E:E,OH!$A$1),"")</f>
        <v>1188161</v>
      </c>
      <c r="C65" s="18">
        <f t="shared" si="0"/>
        <v>0.14172550320944488</v>
      </c>
    </row>
    <row r="66" spans="1:3" x14ac:dyDescent="0.15">
      <c r="A66" t="s">
        <v>66</v>
      </c>
      <c r="B66" s="17">
        <f>IFERROR(SUMIFS('Full List'!B:B,'Full List'!A:A,OH!$A66,'Full List'!E:E,OH!$A$1),"")</f>
        <v>624570</v>
      </c>
      <c r="C66" s="18">
        <f t="shared" si="0"/>
        <v>7.4499581739783577E-2</v>
      </c>
    </row>
    <row r="67" spans="1:3" x14ac:dyDescent="0.15">
      <c r="A67" t="s">
        <v>67</v>
      </c>
      <c r="B67" s="17">
        <f>IFERROR(SUMIFS('Full List'!B:B,'Full List'!A:A,OH!$A67,'Full List'!E:E,OH!$A$1),"")</f>
        <v>2574240</v>
      </c>
      <c r="C67" s="18">
        <f t="shared" ref="C67:C82" si="1">IFERROR(B67/$B$2,"")</f>
        <v>0.30705894182849075</v>
      </c>
    </row>
    <row r="68" spans="1:3" x14ac:dyDescent="0.15">
      <c r="A68" t="s">
        <v>68</v>
      </c>
      <c r="B68" s="17">
        <f>IFERROR(SUMIFS('Full List'!B:B,'Full List'!A:A,OH!$A68,'Full List'!E:E,OH!$A$1),"")</f>
        <v>3221177</v>
      </c>
      <c r="C68" s="18">
        <f t="shared" si="1"/>
        <v>0.38422649056120345</v>
      </c>
    </row>
    <row r="69" spans="1:3" x14ac:dyDescent="0.15">
      <c r="A69" t="s">
        <v>69</v>
      </c>
      <c r="B69" s="17">
        <f>IFERROR(SUMIFS('Full List'!B:B,'Full List'!A:A,OH!$A69,'Full List'!E:E,OH!$A$1),"")</f>
        <v>5602599</v>
      </c>
      <c r="C69" s="18">
        <f t="shared" si="1"/>
        <v>0.66828583210165349</v>
      </c>
    </row>
    <row r="70" spans="1:3" x14ac:dyDescent="0.15">
      <c r="A70" t="s">
        <v>70</v>
      </c>
      <c r="B70" s="17">
        <f>IFERROR(SUMIFS('Full List'!B:B,'Full List'!A:A,OH!$A70,'Full List'!E:E,OH!$A$1),"")</f>
        <v>1794875</v>
      </c>
      <c r="C70" s="18">
        <f t="shared" si="1"/>
        <v>0.21409519633538923</v>
      </c>
    </row>
    <row r="71" spans="1:3" x14ac:dyDescent="0.15">
      <c r="A71" t="s">
        <v>71</v>
      </c>
      <c r="B71" s="17">
        <f>IFERROR(SUMIFS('Full List'!B:B,'Full List'!A:A,OH!$A71,'Full List'!E:E,OH!$A$1),"")</f>
        <v>478368</v>
      </c>
      <c r="C71" s="18">
        <f t="shared" si="1"/>
        <v>5.7060403025596479E-2</v>
      </c>
    </row>
    <row r="72" spans="1:3" x14ac:dyDescent="0.15">
      <c r="A72" t="s">
        <v>72</v>
      </c>
      <c r="B72" s="17">
        <f>IFERROR(SUMIFS('Full List'!B:B,'Full List'!A:A,OH!$A72,'Full List'!E:E,OH!$A$1),"")</f>
        <v>1164999</v>
      </c>
      <c r="C72" s="18">
        <f t="shared" si="1"/>
        <v>0.1389627075063902</v>
      </c>
    </row>
    <row r="73" spans="1:3" x14ac:dyDescent="0.15">
      <c r="A73" t="s">
        <v>73</v>
      </c>
      <c r="B73" s="17">
        <f>IFERROR(SUMIFS('Full List'!B:B,'Full List'!A:A,OH!$A73,'Full List'!E:E,OH!$A$1),"")</f>
        <v>5164725</v>
      </c>
      <c r="C73" s="18">
        <f t="shared" si="1"/>
        <v>0.61605560994124553</v>
      </c>
    </row>
    <row r="74" spans="1:3" x14ac:dyDescent="0.15">
      <c r="A74" t="s">
        <v>74</v>
      </c>
      <c r="B74" s="17">
        <f>IFERROR(SUMIFS('Full List'!B:B,'Full List'!A:A,OH!$A74,'Full List'!E:E,OH!$A$1),"")</f>
        <v>2515218</v>
      </c>
      <c r="C74" s="18">
        <f t="shared" si="1"/>
        <v>0.30001871525109269</v>
      </c>
    </row>
    <row r="75" spans="1:3" x14ac:dyDescent="0.15">
      <c r="A75" t="s">
        <v>75</v>
      </c>
      <c r="B75" s="17">
        <f>IFERROR(SUMIFS('Full List'!B:B,'Full List'!A:A,OH!$A75,'Full List'!E:E,OH!$A$1),"")</f>
        <v>1485478</v>
      </c>
      <c r="C75" s="18">
        <f t="shared" si="1"/>
        <v>0.17718989013825548</v>
      </c>
    </row>
    <row r="76" spans="1:3" x14ac:dyDescent="0.15">
      <c r="A76" t="s">
        <v>76</v>
      </c>
      <c r="B76" s="17">
        <f>IFERROR(SUMIFS('Full List'!B:B,'Full List'!A:A,OH!$A76,'Full List'!E:E,OH!$A$1),"")</f>
        <v>1027072</v>
      </c>
      <c r="C76" s="18">
        <f t="shared" si="1"/>
        <v>0.12251058234728374</v>
      </c>
    </row>
    <row r="77" spans="1:3" x14ac:dyDescent="0.15">
      <c r="A77" t="s">
        <v>77</v>
      </c>
      <c r="B77" s="17">
        <f>IFERROR(SUMIFS('Full List'!B:B,'Full List'!A:A,OH!$A77,'Full List'!E:E,OH!$A$1),"")</f>
        <v>833542</v>
      </c>
      <c r="C77" s="18">
        <f t="shared" si="1"/>
        <v>9.942605370501735E-2</v>
      </c>
    </row>
    <row r="78" spans="1:3" x14ac:dyDescent="0.15">
      <c r="A78" t="s">
        <v>78</v>
      </c>
      <c r="B78" s="17">
        <f>IFERROR(SUMIFS('Full List'!B:B,'Full List'!A:A,OH!$A78,'Full List'!E:E,OH!$A$1),"")</f>
        <v>842089</v>
      </c>
      <c r="C78" s="18">
        <f t="shared" si="1"/>
        <v>0.10044555179991452</v>
      </c>
    </row>
    <row r="79" spans="1:3" x14ac:dyDescent="0.15">
      <c r="A79" t="s">
        <v>79</v>
      </c>
      <c r="B79" s="17">
        <f>IFERROR(SUMIFS('Full List'!B:B,'Full List'!A:A,OH!$A79,'Full List'!E:E,OH!$A$1),"")</f>
        <v>1462295</v>
      </c>
      <c r="C79" s="18">
        <f t="shared" si="1"/>
        <v>0.17442458952587672</v>
      </c>
    </row>
    <row r="80" spans="1:3" x14ac:dyDescent="0.15">
      <c r="A80" t="s">
        <v>80</v>
      </c>
      <c r="B80" s="17">
        <f>IFERROR(SUMIFS('Full List'!B:B,'Full List'!A:A,OH!$A80,'Full List'!E:E,OH!$A$1),"")</f>
        <v>941043</v>
      </c>
      <c r="C80" s="18">
        <f t="shared" si="1"/>
        <v>0.11224892309773309</v>
      </c>
    </row>
    <row r="81" spans="1:6" x14ac:dyDescent="0.15">
      <c r="A81" t="s">
        <v>81</v>
      </c>
      <c r="B81" s="17">
        <f>IFERROR(SUMIFS('Full List'!B:B,'Full List'!A:A,OH!$A81,'Full List'!E:E,OH!$A$1),"")</f>
        <v>1410982</v>
      </c>
      <c r="C81" s="18">
        <f t="shared" si="1"/>
        <v>0.16830390323320574</v>
      </c>
    </row>
    <row r="82" spans="1:6" x14ac:dyDescent="0.15">
      <c r="A82" t="s">
        <v>82</v>
      </c>
      <c r="B82" s="17">
        <f>IFERROR(SUMIFS('Full List'!B:B,'Full List'!A:A,OH!$A82,'Full List'!E:E,OH!$A$1),"")</f>
        <v>1005060</v>
      </c>
      <c r="C82" s="18">
        <f t="shared" si="1"/>
        <v>0.11988496025007106</v>
      </c>
    </row>
    <row r="83" spans="1:6" x14ac:dyDescent="0.15">
      <c r="B83" s="17"/>
      <c r="C83" s="18"/>
      <c r="D83" t="s">
        <v>812</v>
      </c>
      <c r="E83" t="s">
        <v>860</v>
      </c>
      <c r="F83" t="s">
        <v>1349</v>
      </c>
    </row>
    <row r="84" spans="1:6" x14ac:dyDescent="0.15">
      <c r="A84" t="s">
        <v>1143</v>
      </c>
      <c r="B84" s="17">
        <v>3314690</v>
      </c>
      <c r="C84" s="18">
        <f t="shared" ref="C84:C123" si="2">IFERROR(B84/$B$2,"")</f>
        <v>0.39538085178129467</v>
      </c>
      <c r="D84">
        <v>5</v>
      </c>
      <c r="E84" t="str">
        <f>VLOOKUP(D84,Validation!$A$2:$C$41,3,FALSE)</f>
        <v>CFB</v>
      </c>
      <c r="F84" t="s">
        <v>1350</v>
      </c>
    </row>
    <row r="85" spans="1:6" x14ac:dyDescent="0.15">
      <c r="A85" t="s">
        <v>1119</v>
      </c>
      <c r="B85" s="17">
        <v>3189031</v>
      </c>
      <c r="C85" s="18">
        <f t="shared" si="2"/>
        <v>0.38039207079303161</v>
      </c>
      <c r="D85">
        <v>27</v>
      </c>
      <c r="E85" t="str">
        <f>VLOOKUP(D85,Validation!$A$2:$C$41,3,FALSE)</f>
        <v xml:space="preserve">NFL </v>
      </c>
      <c r="F85" t="s">
        <v>1351</v>
      </c>
    </row>
    <row r="86" spans="1:6" x14ac:dyDescent="0.15">
      <c r="A86" t="s">
        <v>1003</v>
      </c>
      <c r="B86" s="17">
        <v>2503509</v>
      </c>
      <c r="C86" s="18">
        <f t="shared" si="2"/>
        <v>0.29862204938082815</v>
      </c>
      <c r="D86">
        <v>27</v>
      </c>
      <c r="E86" t="str">
        <f>VLOOKUP(D86,Validation!$A$2:$C$41,3,FALSE)</f>
        <v xml:space="preserve">NFL </v>
      </c>
      <c r="F86" t="s">
        <v>1351</v>
      </c>
    </row>
    <row r="87" spans="1:6" x14ac:dyDescent="0.15">
      <c r="A87" t="s">
        <v>1121</v>
      </c>
      <c r="B87" s="17">
        <v>2487561</v>
      </c>
      <c r="C87" s="18">
        <f t="shared" si="2"/>
        <v>0.29671974967129028</v>
      </c>
      <c r="D87">
        <v>17</v>
      </c>
      <c r="E87" t="str">
        <f>VLOOKUP(D87,Validation!$A$2:$C$41,3,FALSE)</f>
        <v>MLB</v>
      </c>
      <c r="F87" t="s">
        <v>1351</v>
      </c>
    </row>
    <row r="88" spans="1:6" x14ac:dyDescent="0.15">
      <c r="A88" t="s">
        <v>1004</v>
      </c>
      <c r="B88" s="17">
        <v>2332809</v>
      </c>
      <c r="C88" s="18">
        <f t="shared" si="2"/>
        <v>0.27826071501801686</v>
      </c>
      <c r="D88">
        <v>17</v>
      </c>
      <c r="E88" t="str">
        <f>VLOOKUP(D88,Validation!$A$2:$C$41,3,FALSE)</f>
        <v>MLB</v>
      </c>
      <c r="F88" t="s">
        <v>1350</v>
      </c>
    </row>
    <row r="89" spans="1:6" x14ac:dyDescent="0.15">
      <c r="A89" t="s">
        <v>1134</v>
      </c>
      <c r="B89" s="17">
        <v>1791192</v>
      </c>
      <c r="C89" s="18">
        <f t="shared" si="2"/>
        <v>0.21365588295250559</v>
      </c>
      <c r="D89">
        <v>4</v>
      </c>
      <c r="E89" t="str">
        <f>VLOOKUP(D89,Validation!$A$2:$C$41,3,FALSE)</f>
        <v>MCB</v>
      </c>
      <c r="F89" t="s">
        <v>1350</v>
      </c>
    </row>
    <row r="90" spans="1:6" x14ac:dyDescent="0.15">
      <c r="A90" t="s">
        <v>1120</v>
      </c>
      <c r="B90" s="17">
        <v>1776961</v>
      </c>
      <c r="C90" s="18">
        <f t="shared" si="2"/>
        <v>0.21195838940055969</v>
      </c>
      <c r="D90">
        <v>26</v>
      </c>
      <c r="E90" t="str">
        <f>VLOOKUP(D90,Validation!$A$2:$C$41,3,FALSE)</f>
        <v xml:space="preserve">NBA </v>
      </c>
      <c r="F90" t="s">
        <v>1351</v>
      </c>
    </row>
    <row r="91" spans="1:6" x14ac:dyDescent="0.15">
      <c r="A91" t="s">
        <v>1005</v>
      </c>
      <c r="B91" s="17">
        <v>691195</v>
      </c>
      <c r="C91" s="18">
        <f t="shared" si="2"/>
        <v>8.2446704773891974E-2</v>
      </c>
      <c r="D91">
        <v>28</v>
      </c>
      <c r="E91" t="str">
        <f>VLOOKUP(D91,Validation!$A$2:$C$41,3,FALSE)</f>
        <v xml:space="preserve">NHL </v>
      </c>
      <c r="F91" t="s">
        <v>1351</v>
      </c>
    </row>
    <row r="92" spans="1:6" x14ac:dyDescent="0.15">
      <c r="A92" t="s">
        <v>1129</v>
      </c>
      <c r="B92" s="17">
        <v>683391</v>
      </c>
      <c r="C92" s="18">
        <f t="shared" si="2"/>
        <v>8.151583275650838E-2</v>
      </c>
      <c r="D92">
        <v>4</v>
      </c>
      <c r="E92" t="str">
        <f>VLOOKUP(D92,Validation!$A$2:$C$41,3,FALSE)</f>
        <v>MCB</v>
      </c>
      <c r="F92" t="s">
        <v>1351</v>
      </c>
    </row>
    <row r="93" spans="1:6" x14ac:dyDescent="0.15">
      <c r="A93" t="s">
        <v>1123</v>
      </c>
      <c r="B93" s="17">
        <v>634588</v>
      </c>
      <c r="C93" s="18">
        <f t="shared" si="2"/>
        <v>7.5694542768762155E-2</v>
      </c>
      <c r="D93">
        <v>27</v>
      </c>
      <c r="E93" t="str">
        <f>VLOOKUP(D93,Validation!$A$2:$C$41,3,FALSE)</f>
        <v xml:space="preserve">NFL </v>
      </c>
      <c r="F93" t="s">
        <v>1351</v>
      </c>
    </row>
    <row r="94" spans="1:6" x14ac:dyDescent="0.15">
      <c r="A94" t="s">
        <v>1138</v>
      </c>
      <c r="B94" s="17">
        <v>615011</v>
      </c>
      <c r="C94" s="18">
        <f t="shared" si="2"/>
        <v>7.3359370871745419E-2</v>
      </c>
      <c r="D94">
        <v>5</v>
      </c>
      <c r="E94" t="str">
        <f>VLOOKUP(D94,Validation!$A$2:$C$41,3,FALSE)</f>
        <v>CFB</v>
      </c>
      <c r="F94" t="s">
        <v>1351</v>
      </c>
    </row>
    <row r="95" spans="1:6" x14ac:dyDescent="0.15">
      <c r="A95" t="s">
        <v>1016</v>
      </c>
      <c r="B95" s="17">
        <v>493662</v>
      </c>
      <c r="C95" s="18">
        <f t="shared" si="2"/>
        <v>5.8884692701898972E-2</v>
      </c>
      <c r="D95">
        <v>4</v>
      </c>
      <c r="E95" t="str">
        <f>VLOOKUP(D95,Validation!$A$2:$C$41,3,FALSE)</f>
        <v>MCB</v>
      </c>
      <c r="F95" t="s">
        <v>1350</v>
      </c>
    </row>
    <row r="96" spans="1:6" x14ac:dyDescent="0.15">
      <c r="A96" t="s">
        <v>1136</v>
      </c>
      <c r="B96" s="17">
        <v>372887</v>
      </c>
      <c r="C96" s="18">
        <f t="shared" si="2"/>
        <v>4.4478482053577149E-2</v>
      </c>
      <c r="D96">
        <v>4</v>
      </c>
      <c r="E96" t="str">
        <f>VLOOKUP(D96,Validation!$A$2:$C$41,3,FALSE)</f>
        <v>MCB</v>
      </c>
      <c r="F96" t="s">
        <v>1350</v>
      </c>
    </row>
    <row r="97" spans="1:6" x14ac:dyDescent="0.15">
      <c r="A97" t="s">
        <v>1059</v>
      </c>
      <c r="B97" s="17">
        <v>298494</v>
      </c>
      <c r="C97" s="18">
        <f t="shared" si="2"/>
        <v>3.5604781132354997E-2</v>
      </c>
      <c r="D97">
        <v>17</v>
      </c>
      <c r="E97" t="str">
        <f>VLOOKUP(D97,Validation!$A$2:$C$41,3,FALSE)</f>
        <v>MLB</v>
      </c>
      <c r="F97" t="s">
        <v>1351</v>
      </c>
    </row>
    <row r="98" spans="1:6" x14ac:dyDescent="0.15">
      <c r="A98" t="s">
        <v>1056</v>
      </c>
      <c r="B98" s="17">
        <v>266435</v>
      </c>
      <c r="C98" s="18">
        <f t="shared" si="2"/>
        <v>3.17807388456686E-2</v>
      </c>
      <c r="D98">
        <v>27</v>
      </c>
      <c r="E98" t="str">
        <f>VLOOKUP(D98,Validation!$A$2:$C$41,3,FALSE)</f>
        <v xml:space="preserve">NFL </v>
      </c>
      <c r="F98" t="s">
        <v>1351</v>
      </c>
    </row>
    <row r="99" spans="1:6" x14ac:dyDescent="0.15">
      <c r="A99" t="s">
        <v>1012</v>
      </c>
      <c r="B99" s="17">
        <v>263677</v>
      </c>
      <c r="C99" s="18">
        <f t="shared" si="2"/>
        <v>3.1451760754440519E-2</v>
      </c>
      <c r="D99">
        <v>5</v>
      </c>
      <c r="E99" t="str">
        <f>VLOOKUP(D99,Validation!$A$2:$C$41,3,FALSE)</f>
        <v>CFB</v>
      </c>
      <c r="F99" t="s">
        <v>1350</v>
      </c>
    </row>
    <row r="100" spans="1:6" x14ac:dyDescent="0.15">
      <c r="A100" t="s">
        <v>1141</v>
      </c>
      <c r="B100" s="17">
        <v>240989</v>
      </c>
      <c r="C100" s="18">
        <f t="shared" si="2"/>
        <v>2.8745504433272017E-2</v>
      </c>
      <c r="D100">
        <v>5</v>
      </c>
      <c r="E100" t="str">
        <f>VLOOKUP(D100,Validation!$A$2:$C$41,3,FALSE)</f>
        <v>CFB</v>
      </c>
      <c r="F100" t="s">
        <v>1350</v>
      </c>
    </row>
    <row r="101" spans="1:6" x14ac:dyDescent="0.15">
      <c r="A101" t="s">
        <v>1131</v>
      </c>
      <c r="B101" s="17">
        <v>228918</v>
      </c>
      <c r="C101" s="18">
        <f t="shared" si="2"/>
        <v>2.7305658697516336E-2</v>
      </c>
      <c r="D101">
        <v>4</v>
      </c>
      <c r="E101" t="str">
        <f>VLOOKUP(D101,Validation!$A$2:$C$41,3,FALSE)</f>
        <v>MCB</v>
      </c>
      <c r="F101" t="s">
        <v>1350</v>
      </c>
    </row>
    <row r="102" spans="1:6" x14ac:dyDescent="0.15">
      <c r="A102" t="s">
        <v>1061</v>
      </c>
      <c r="B102" s="17">
        <v>208588</v>
      </c>
      <c r="C102" s="18">
        <f t="shared" si="2"/>
        <v>2.4880667909022172E-2</v>
      </c>
      <c r="D102">
        <v>5</v>
      </c>
      <c r="E102" t="str">
        <f>VLOOKUP(D102,Validation!$A$2:$C$41,3,FALSE)</f>
        <v>CFB</v>
      </c>
      <c r="F102" t="s">
        <v>1350</v>
      </c>
    </row>
    <row r="103" spans="1:6" x14ac:dyDescent="0.15">
      <c r="A103" t="s">
        <v>1122</v>
      </c>
      <c r="B103" s="17">
        <v>204800</v>
      </c>
      <c r="C103" s="18">
        <f t="shared" si="2"/>
        <v>2.4428829979518191E-2</v>
      </c>
      <c r="D103">
        <v>18</v>
      </c>
      <c r="E103" t="str">
        <f>VLOOKUP(D103,Validation!$A$2:$C$41,3,FALSE)</f>
        <v>MLS</v>
      </c>
    </row>
    <row r="104" spans="1:6" x14ac:dyDescent="0.15">
      <c r="A104" t="s">
        <v>1145</v>
      </c>
      <c r="B104" s="17">
        <v>196239</v>
      </c>
      <c r="C104" s="18">
        <f t="shared" si="2"/>
        <v>2.3407661945071632E-2</v>
      </c>
      <c r="D104">
        <v>5</v>
      </c>
      <c r="E104" t="str">
        <f>VLOOKUP(D104,Validation!$A$2:$C$41,3,FALSE)</f>
        <v>CFB</v>
      </c>
      <c r="F104" t="s">
        <v>1351</v>
      </c>
    </row>
    <row r="105" spans="1:6" x14ac:dyDescent="0.15">
      <c r="A105" t="s">
        <v>1124</v>
      </c>
      <c r="B105" s="17">
        <v>193160</v>
      </c>
      <c r="C105" s="18">
        <f t="shared" si="2"/>
        <v>2.304039452560417E-2</v>
      </c>
      <c r="D105">
        <v>5</v>
      </c>
      <c r="E105" t="str">
        <f>VLOOKUP(D105,Validation!$A$2:$C$41,3,FALSE)</f>
        <v>CFB</v>
      </c>
    </row>
    <row r="106" spans="1:6" x14ac:dyDescent="0.15">
      <c r="A106" t="s">
        <v>1140</v>
      </c>
      <c r="B106" s="17">
        <v>184874</v>
      </c>
      <c r="C106" s="18">
        <f t="shared" si="2"/>
        <v>2.2052028875163311E-2</v>
      </c>
      <c r="D106">
        <v>5</v>
      </c>
      <c r="E106" t="str">
        <f>VLOOKUP(D106,Validation!$A$2:$C$41,3,FALSE)</f>
        <v>CFB</v>
      </c>
      <c r="F106" t="s">
        <v>1351</v>
      </c>
    </row>
    <row r="107" spans="1:6" x14ac:dyDescent="0.15">
      <c r="A107" t="s">
        <v>1058</v>
      </c>
      <c r="B107" s="17">
        <v>156941</v>
      </c>
      <c r="C107" s="18">
        <f t="shared" si="2"/>
        <v>1.872014162995881E-2</v>
      </c>
      <c r="D107">
        <v>28</v>
      </c>
      <c r="E107" t="str">
        <f>VLOOKUP(D107,Validation!$A$2:$C$41,3,FALSE)</f>
        <v xml:space="preserve">NHL </v>
      </c>
      <c r="F107" t="s">
        <v>1350</v>
      </c>
    </row>
    <row r="108" spans="1:6" x14ac:dyDescent="0.15">
      <c r="A108" t="s">
        <v>1137</v>
      </c>
      <c r="B108" s="17">
        <v>155514</v>
      </c>
      <c r="C108" s="18">
        <f t="shared" si="2"/>
        <v>1.8549927077318319E-2</v>
      </c>
      <c r="D108">
        <v>5</v>
      </c>
      <c r="E108" t="str">
        <f>VLOOKUP(D108,Validation!$A$2:$C$41,3,FALSE)</f>
        <v>CFB</v>
      </c>
      <c r="F108" t="s">
        <v>1350</v>
      </c>
    </row>
    <row r="109" spans="1:6" x14ac:dyDescent="0.15">
      <c r="A109" t="s">
        <v>1144</v>
      </c>
      <c r="B109" s="17">
        <v>154228</v>
      </c>
      <c r="C109" s="18">
        <f t="shared" si="2"/>
        <v>1.8396531201568027E-2</v>
      </c>
      <c r="D109">
        <v>4</v>
      </c>
      <c r="E109" t="str">
        <f>VLOOKUP(D109,Validation!$A$2:$C$41,3,FALSE)</f>
        <v>MCB</v>
      </c>
      <c r="F109" t="s">
        <v>1351</v>
      </c>
    </row>
    <row r="110" spans="1:6" x14ac:dyDescent="0.15">
      <c r="A110" t="s">
        <v>1133</v>
      </c>
      <c r="B110" s="17">
        <v>130164</v>
      </c>
      <c r="C110" s="18">
        <f t="shared" si="2"/>
        <v>1.5526143678974638E-2</v>
      </c>
      <c r="D110">
        <v>4</v>
      </c>
      <c r="E110" t="str">
        <f>VLOOKUP(D110,Validation!$A$2:$C$41,3,FALSE)</f>
        <v>MCB</v>
      </c>
      <c r="F110" t="s">
        <v>1351</v>
      </c>
    </row>
    <row r="111" spans="1:6" x14ac:dyDescent="0.15">
      <c r="A111" t="s">
        <v>1128</v>
      </c>
      <c r="B111" s="17">
        <v>126768</v>
      </c>
      <c r="C111" s="18">
        <f t="shared" si="2"/>
        <v>1.5121064056853331E-2</v>
      </c>
      <c r="D111">
        <v>4</v>
      </c>
      <c r="E111" t="str">
        <f>VLOOKUP(D111,Validation!$A$2:$C$41,3,FALSE)</f>
        <v>MCB</v>
      </c>
      <c r="F111" t="s">
        <v>1350</v>
      </c>
    </row>
    <row r="112" spans="1:6" x14ac:dyDescent="0.15">
      <c r="A112" t="s">
        <v>1142</v>
      </c>
      <c r="B112" s="17">
        <v>114088</v>
      </c>
      <c r="C112" s="18">
        <f t="shared" si="2"/>
        <v>1.3608575950699567E-2</v>
      </c>
      <c r="D112">
        <v>5</v>
      </c>
      <c r="E112" t="str">
        <f>VLOOKUP(D112,Validation!$A$2:$C$41,3,FALSE)</f>
        <v>CFB</v>
      </c>
      <c r="F112" t="s">
        <v>1351</v>
      </c>
    </row>
    <row r="113" spans="1:6" x14ac:dyDescent="0.15">
      <c r="A113" t="s">
        <v>1130</v>
      </c>
      <c r="B113" s="17">
        <v>110222</v>
      </c>
      <c r="C113" s="18">
        <f t="shared" si="2"/>
        <v>1.3147434072277609E-2</v>
      </c>
      <c r="D113">
        <v>4</v>
      </c>
      <c r="E113" t="str">
        <f>VLOOKUP(D113,Validation!$A$2:$C$41,3,FALSE)</f>
        <v>MCB</v>
      </c>
      <c r="F113" t="s">
        <v>1351</v>
      </c>
    </row>
    <row r="114" spans="1:6" x14ac:dyDescent="0.15">
      <c r="A114" t="s">
        <v>1127</v>
      </c>
      <c r="B114" s="17">
        <v>109930</v>
      </c>
      <c r="C114" s="18">
        <f t="shared" si="2"/>
        <v>1.3112603904533372E-2</v>
      </c>
      <c r="D114">
        <v>4</v>
      </c>
      <c r="E114" t="str">
        <f>VLOOKUP(D114,Validation!$A$2:$C$41,3,FALSE)</f>
        <v>MCB</v>
      </c>
    </row>
    <row r="115" spans="1:6" x14ac:dyDescent="0.15">
      <c r="A115" t="s">
        <v>1126</v>
      </c>
      <c r="B115" s="17">
        <v>109033</v>
      </c>
      <c r="C115" s="18">
        <f t="shared" si="2"/>
        <v>1.3005608491976597E-2</v>
      </c>
      <c r="D115">
        <v>4</v>
      </c>
      <c r="E115" t="str">
        <f>VLOOKUP(D115,Validation!$A$2:$C$41,3,FALSE)</f>
        <v>MCB</v>
      </c>
      <c r="F115" t="s">
        <v>1350</v>
      </c>
    </row>
    <row r="116" spans="1:6" x14ac:dyDescent="0.15">
      <c r="A116" t="s">
        <v>1132</v>
      </c>
      <c r="B116" s="17">
        <v>107612</v>
      </c>
      <c r="C116" s="18">
        <f t="shared" si="2"/>
        <v>1.2836109627714412E-2</v>
      </c>
      <c r="D116">
        <v>4</v>
      </c>
      <c r="E116" t="str">
        <f>VLOOKUP(D116,Validation!$A$2:$C$41,3,FALSE)</f>
        <v>MCB</v>
      </c>
      <c r="F116" t="s">
        <v>1351</v>
      </c>
    </row>
    <row r="117" spans="1:6" x14ac:dyDescent="0.15">
      <c r="A117" t="s">
        <v>1146</v>
      </c>
      <c r="B117" s="17">
        <v>101802</v>
      </c>
      <c r="C117" s="18">
        <f t="shared" si="2"/>
        <v>1.2143084714721244E-2</v>
      </c>
      <c r="D117">
        <v>6</v>
      </c>
      <c r="E117" t="str">
        <f>VLOOKUP(D117,Validation!$A$2:$C$41,3,FALSE)</f>
        <v>CH</v>
      </c>
      <c r="F117" t="s">
        <v>1350</v>
      </c>
    </row>
    <row r="118" spans="1:6" x14ac:dyDescent="0.15">
      <c r="A118" t="s">
        <v>1057</v>
      </c>
      <c r="B118" s="17">
        <v>94236</v>
      </c>
      <c r="C118" s="18">
        <f t="shared" si="2"/>
        <v>1.1240601669677131E-2</v>
      </c>
      <c r="D118">
        <v>26</v>
      </c>
      <c r="E118" t="str">
        <f>VLOOKUP(D118,Validation!$A$2:$C$41,3,FALSE)</f>
        <v xml:space="preserve">NBA </v>
      </c>
      <c r="F118" t="s">
        <v>1350</v>
      </c>
    </row>
    <row r="119" spans="1:6" x14ac:dyDescent="0.15">
      <c r="A119" t="s">
        <v>1139</v>
      </c>
      <c r="B119" s="17">
        <v>89462</v>
      </c>
      <c r="C119" s="18">
        <f t="shared" si="2"/>
        <v>1.0671152283338167E-2</v>
      </c>
      <c r="D119">
        <v>5</v>
      </c>
      <c r="E119" t="str">
        <f>VLOOKUP(D119,Validation!$A$2:$C$41,3,FALSE)</f>
        <v>CFB</v>
      </c>
      <c r="F119" t="s">
        <v>1350</v>
      </c>
    </row>
    <row r="120" spans="1:6" x14ac:dyDescent="0.15">
      <c r="A120" t="s">
        <v>1135</v>
      </c>
      <c r="B120" s="17">
        <v>89406</v>
      </c>
      <c r="C120" s="18">
        <f t="shared" si="2"/>
        <v>1.0664472525140642E-2</v>
      </c>
      <c r="D120">
        <v>4</v>
      </c>
      <c r="E120" t="str">
        <f>VLOOKUP(D120,Validation!$A$2:$C$41,3,FALSE)</f>
        <v>MCB</v>
      </c>
      <c r="F120" t="s">
        <v>1351</v>
      </c>
    </row>
    <row r="121" spans="1:6" x14ac:dyDescent="0.15">
      <c r="A121" t="s">
        <v>1368</v>
      </c>
      <c r="B121" s="17">
        <v>83684</v>
      </c>
      <c r="C121" s="18">
        <f t="shared" si="2"/>
        <v>9.9819443750292988E-3</v>
      </c>
      <c r="D121">
        <v>5</v>
      </c>
      <c r="E121" t="str">
        <f>VLOOKUP(D121,Validation!$A$2:$C$41,3,FALSE)</f>
        <v>CFB</v>
      </c>
      <c r="F121" t="s">
        <v>1350</v>
      </c>
    </row>
    <row r="122" spans="1:6" x14ac:dyDescent="0.15">
      <c r="A122" t="s">
        <v>1125</v>
      </c>
      <c r="B122" s="17">
        <v>69926</v>
      </c>
      <c r="C122" s="18">
        <f t="shared" si="2"/>
        <v>8.3408709235731886E-3</v>
      </c>
      <c r="D122">
        <v>4</v>
      </c>
      <c r="E122" t="str">
        <f>VLOOKUP(D122,Validation!$A$2:$C$41,3,FALSE)</f>
        <v>MCB</v>
      </c>
      <c r="F122" t="s">
        <v>1351</v>
      </c>
    </row>
    <row r="123" spans="1:6" x14ac:dyDescent="0.15">
      <c r="A123" t="s">
        <v>1369</v>
      </c>
      <c r="B123" s="17">
        <v>57010</v>
      </c>
      <c r="C123" s="18">
        <f t="shared" si="2"/>
        <v>6.8002324078727154E-3</v>
      </c>
      <c r="D123">
        <v>4</v>
      </c>
      <c r="E123" t="str">
        <f>VLOOKUP(D123,Validation!$A$2:$C$41,3,FALSE)</f>
        <v>MCB</v>
      </c>
      <c r="F123" t="s">
        <v>1350</v>
      </c>
    </row>
  </sheetData>
  <pageMargins left="0.7" right="0.7" top="0.75" bottom="0.75" header="0.3" footer="0.3"/>
  <pageSetup orientation="portrait" verticalDpi="0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 enableFormatConditionsCalculation="0"/>
  <dimension ref="A1:F95"/>
  <sheetViews>
    <sheetView topLeftCell="A60" zoomScale="85" zoomScaleNormal="85" zoomScalePageLayoutView="85" workbookViewId="0">
      <selection activeCell="F89" sqref="F89"/>
    </sheetView>
  </sheetViews>
  <sheetFormatPr baseColWidth="10" defaultColWidth="8.83203125" defaultRowHeight="13" x14ac:dyDescent="0.15"/>
  <cols>
    <col min="1" max="1" width="33.33203125" bestFit="1" customWidth="1"/>
    <col min="2" max="2" width="10.5" bestFit="1" customWidth="1"/>
  </cols>
  <sheetData>
    <row r="1" spans="1:3" x14ac:dyDescent="0.15">
      <c r="A1" t="s">
        <v>149</v>
      </c>
      <c r="B1" t="s">
        <v>807</v>
      </c>
      <c r="C1" t="s">
        <v>811</v>
      </c>
    </row>
    <row r="2" spans="1:3" x14ac:dyDescent="0.15">
      <c r="A2" t="s">
        <v>0</v>
      </c>
      <c r="B2" s="17">
        <f>IFERROR(SUMIFS('Full List'!B:B,'Full List'!A:A,OK!$A2,'Full List'!E:E,OK!$A$1),"")</f>
        <v>2424141</v>
      </c>
      <c r="C2" s="18">
        <f>IFERROR(B2/$B$2,"")</f>
        <v>1</v>
      </c>
    </row>
    <row r="3" spans="1:3" x14ac:dyDescent="0.15">
      <c r="A3" t="s">
        <v>3</v>
      </c>
      <c r="B3" s="17">
        <f>IFERROR(SUMIFS('Full List'!B:B,'Full List'!A:A,OK!$A3,'Full List'!E:E,OK!$A$1),"")</f>
        <v>56887</v>
      </c>
      <c r="C3" s="18">
        <f t="shared" ref="C3:C66" si="0">IFERROR(B3/$B$2,"")</f>
        <v>2.3466869295144136E-2</v>
      </c>
    </row>
    <row r="4" spans="1:3" x14ac:dyDescent="0.15">
      <c r="A4" t="s">
        <v>4</v>
      </c>
      <c r="B4" s="17">
        <f>IFERROR(SUMIFS('Full List'!B:B,'Full List'!A:A,OK!$A4,'Full List'!E:E,OK!$A$1),"")</f>
        <v>26958</v>
      </c>
      <c r="C4" s="18">
        <f t="shared" si="0"/>
        <v>1.1120640259786868E-2</v>
      </c>
    </row>
    <row r="5" spans="1:3" x14ac:dyDescent="0.15">
      <c r="A5" t="s">
        <v>5</v>
      </c>
      <c r="B5" s="17">
        <f>IFERROR(SUMIFS('Full List'!B:B,'Full List'!A:A,OK!$A5,'Full List'!E:E,OK!$A$1),"")</f>
        <v>117921</v>
      </c>
      <c r="C5" s="18">
        <f t="shared" si="0"/>
        <v>4.8644447662079066E-2</v>
      </c>
    </row>
    <row r="6" spans="1:3" x14ac:dyDescent="0.15">
      <c r="A6" t="s">
        <v>6</v>
      </c>
      <c r="B6" s="17">
        <f>IFERROR(SUMIFS('Full List'!B:B,'Full List'!A:A,OK!$A6,'Full List'!E:E,OK!$A$1),"")</f>
        <v>341507</v>
      </c>
      <c r="C6" s="18">
        <f t="shared" si="0"/>
        <v>0.14087753146372262</v>
      </c>
    </row>
    <row r="7" spans="1:3" x14ac:dyDescent="0.15">
      <c r="A7" t="s">
        <v>7</v>
      </c>
      <c r="B7" s="17">
        <f>IFERROR(SUMIFS('Full List'!B:B,'Full List'!A:A,OK!$A7,'Full List'!E:E,OK!$A$1),"")</f>
        <v>879449</v>
      </c>
      <c r="C7" s="18">
        <f t="shared" si="0"/>
        <v>0.36278789063837458</v>
      </c>
    </row>
    <row r="8" spans="1:3" x14ac:dyDescent="0.15">
      <c r="A8" t="s">
        <v>8</v>
      </c>
      <c r="B8" s="17">
        <f>IFERROR(SUMIFS('Full List'!B:B,'Full List'!A:A,OK!$A8,'Full List'!E:E,OK!$A$1),"")</f>
        <v>13194</v>
      </c>
      <c r="C8" s="18">
        <f t="shared" si="0"/>
        <v>5.4427527111665531E-3</v>
      </c>
    </row>
    <row r="9" spans="1:3" x14ac:dyDescent="0.15">
      <c r="A9" t="s">
        <v>9</v>
      </c>
      <c r="B9" s="17">
        <f>IFERROR(SUMIFS('Full List'!B:B,'Full List'!A:A,OK!$A9,'Full List'!E:E,OK!$A$1),"")</f>
        <v>47192</v>
      </c>
      <c r="C9" s="18">
        <f t="shared" si="0"/>
        <v>1.9467514472136727E-2</v>
      </c>
    </row>
    <row r="10" spans="1:3" x14ac:dyDescent="0.15">
      <c r="A10" t="s">
        <v>10</v>
      </c>
      <c r="B10" s="17">
        <f>IFERROR(SUMIFS('Full List'!B:B,'Full List'!A:A,OK!$A10,'Full List'!E:E,OK!$A$1),"")</f>
        <v>42485</v>
      </c>
      <c r="C10" s="18">
        <f t="shared" si="0"/>
        <v>1.7525795735479084E-2</v>
      </c>
    </row>
    <row r="11" spans="1:3" x14ac:dyDescent="0.15">
      <c r="A11" t="s">
        <v>11</v>
      </c>
      <c r="B11" s="17">
        <f>IFERROR(SUMIFS('Full List'!B:B,'Full List'!A:A,OK!$A11,'Full List'!E:E,OK!$A$1),"")</f>
        <v>113439</v>
      </c>
      <c r="C11" s="18">
        <f t="shared" si="0"/>
        <v>4.6795545308626847E-2</v>
      </c>
    </row>
    <row r="12" spans="1:3" x14ac:dyDescent="0.15">
      <c r="A12" t="s">
        <v>12</v>
      </c>
      <c r="B12" s="17">
        <f>IFERROR(SUMIFS('Full List'!B:B,'Full List'!A:A,OK!$A12,'Full List'!E:E,OK!$A$1),"")</f>
        <v>28424</v>
      </c>
      <c r="C12" s="18">
        <f t="shared" si="0"/>
        <v>1.1725390561027596E-2</v>
      </c>
    </row>
    <row r="13" spans="1:3" x14ac:dyDescent="0.15">
      <c r="A13" t="s">
        <v>13</v>
      </c>
      <c r="B13" s="17">
        <f>IFERROR(SUMIFS('Full List'!B:B,'Full List'!A:A,OK!$A13,'Full List'!E:E,OK!$A$1),"")</f>
        <v>17759</v>
      </c>
      <c r="C13" s="18">
        <f t="shared" si="0"/>
        <v>7.3258939970901032E-3</v>
      </c>
    </row>
    <row r="14" spans="1:3" x14ac:dyDescent="0.15">
      <c r="A14" t="s">
        <v>14</v>
      </c>
      <c r="B14" s="17">
        <f>IFERROR(SUMIFS('Full List'!B:B,'Full List'!A:A,OK!$A14,'Full List'!E:E,OK!$A$1),"")</f>
        <v>118874</v>
      </c>
      <c r="C14" s="18">
        <f t="shared" si="0"/>
        <v>4.9037576609611402E-2</v>
      </c>
    </row>
    <row r="15" spans="1:3" x14ac:dyDescent="0.15">
      <c r="A15" t="s">
        <v>15</v>
      </c>
      <c r="B15" s="17">
        <f>IFERROR(SUMIFS('Full List'!B:B,'Full List'!A:A,OK!$A15,'Full List'!E:E,OK!$A$1),"")</f>
        <v>200090</v>
      </c>
      <c r="C15" s="18">
        <f t="shared" si="0"/>
        <v>8.2540578291444275E-2</v>
      </c>
    </row>
    <row r="16" spans="1:3" x14ac:dyDescent="0.15">
      <c r="A16" t="s">
        <v>16</v>
      </c>
      <c r="B16" s="17">
        <f>IFERROR(SUMIFS('Full List'!B:B,'Full List'!A:A,OK!$A16,'Full List'!E:E,OK!$A$1),"")</f>
        <v>107632</v>
      </c>
      <c r="C16" s="18">
        <f t="shared" si="0"/>
        <v>4.4400057587409315E-2</v>
      </c>
    </row>
    <row r="17" spans="1:3" x14ac:dyDescent="0.15">
      <c r="A17" t="s">
        <v>17</v>
      </c>
      <c r="B17" s="17">
        <f>IFERROR(SUMIFS('Full List'!B:B,'Full List'!A:A,OK!$A17,'Full List'!E:E,OK!$A$1),"")</f>
        <v>36549</v>
      </c>
      <c r="C17" s="18">
        <f t="shared" si="0"/>
        <v>1.5077093287890432E-2</v>
      </c>
    </row>
    <row r="18" spans="1:3" x14ac:dyDescent="0.15">
      <c r="A18" t="s">
        <v>18</v>
      </c>
      <c r="B18" s="17">
        <f>IFERROR(SUMIFS('Full List'!B:B,'Full List'!A:A,OK!$A18,'Full List'!E:E,OK!$A$1),"")</f>
        <v>38611</v>
      </c>
      <c r="C18" s="18">
        <f t="shared" si="0"/>
        <v>1.5927703875310884E-2</v>
      </c>
    </row>
    <row r="19" spans="1:3" x14ac:dyDescent="0.15">
      <c r="A19" t="s">
        <v>19</v>
      </c>
      <c r="B19" s="17">
        <f>IFERROR(SUMIFS('Full List'!B:B,'Full List'!A:A,OK!$A19,'Full List'!E:E,OK!$A$1),"")</f>
        <v>200751</v>
      </c>
      <c r="C19" s="18">
        <f t="shared" si="0"/>
        <v>8.28132521994389E-2</v>
      </c>
    </row>
    <row r="20" spans="1:3" x14ac:dyDescent="0.15">
      <c r="A20" t="s">
        <v>20</v>
      </c>
      <c r="B20" s="17">
        <f>IFERROR(SUMIFS('Full List'!B:B,'Full List'!A:A,OK!$A20,'Full List'!E:E,OK!$A$1),"")</f>
        <v>29841</v>
      </c>
      <c r="C20" s="18">
        <f t="shared" si="0"/>
        <v>1.2309927516592475E-2</v>
      </c>
    </row>
    <row r="21" spans="1:3" x14ac:dyDescent="0.15">
      <c r="A21" t="s">
        <v>21</v>
      </c>
      <c r="B21" s="17">
        <f>IFERROR(SUMIFS('Full List'!B:B,'Full List'!A:A,OK!$A21,'Full List'!E:E,OK!$A$1),"")</f>
        <v>43100</v>
      </c>
      <c r="C21" s="18">
        <f t="shared" si="0"/>
        <v>1.7779493849573932E-2</v>
      </c>
    </row>
    <row r="22" spans="1:3" x14ac:dyDescent="0.15">
      <c r="A22" t="s">
        <v>22</v>
      </c>
      <c r="B22" s="17">
        <f>IFERROR(SUMIFS('Full List'!B:B,'Full List'!A:A,OK!$A22,'Full List'!E:E,OK!$A$1),"")</f>
        <v>41397</v>
      </c>
      <c r="C22" s="18">
        <f t="shared" si="0"/>
        <v>1.7076976958023481E-2</v>
      </c>
    </row>
    <row r="23" spans="1:3" x14ac:dyDescent="0.15">
      <c r="A23" t="s">
        <v>23</v>
      </c>
      <c r="B23" s="17">
        <f>IFERROR(SUMIFS('Full List'!B:B,'Full List'!A:A,OK!$A23,'Full List'!E:E,OK!$A$1),"")</f>
        <v>35223</v>
      </c>
      <c r="C23" s="18">
        <f t="shared" si="0"/>
        <v>1.4530095402866417E-2</v>
      </c>
    </row>
    <row r="24" spans="1:3" x14ac:dyDescent="0.15">
      <c r="A24" t="s">
        <v>24</v>
      </c>
      <c r="B24" s="17">
        <f>IFERROR(SUMIFS('Full List'!B:B,'Full List'!A:A,OK!$A24,'Full List'!E:E,OK!$A$1),"")</f>
        <v>11503</v>
      </c>
      <c r="C24" s="18">
        <f t="shared" si="0"/>
        <v>4.7451860267203926E-3</v>
      </c>
    </row>
    <row r="25" spans="1:3" x14ac:dyDescent="0.15">
      <c r="A25" t="s">
        <v>25</v>
      </c>
      <c r="B25" s="17">
        <f>IFERROR(SUMIFS('Full List'!B:B,'Full List'!A:A,OK!$A25,'Full List'!E:E,OK!$A$1),"")</f>
        <v>98077</v>
      </c>
      <c r="C25" s="18">
        <f t="shared" si="0"/>
        <v>4.0458455180618622E-2</v>
      </c>
    </row>
    <row r="26" spans="1:3" x14ac:dyDescent="0.15">
      <c r="A26" t="s">
        <v>26</v>
      </c>
      <c r="B26" s="17">
        <f>IFERROR(SUMIFS('Full List'!B:B,'Full List'!A:A,OK!$A26,'Full List'!E:E,OK!$A$1),"")</f>
        <v>36136</v>
      </c>
      <c r="C26" s="18">
        <f t="shared" si="0"/>
        <v>1.4906723660051127E-2</v>
      </c>
    </row>
    <row r="27" spans="1:3" x14ac:dyDescent="0.15">
      <c r="A27" t="s">
        <v>27</v>
      </c>
      <c r="B27" s="17">
        <f>IFERROR(SUMIFS('Full List'!B:B,'Full List'!A:A,OK!$A27,'Full List'!E:E,OK!$A$1),"")</f>
        <v>179281</v>
      </c>
      <c r="C27" s="18">
        <f t="shared" si="0"/>
        <v>7.3956506655347198E-2</v>
      </c>
    </row>
    <row r="28" spans="1:3" x14ac:dyDescent="0.15">
      <c r="A28" t="s">
        <v>28</v>
      </c>
      <c r="B28" s="17">
        <f>IFERROR(SUMIFS('Full List'!B:B,'Full List'!A:A,OK!$A28,'Full List'!E:E,OK!$A$1),"")</f>
        <v>430547</v>
      </c>
      <c r="C28" s="18">
        <f t="shared" si="0"/>
        <v>0.17760806817755237</v>
      </c>
    </row>
    <row r="29" spans="1:3" x14ac:dyDescent="0.15">
      <c r="A29" t="s">
        <v>29</v>
      </c>
      <c r="B29" s="17">
        <f>IFERROR(SUMIFS('Full List'!B:B,'Full List'!A:A,OK!$A29,'Full List'!E:E,OK!$A$1),"")</f>
        <v>577725</v>
      </c>
      <c r="C29" s="18">
        <f t="shared" si="0"/>
        <v>0.23832153327714847</v>
      </c>
    </row>
    <row r="30" spans="1:3" x14ac:dyDescent="0.15">
      <c r="A30" t="s">
        <v>30</v>
      </c>
      <c r="B30" s="17">
        <f>IFERROR(SUMIFS('Full List'!B:B,'Full List'!A:A,OK!$A30,'Full List'!E:E,OK!$A$1),"")</f>
        <v>32540</v>
      </c>
      <c r="C30" s="18">
        <f t="shared" si="0"/>
        <v>1.3423311597798972E-2</v>
      </c>
    </row>
    <row r="31" spans="1:3" x14ac:dyDescent="0.15">
      <c r="A31" t="s">
        <v>31</v>
      </c>
      <c r="B31" s="17">
        <f>IFERROR(SUMIFS('Full List'!B:B,'Full List'!A:A,OK!$A31,'Full List'!E:E,OK!$A$1),"")</f>
        <v>13512</v>
      </c>
      <c r="C31" s="18">
        <f t="shared" si="0"/>
        <v>5.5739331994302315E-3</v>
      </c>
    </row>
    <row r="32" spans="1:3" x14ac:dyDescent="0.15">
      <c r="A32" t="s">
        <v>32</v>
      </c>
      <c r="B32" s="17">
        <f>IFERROR(SUMIFS('Full List'!B:B,'Full List'!A:A,OK!$A32,'Full List'!E:E,OK!$A$1),"")</f>
        <v>88415</v>
      </c>
      <c r="C32" s="18">
        <f t="shared" si="0"/>
        <v>3.6472713427148008E-2</v>
      </c>
    </row>
    <row r="33" spans="1:3" x14ac:dyDescent="0.15">
      <c r="A33" t="s">
        <v>33</v>
      </c>
      <c r="B33" s="17">
        <f>IFERROR(SUMIFS('Full List'!B:B,'Full List'!A:A,OK!$A33,'Full List'!E:E,OK!$A$1),"")</f>
        <v>601948</v>
      </c>
      <c r="C33" s="18">
        <f t="shared" si="0"/>
        <v>0.24831393883441599</v>
      </c>
    </row>
    <row r="34" spans="1:3" x14ac:dyDescent="0.15">
      <c r="A34" t="s">
        <v>34</v>
      </c>
      <c r="B34" s="17">
        <f>IFERROR(SUMIFS('Full List'!B:B,'Full List'!A:A,OK!$A34,'Full List'!E:E,OK!$A$1),"")</f>
        <v>192040</v>
      </c>
      <c r="C34" s="18">
        <f t="shared" si="0"/>
        <v>7.9219814358983245E-2</v>
      </c>
    </row>
    <row r="35" spans="1:3" x14ac:dyDescent="0.15">
      <c r="A35" t="s">
        <v>35</v>
      </c>
      <c r="B35" s="17">
        <f>IFERROR(SUMIFS('Full List'!B:B,'Full List'!A:A,OK!$A35,'Full List'!E:E,OK!$A$1),"")</f>
        <v>74207</v>
      </c>
      <c r="C35" s="18">
        <f t="shared" si="0"/>
        <v>3.0611668215668974E-2</v>
      </c>
    </row>
    <row r="36" spans="1:3" x14ac:dyDescent="0.15">
      <c r="A36" t="s">
        <v>36</v>
      </c>
      <c r="B36" s="17">
        <f>IFERROR(SUMIFS('Full List'!B:B,'Full List'!A:A,OK!$A36,'Full List'!E:E,OK!$A$1),"")</f>
        <v>143968</v>
      </c>
      <c r="C36" s="18">
        <f t="shared" si="0"/>
        <v>5.9389284699198602E-2</v>
      </c>
    </row>
    <row r="37" spans="1:3" x14ac:dyDescent="0.15">
      <c r="A37" t="s">
        <v>37</v>
      </c>
      <c r="B37" s="17">
        <f>IFERROR(SUMIFS('Full List'!B:B,'Full List'!A:A,OK!$A37,'Full List'!E:E,OK!$A$1),"")</f>
        <v>122459</v>
      </c>
      <c r="C37" s="18">
        <f t="shared" si="0"/>
        <v>5.0516450982017957E-2</v>
      </c>
    </row>
    <row r="38" spans="1:3" x14ac:dyDescent="0.15">
      <c r="A38" t="s">
        <v>38</v>
      </c>
      <c r="B38" s="17">
        <f>IFERROR(SUMIFS('Full List'!B:B,'Full List'!A:A,OK!$A38,'Full List'!E:E,OK!$A$1),"")</f>
        <v>81567</v>
      </c>
      <c r="C38" s="18">
        <f t="shared" si="0"/>
        <v>3.3647795239633335E-2</v>
      </c>
    </row>
    <row r="39" spans="1:3" x14ac:dyDescent="0.15">
      <c r="A39" t="s">
        <v>39</v>
      </c>
      <c r="B39" s="17">
        <f>IFERROR(SUMIFS('Full List'!B:B,'Full List'!A:A,OK!$A39,'Full List'!E:E,OK!$A$1),"")</f>
        <v>134141</v>
      </c>
      <c r="C39" s="18">
        <f t="shared" si="0"/>
        <v>5.5335477598044011E-2</v>
      </c>
    </row>
    <row r="40" spans="1:3" x14ac:dyDescent="0.15">
      <c r="A40" t="s">
        <v>40</v>
      </c>
      <c r="B40" s="17">
        <f>IFERROR(SUMIFS('Full List'!B:B,'Full List'!A:A,OK!$A40,'Full List'!E:E,OK!$A$1),"")</f>
        <v>48941</v>
      </c>
      <c r="C40" s="18">
        <f t="shared" si="0"/>
        <v>2.0189007157586956E-2</v>
      </c>
    </row>
    <row r="41" spans="1:3" x14ac:dyDescent="0.15">
      <c r="A41" t="s">
        <v>41</v>
      </c>
      <c r="B41" s="17">
        <f>IFERROR(SUMIFS('Full List'!B:B,'Full List'!A:A,OK!$A41,'Full List'!E:E,OK!$A$1),"")</f>
        <v>48944</v>
      </c>
      <c r="C41" s="18">
        <f t="shared" si="0"/>
        <v>2.019024470936303E-2</v>
      </c>
    </row>
    <row r="42" spans="1:3" x14ac:dyDescent="0.15">
      <c r="A42" t="s">
        <v>42</v>
      </c>
      <c r="B42" s="17">
        <f>IFERROR(SUMIFS('Full List'!B:B,'Full List'!A:A,OK!$A42,'Full List'!E:E,OK!$A$1),"")</f>
        <v>82668</v>
      </c>
      <c r="C42" s="18">
        <f t="shared" si="0"/>
        <v>3.410197674145192E-2</v>
      </c>
    </row>
    <row r="43" spans="1:3" x14ac:dyDescent="0.15">
      <c r="A43" t="s">
        <v>43</v>
      </c>
      <c r="B43" s="17">
        <f>IFERROR(SUMIFS('Full List'!B:B,'Full List'!A:A,OK!$A43,'Full List'!E:E,OK!$A$1),"")</f>
        <v>269888</v>
      </c>
      <c r="C43" s="18">
        <f t="shared" si="0"/>
        <v>0.11133345791354546</v>
      </c>
    </row>
    <row r="44" spans="1:3" x14ac:dyDescent="0.15">
      <c r="A44" t="s">
        <v>44</v>
      </c>
      <c r="B44" s="17">
        <f>IFERROR(SUMIFS('Full List'!B:B,'Full List'!A:A,OK!$A44,'Full List'!E:E,OK!$A$1),"")</f>
        <v>319493</v>
      </c>
      <c r="C44" s="18">
        <f t="shared" si="0"/>
        <v>0.13179637653090312</v>
      </c>
    </row>
    <row r="45" spans="1:3" x14ac:dyDescent="0.15">
      <c r="A45" t="s">
        <v>45</v>
      </c>
      <c r="B45" s="17">
        <f>IFERROR(SUMIFS('Full List'!B:B,'Full List'!A:A,OK!$A45,'Full List'!E:E,OK!$A$1),"")</f>
        <v>700223</v>
      </c>
      <c r="C45" s="18">
        <f t="shared" si="0"/>
        <v>0.28885407243225536</v>
      </c>
    </row>
    <row r="46" spans="1:3" x14ac:dyDescent="0.15">
      <c r="A46" t="s">
        <v>46</v>
      </c>
      <c r="B46" s="17">
        <f>IFERROR(SUMIFS('Full List'!B:B,'Full List'!A:A,OK!$A46,'Full List'!E:E,OK!$A$1),"")</f>
        <v>1094380</v>
      </c>
      <c r="C46" s="18">
        <f t="shared" si="0"/>
        <v>0.4514506375660492</v>
      </c>
    </row>
    <row r="47" spans="1:3" x14ac:dyDescent="0.15">
      <c r="A47" t="s">
        <v>47</v>
      </c>
      <c r="B47" s="17">
        <f>IFERROR(SUMIFS('Full List'!B:B,'Full List'!A:A,OK!$A47,'Full List'!E:E,OK!$A$1),"")</f>
        <v>1549158</v>
      </c>
      <c r="C47" s="18">
        <f t="shared" si="0"/>
        <v>0.6390544114389386</v>
      </c>
    </row>
    <row r="48" spans="1:3" x14ac:dyDescent="0.15">
      <c r="A48" t="s">
        <v>48</v>
      </c>
      <c r="B48" s="17">
        <f>IFERROR(SUMIFS('Full List'!B:B,'Full List'!A:A,OK!$A48,'Full List'!E:E,OK!$A$1),"")</f>
        <v>202708</v>
      </c>
      <c r="C48" s="18">
        <f t="shared" si="0"/>
        <v>8.3620548474696813E-2</v>
      </c>
    </row>
    <row r="49" spans="1:3" x14ac:dyDescent="0.15">
      <c r="A49" t="s">
        <v>49</v>
      </c>
      <c r="B49" s="17">
        <f>IFERROR(SUMIFS('Full List'!B:B,'Full List'!A:A,OK!$A49,'Full List'!E:E,OK!$A$1),"")</f>
        <v>264040</v>
      </c>
      <c r="C49" s="18">
        <f t="shared" si="0"/>
        <v>0.1089210569847216</v>
      </c>
    </row>
    <row r="50" spans="1:3" x14ac:dyDescent="0.15">
      <c r="A50" t="s">
        <v>50</v>
      </c>
      <c r="B50" s="17">
        <f>IFERROR(SUMIFS('Full List'!B:B,'Full List'!A:A,OK!$A50,'Full List'!E:E,OK!$A$1),"")</f>
        <v>461722</v>
      </c>
      <c r="C50" s="18">
        <f t="shared" si="0"/>
        <v>0.19046829371723839</v>
      </c>
    </row>
    <row r="51" spans="1:3" x14ac:dyDescent="0.15">
      <c r="A51" t="s">
        <v>51</v>
      </c>
      <c r="B51" s="17">
        <f>IFERROR(SUMIFS('Full List'!B:B,'Full List'!A:A,OK!$A51,'Full List'!E:E,OK!$A$1),"")</f>
        <v>725356</v>
      </c>
      <c r="C51" s="18">
        <f t="shared" si="0"/>
        <v>0.2992218686949315</v>
      </c>
    </row>
    <row r="52" spans="1:3" x14ac:dyDescent="0.15">
      <c r="A52" t="s">
        <v>52</v>
      </c>
      <c r="B52" s="17">
        <f>IFERROR(SUMIFS('Full List'!B:B,'Full List'!A:A,OK!$A52,'Full List'!E:E,OK!$A$1),"")</f>
        <v>303005</v>
      </c>
      <c r="C52" s="18">
        <f t="shared" si="0"/>
        <v>0.12499479196960903</v>
      </c>
    </row>
    <row r="53" spans="1:3" x14ac:dyDescent="0.15">
      <c r="A53" t="s">
        <v>53</v>
      </c>
      <c r="B53" s="17">
        <f>IFERROR(SUMIFS('Full List'!B:B,'Full List'!A:A,OK!$A53,'Full List'!E:E,OK!$A$1),"")</f>
        <v>226363</v>
      </c>
      <c r="C53" s="18">
        <f t="shared" si="0"/>
        <v>9.3378644229027932E-2</v>
      </c>
    </row>
    <row r="54" spans="1:3" x14ac:dyDescent="0.15">
      <c r="A54" t="s">
        <v>54</v>
      </c>
      <c r="B54" s="17">
        <f>IFERROR(SUMIFS('Full List'!B:B,'Full List'!A:A,OK!$A54,'Full List'!E:E,OK!$A$1),"")</f>
        <v>872899</v>
      </c>
      <c r="C54" s="18">
        <f t="shared" si="0"/>
        <v>0.36008590259394979</v>
      </c>
    </row>
    <row r="55" spans="1:3" x14ac:dyDescent="0.15">
      <c r="A55" t="s">
        <v>55</v>
      </c>
      <c r="B55" s="17">
        <f>IFERROR(SUMIFS('Full List'!B:B,'Full List'!A:A,OK!$A55,'Full List'!E:E,OK!$A$1),"")</f>
        <v>871084</v>
      </c>
      <c r="C55" s="18">
        <f t="shared" si="0"/>
        <v>0.35933718376942597</v>
      </c>
    </row>
    <row r="56" spans="1:3" x14ac:dyDescent="0.15">
      <c r="A56" t="s">
        <v>56</v>
      </c>
      <c r="B56" s="17">
        <f>IFERROR(SUMIFS('Full List'!B:B,'Full List'!A:A,OK!$A56,'Full List'!E:E,OK!$A$1),"")</f>
        <v>664703</v>
      </c>
      <c r="C56" s="18">
        <f t="shared" si="0"/>
        <v>0.27420145940355778</v>
      </c>
    </row>
    <row r="57" spans="1:3" x14ac:dyDescent="0.15">
      <c r="A57" t="s">
        <v>57</v>
      </c>
      <c r="B57" s="17">
        <f>IFERROR(SUMIFS('Full List'!B:B,'Full List'!A:A,OK!$A57,'Full List'!E:E,OK!$A$1),"")</f>
        <v>371247</v>
      </c>
      <c r="C57" s="18">
        <f t="shared" si="0"/>
        <v>0.15314579473718731</v>
      </c>
    </row>
    <row r="58" spans="1:3" x14ac:dyDescent="0.15">
      <c r="A58" t="s">
        <v>58</v>
      </c>
      <c r="B58" s="17">
        <f>IFERROR(SUMIFS('Full List'!B:B,'Full List'!A:A,OK!$A58,'Full List'!E:E,OK!$A$1),"")</f>
        <v>303920</v>
      </c>
      <c r="C58" s="18">
        <f t="shared" si="0"/>
        <v>0.12537224526131113</v>
      </c>
    </row>
    <row r="59" spans="1:3" x14ac:dyDescent="0.15">
      <c r="A59" t="s">
        <v>59</v>
      </c>
      <c r="B59" s="17">
        <f>IFERROR(SUMIFS('Full List'!B:B,'Full List'!A:A,OK!$A59,'Full List'!E:E,OK!$A$1),"")</f>
        <v>974129</v>
      </c>
      <c r="C59" s="18">
        <f t="shared" si="0"/>
        <v>0.40184502469122052</v>
      </c>
    </row>
    <row r="60" spans="1:3" x14ac:dyDescent="0.15">
      <c r="A60" t="s">
        <v>60</v>
      </c>
      <c r="B60" s="17">
        <f>IFERROR(SUMIFS('Full List'!B:B,'Full List'!A:A,OK!$A60,'Full List'!E:E,OK!$A$1),"")</f>
        <v>336758</v>
      </c>
      <c r="C60" s="18">
        <f t="shared" si="0"/>
        <v>0.13891848700219994</v>
      </c>
    </row>
    <row r="61" spans="1:3" x14ac:dyDescent="0.15">
      <c r="A61" t="s">
        <v>61</v>
      </c>
      <c r="B61" s="17">
        <f>IFERROR(SUMIFS('Full List'!B:B,'Full List'!A:A,OK!$A61,'Full List'!E:E,OK!$A$1),"")</f>
        <v>332091</v>
      </c>
      <c r="C61" s="18">
        <f t="shared" si="0"/>
        <v>0.13699326895588995</v>
      </c>
    </row>
    <row r="62" spans="1:3" x14ac:dyDescent="0.15">
      <c r="A62" t="s">
        <v>62</v>
      </c>
      <c r="B62" s="17">
        <f>IFERROR(SUMIFS('Full List'!B:B,'Full List'!A:A,OK!$A62,'Full List'!E:E,OK!$A$1),"")</f>
        <v>205099</v>
      </c>
      <c r="C62" s="18">
        <f t="shared" si="0"/>
        <v>8.4606877240226544E-2</v>
      </c>
    </row>
    <row r="63" spans="1:3" x14ac:dyDescent="0.15">
      <c r="A63" t="s">
        <v>63</v>
      </c>
      <c r="B63" s="17">
        <f>IFERROR(SUMIFS('Full List'!B:B,'Full List'!A:A,OK!$A63,'Full List'!E:E,OK!$A$1),"")</f>
        <v>429716</v>
      </c>
      <c r="C63" s="18">
        <f t="shared" si="0"/>
        <v>0.17726526633558032</v>
      </c>
    </row>
    <row r="64" spans="1:3" x14ac:dyDescent="0.15">
      <c r="A64" t="s">
        <v>64</v>
      </c>
      <c r="B64" s="17">
        <f>IFERROR(SUMIFS('Full List'!B:B,'Full List'!A:A,OK!$A64,'Full List'!E:E,OK!$A$1),"")</f>
        <v>170486</v>
      </c>
      <c r="C64" s="18">
        <f t="shared" si="0"/>
        <v>7.0328417365161516E-2</v>
      </c>
    </row>
    <row r="65" spans="1:3" x14ac:dyDescent="0.15">
      <c r="A65" t="s">
        <v>65</v>
      </c>
      <c r="B65" s="17">
        <f>IFERROR(SUMIFS('Full List'!B:B,'Full List'!A:A,OK!$A65,'Full List'!E:E,OK!$A$1),"")</f>
        <v>451648</v>
      </c>
      <c r="C65" s="18">
        <f t="shared" si="0"/>
        <v>0.18631259485318716</v>
      </c>
    </row>
    <row r="66" spans="1:3" x14ac:dyDescent="0.15">
      <c r="A66" t="s">
        <v>66</v>
      </c>
      <c r="B66" s="17">
        <f>IFERROR(SUMIFS('Full List'!B:B,'Full List'!A:A,OK!$A66,'Full List'!E:E,OK!$A$1),"")</f>
        <v>239527</v>
      </c>
      <c r="C66" s="18">
        <f t="shared" si="0"/>
        <v>9.8809021422433765E-2</v>
      </c>
    </row>
    <row r="67" spans="1:3" x14ac:dyDescent="0.15">
      <c r="A67" t="s">
        <v>67</v>
      </c>
      <c r="B67" s="17">
        <f>IFERROR(SUMIFS('Full List'!B:B,'Full List'!A:A,OK!$A67,'Full List'!E:E,OK!$A$1),"")</f>
        <v>677386</v>
      </c>
      <c r="C67" s="18">
        <f t="shared" ref="C67:C82" si="1">IFERROR(B67/$B$2,"")</f>
        <v>0.27943341579553332</v>
      </c>
    </row>
    <row r="68" spans="1:3" x14ac:dyDescent="0.15">
      <c r="A68" t="s">
        <v>68</v>
      </c>
      <c r="B68" s="17">
        <f>IFERROR(SUMIFS('Full List'!B:B,'Full List'!A:A,OK!$A68,'Full List'!E:E,OK!$A$1),"")</f>
        <v>1172403</v>
      </c>
      <c r="C68" s="18">
        <f t="shared" si="1"/>
        <v>0.48363647164088225</v>
      </c>
    </row>
    <row r="69" spans="1:3" x14ac:dyDescent="0.15">
      <c r="A69" t="s">
        <v>69</v>
      </c>
      <c r="B69" s="17">
        <f>IFERROR(SUMIFS('Full List'!B:B,'Full List'!A:A,OK!$A69,'Full List'!E:E,OK!$A$1),"")</f>
        <v>1426961</v>
      </c>
      <c r="C69" s="18">
        <f t="shared" si="1"/>
        <v>0.58864603997869758</v>
      </c>
    </row>
    <row r="70" spans="1:3" x14ac:dyDescent="0.15">
      <c r="A70" t="s">
        <v>70</v>
      </c>
      <c r="B70" s="17">
        <f>IFERROR(SUMIFS('Full List'!B:B,'Full List'!A:A,OK!$A70,'Full List'!E:E,OK!$A$1),"")</f>
        <v>355876</v>
      </c>
      <c r="C70" s="18">
        <f t="shared" si="1"/>
        <v>0.14680499195385088</v>
      </c>
    </row>
    <row r="71" spans="1:3" x14ac:dyDescent="0.15">
      <c r="A71" t="s">
        <v>71</v>
      </c>
      <c r="B71" s="17">
        <f>IFERROR(SUMIFS('Full List'!B:B,'Full List'!A:A,OK!$A71,'Full List'!E:E,OK!$A$1),"")</f>
        <v>212735</v>
      </c>
      <c r="C71" s="18">
        <f t="shared" si="1"/>
        <v>8.7756859027589562E-2</v>
      </c>
    </row>
    <row r="72" spans="1:3" x14ac:dyDescent="0.15">
      <c r="A72" t="s">
        <v>72</v>
      </c>
      <c r="B72" s="17">
        <f>IFERROR(SUMIFS('Full List'!B:B,'Full List'!A:A,OK!$A72,'Full List'!E:E,OK!$A$1),"")</f>
        <v>348313</v>
      </c>
      <c r="C72" s="18">
        <f t="shared" si="1"/>
        <v>0.14368512392637228</v>
      </c>
    </row>
    <row r="73" spans="1:3" x14ac:dyDescent="0.15">
      <c r="A73" t="s">
        <v>73</v>
      </c>
      <c r="B73" s="17">
        <f>IFERROR(SUMIFS('Full List'!B:B,'Full List'!A:A,OK!$A73,'Full List'!E:E,OK!$A$1),"")</f>
        <v>1439991</v>
      </c>
      <c r="C73" s="18">
        <f t="shared" si="1"/>
        <v>0.59402113985943883</v>
      </c>
    </row>
    <row r="74" spans="1:3" x14ac:dyDescent="0.15">
      <c r="A74" t="s">
        <v>74</v>
      </c>
      <c r="B74" s="17">
        <f>IFERROR(SUMIFS('Full List'!B:B,'Full List'!A:A,OK!$A74,'Full List'!E:E,OK!$A$1),"")</f>
        <v>624217</v>
      </c>
      <c r="C74" s="18">
        <f t="shared" si="1"/>
        <v>0.25750028566820166</v>
      </c>
    </row>
    <row r="75" spans="1:3" x14ac:dyDescent="0.15">
      <c r="A75" t="s">
        <v>75</v>
      </c>
      <c r="B75" s="17">
        <f>IFERROR(SUMIFS('Full List'!B:B,'Full List'!A:A,OK!$A75,'Full List'!E:E,OK!$A$1),"")</f>
        <v>445228</v>
      </c>
      <c r="C75" s="18">
        <f t="shared" si="1"/>
        <v>0.18366423405239216</v>
      </c>
    </row>
    <row r="76" spans="1:3" x14ac:dyDescent="0.15">
      <c r="A76" t="s">
        <v>76</v>
      </c>
      <c r="B76" s="17">
        <f>IFERROR(SUMIFS('Full List'!B:B,'Full List'!A:A,OK!$A76,'Full List'!E:E,OK!$A$1),"")</f>
        <v>635586</v>
      </c>
      <c r="C76" s="18">
        <f t="shared" si="1"/>
        <v>0.26219019438225749</v>
      </c>
    </row>
    <row r="77" spans="1:3" x14ac:dyDescent="0.15">
      <c r="A77" t="s">
        <v>77</v>
      </c>
      <c r="B77" s="17">
        <f>IFERROR(SUMIFS('Full List'!B:B,'Full List'!A:A,OK!$A77,'Full List'!E:E,OK!$A$1),"")</f>
        <v>601812</v>
      </c>
      <c r="C77" s="18">
        <f t="shared" si="1"/>
        <v>0.24825783648723404</v>
      </c>
    </row>
    <row r="78" spans="1:3" x14ac:dyDescent="0.15">
      <c r="A78" t="s">
        <v>78</v>
      </c>
      <c r="B78" s="17">
        <f>IFERROR(SUMIFS('Full List'!B:B,'Full List'!A:A,OK!$A78,'Full List'!E:E,OK!$A$1),"")</f>
        <v>321026</v>
      </c>
      <c r="C78" s="18">
        <f t="shared" si="1"/>
        <v>0.13242876548847612</v>
      </c>
    </row>
    <row r="79" spans="1:3" x14ac:dyDescent="0.15">
      <c r="A79" t="s">
        <v>79</v>
      </c>
      <c r="B79" s="17">
        <f>IFERROR(SUMIFS('Full List'!B:B,'Full List'!A:A,OK!$A79,'Full List'!E:E,OK!$A$1),"")</f>
        <v>490125</v>
      </c>
      <c r="C79" s="18">
        <f t="shared" si="1"/>
        <v>0.20218502141583347</v>
      </c>
    </row>
    <row r="80" spans="1:3" x14ac:dyDescent="0.15">
      <c r="A80" t="s">
        <v>80</v>
      </c>
      <c r="B80" s="17">
        <f>IFERROR(SUMIFS('Full List'!B:B,'Full List'!A:A,OK!$A80,'Full List'!E:E,OK!$A$1),"")</f>
        <v>409702</v>
      </c>
      <c r="C80" s="18">
        <f t="shared" si="1"/>
        <v>0.16900914592014243</v>
      </c>
    </row>
    <row r="81" spans="1:6" x14ac:dyDescent="0.15">
      <c r="A81" t="s">
        <v>81</v>
      </c>
      <c r="B81" s="17">
        <f>IFERROR(SUMIFS('Full List'!B:B,'Full List'!A:A,OK!$A81,'Full List'!E:E,OK!$A$1),"")</f>
        <v>340783</v>
      </c>
      <c r="C81" s="18">
        <f t="shared" si="1"/>
        <v>0.14057886896843047</v>
      </c>
    </row>
    <row r="82" spans="1:6" x14ac:dyDescent="0.15">
      <c r="A82" t="s">
        <v>82</v>
      </c>
      <c r="B82" s="17">
        <f>IFERROR(SUMIFS('Full List'!B:B,'Full List'!A:A,OK!$A82,'Full List'!E:E,OK!$A$1),"")</f>
        <v>268171</v>
      </c>
      <c r="C82" s="18">
        <f t="shared" si="1"/>
        <v>0.11062516578037333</v>
      </c>
    </row>
    <row r="83" spans="1:6" x14ac:dyDescent="0.15">
      <c r="B83" s="17"/>
      <c r="C83" s="18"/>
      <c r="D83" t="s">
        <v>812</v>
      </c>
      <c r="E83" t="s">
        <v>860</v>
      </c>
    </row>
    <row r="84" spans="1:6" x14ac:dyDescent="0.15">
      <c r="A84" t="s">
        <v>1147</v>
      </c>
      <c r="B84" s="17">
        <v>1249482</v>
      </c>
      <c r="C84" s="18">
        <f t="shared" ref="C84:C91" si="2">IFERROR(B84/$B$2,"")</f>
        <v>0.51543288942351129</v>
      </c>
      <c r="D84">
        <v>5</v>
      </c>
      <c r="E84" t="str">
        <f>VLOOKUP(D84,Validation!$A$2:$C$41,3,FALSE)</f>
        <v>CFB</v>
      </c>
      <c r="F84" t="s">
        <v>1350</v>
      </c>
    </row>
    <row r="85" spans="1:6" x14ac:dyDescent="0.15">
      <c r="A85" t="s">
        <v>1148</v>
      </c>
      <c r="B85" s="17">
        <v>1203019</v>
      </c>
      <c r="C85" s="18">
        <f t="shared" si="2"/>
        <v>0.49626610003296012</v>
      </c>
      <c r="D85">
        <v>26</v>
      </c>
      <c r="E85" t="str">
        <f>VLOOKUP(D85,Validation!$A$2:$C$41,3,FALSE)</f>
        <v xml:space="preserve">NBA </v>
      </c>
      <c r="F85" t="s">
        <v>1350</v>
      </c>
    </row>
    <row r="86" spans="1:6" x14ac:dyDescent="0.15">
      <c r="A86" t="s">
        <v>1149</v>
      </c>
      <c r="B86" s="17">
        <v>1068305</v>
      </c>
      <c r="C86" s="18">
        <f t="shared" si="2"/>
        <v>0.4406942500456863</v>
      </c>
      <c r="D86">
        <v>5</v>
      </c>
      <c r="E86" t="str">
        <f>VLOOKUP(D86,Validation!$A$2:$C$41,3,FALSE)</f>
        <v>CFB</v>
      </c>
      <c r="F86" t="s">
        <v>1377</v>
      </c>
    </row>
    <row r="87" spans="1:6" x14ac:dyDescent="0.15">
      <c r="A87" t="s">
        <v>1150</v>
      </c>
      <c r="B87" s="17">
        <v>686088</v>
      </c>
      <c r="C87" s="18">
        <f t="shared" si="2"/>
        <v>0.28302314098066078</v>
      </c>
      <c r="D87">
        <v>4</v>
      </c>
      <c r="E87" t="str">
        <f>VLOOKUP(D87,Validation!$A$2:$C$41,3,FALSE)</f>
        <v>MCB</v>
      </c>
      <c r="F87" t="s">
        <v>1350</v>
      </c>
    </row>
    <row r="88" spans="1:6" x14ac:dyDescent="0.15">
      <c r="A88" t="s">
        <v>1151</v>
      </c>
      <c r="B88" s="17">
        <v>620556</v>
      </c>
      <c r="C88" s="18">
        <f t="shared" si="2"/>
        <v>0.2559900599841346</v>
      </c>
      <c r="D88">
        <v>4</v>
      </c>
      <c r="E88" t="str">
        <f>VLOOKUP(D88,Validation!$A$2:$C$41,3,FALSE)</f>
        <v>MCB</v>
      </c>
      <c r="F88" t="s">
        <v>1377</v>
      </c>
    </row>
    <row r="89" spans="1:6" x14ac:dyDescent="0.15">
      <c r="A89" t="s">
        <v>1103</v>
      </c>
      <c r="B89" s="17">
        <v>456397</v>
      </c>
      <c r="C89" s="18">
        <f t="shared" si="2"/>
        <v>0.18827163931470983</v>
      </c>
      <c r="D89">
        <v>27</v>
      </c>
      <c r="E89" t="str">
        <f>VLOOKUP(D89,Validation!$A$2:$C$41,3,FALSE)</f>
        <v xml:space="preserve">NFL </v>
      </c>
      <c r="F89" t="s">
        <v>1351</v>
      </c>
    </row>
    <row r="90" spans="1:6" x14ac:dyDescent="0.15">
      <c r="A90" t="s">
        <v>1152</v>
      </c>
      <c r="B90" s="17">
        <v>234454</v>
      </c>
      <c r="C90" s="18">
        <f t="shared" si="2"/>
        <v>9.6716321369095276E-2</v>
      </c>
      <c r="D90">
        <v>17</v>
      </c>
      <c r="E90" t="str">
        <f>VLOOKUP(D90,Validation!$A$2:$C$41,3,FALSE)</f>
        <v>MLB</v>
      </c>
      <c r="F90" t="s">
        <v>1350</v>
      </c>
    </row>
    <row r="91" spans="1:6" x14ac:dyDescent="0.15">
      <c r="A91" t="s">
        <v>1153</v>
      </c>
      <c r="B91" s="17">
        <v>34402</v>
      </c>
      <c r="C91" s="18">
        <f t="shared" si="2"/>
        <v>1.4191418733481263E-2</v>
      </c>
      <c r="D91">
        <v>4</v>
      </c>
      <c r="E91" t="str">
        <f>VLOOKUP(D91,Validation!$A$2:$C$41,3,FALSE)</f>
        <v>MCB</v>
      </c>
      <c r="F91" t="s">
        <v>1351</v>
      </c>
    </row>
    <row r="92" spans="1:6" x14ac:dyDescent="0.15">
      <c r="B92" s="17"/>
      <c r="C92" s="18"/>
    </row>
    <row r="93" spans="1:6" x14ac:dyDescent="0.15">
      <c r="B93" s="17"/>
      <c r="C93" s="18"/>
    </row>
    <row r="94" spans="1:6" x14ac:dyDescent="0.15">
      <c r="B94" s="17"/>
      <c r="C94" s="18"/>
    </row>
    <row r="95" spans="1:6" x14ac:dyDescent="0.15">
      <c r="B95" s="17"/>
      <c r="C95" s="18"/>
    </row>
  </sheetData>
  <pageMargins left="0.7" right="0.7" top="0.75" bottom="0.75" header="0.3" footer="0.3"/>
  <pageSetup orientation="portrait" verticalDpi="0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 enableFormatConditionsCalculation="0"/>
  <dimension ref="A1:F98"/>
  <sheetViews>
    <sheetView topLeftCell="A63" zoomScale="85" zoomScaleNormal="85" zoomScalePageLayoutView="85" workbookViewId="0">
      <selection activeCell="F90" sqref="F90"/>
    </sheetView>
  </sheetViews>
  <sheetFormatPr baseColWidth="10" defaultColWidth="8.83203125" defaultRowHeight="13" x14ac:dyDescent="0.15"/>
  <cols>
    <col min="1" max="1" width="33.33203125" bestFit="1" customWidth="1"/>
    <col min="2" max="2" width="10.5" bestFit="1" customWidth="1"/>
  </cols>
  <sheetData>
    <row r="1" spans="1:3" x14ac:dyDescent="0.15">
      <c r="A1" t="s">
        <v>332</v>
      </c>
      <c r="B1" t="s">
        <v>807</v>
      </c>
      <c r="C1" t="s">
        <v>811</v>
      </c>
    </row>
    <row r="2" spans="1:3" x14ac:dyDescent="0.15">
      <c r="A2" t="s">
        <v>0</v>
      </c>
      <c r="B2" s="17">
        <f>IFERROR(SUMIFS('Full List'!B:B,'Full List'!A:A,OR!$A2,'Full List'!E:E,OR!$A$1),"")</f>
        <v>2442901</v>
      </c>
      <c r="C2" s="18">
        <f>IFERROR(B2/$B$2,"")</f>
        <v>1</v>
      </c>
    </row>
    <row r="3" spans="1:3" x14ac:dyDescent="0.15">
      <c r="A3" t="s">
        <v>3</v>
      </c>
      <c r="B3" s="17">
        <f>IFERROR(SUMIFS('Full List'!B:B,'Full List'!A:A,OR!$A3,'Full List'!E:E,OR!$A$1),"")</f>
        <v>39201</v>
      </c>
      <c r="C3" s="18">
        <f t="shared" ref="C3:C66" si="0">IFERROR(B3/$B$2,"")</f>
        <v>1.6046904888900534E-2</v>
      </c>
    </row>
    <row r="4" spans="1:3" x14ac:dyDescent="0.15">
      <c r="A4" t="s">
        <v>4</v>
      </c>
      <c r="B4" s="17">
        <f>IFERROR(SUMIFS('Full List'!B:B,'Full List'!A:A,OR!$A4,'Full List'!E:E,OR!$A$1),"")</f>
        <v>14691</v>
      </c>
      <c r="C4" s="18">
        <f t="shared" si="0"/>
        <v>6.0137516829376217E-3</v>
      </c>
    </row>
    <row r="5" spans="1:3" x14ac:dyDescent="0.15">
      <c r="A5" t="s">
        <v>5</v>
      </c>
      <c r="B5" s="17">
        <f>IFERROR(SUMIFS('Full List'!B:B,'Full List'!A:A,OR!$A5,'Full List'!E:E,OR!$A$1),"")</f>
        <v>80624</v>
      </c>
      <c r="C5" s="18">
        <f t="shared" si="0"/>
        <v>3.3003384091291457E-2</v>
      </c>
    </row>
    <row r="6" spans="1:3" x14ac:dyDescent="0.15">
      <c r="A6" t="s">
        <v>6</v>
      </c>
      <c r="B6" s="17">
        <f>IFERROR(SUMIFS('Full List'!B:B,'Full List'!A:A,OR!$A6,'Full List'!E:E,OR!$A$1),"")</f>
        <v>134178</v>
      </c>
      <c r="C6" s="18">
        <f t="shared" si="0"/>
        <v>5.4925680574038814E-2</v>
      </c>
    </row>
    <row r="7" spans="1:3" x14ac:dyDescent="0.15">
      <c r="A7" t="s">
        <v>7</v>
      </c>
      <c r="B7" s="17">
        <f>IFERROR(SUMIFS('Full List'!B:B,'Full List'!A:A,OR!$A7,'Full List'!E:E,OR!$A$1),"")</f>
        <v>455567</v>
      </c>
      <c r="C7" s="18">
        <f t="shared" si="0"/>
        <v>0.18648606717996349</v>
      </c>
    </row>
    <row r="8" spans="1:3" x14ac:dyDescent="0.15">
      <c r="A8" t="s">
        <v>8</v>
      </c>
      <c r="B8" s="17">
        <f>IFERROR(SUMIFS('Full List'!B:B,'Full List'!A:A,OR!$A8,'Full List'!E:E,OR!$A$1),"")</f>
        <v>24720</v>
      </c>
      <c r="C8" s="18">
        <f t="shared" si="0"/>
        <v>1.0119116574924649E-2</v>
      </c>
    </row>
    <row r="9" spans="1:3" x14ac:dyDescent="0.15">
      <c r="A9" t="s">
        <v>9</v>
      </c>
      <c r="B9" s="17">
        <f>IFERROR(SUMIFS('Full List'!B:B,'Full List'!A:A,OR!$A9,'Full List'!E:E,OR!$A$1),"")</f>
        <v>72947</v>
      </c>
      <c r="C9" s="18">
        <f t="shared" si="0"/>
        <v>2.9860808931675906E-2</v>
      </c>
    </row>
    <row r="10" spans="1:3" x14ac:dyDescent="0.15">
      <c r="A10" t="s">
        <v>10</v>
      </c>
      <c r="B10" s="17">
        <f>IFERROR(SUMIFS('Full List'!B:B,'Full List'!A:A,OR!$A10,'Full List'!E:E,OR!$A$1),"")</f>
        <v>55542</v>
      </c>
      <c r="C10" s="18">
        <f t="shared" si="0"/>
        <v>2.2736083042251814E-2</v>
      </c>
    </row>
    <row r="11" spans="1:3" x14ac:dyDescent="0.15">
      <c r="A11" t="s">
        <v>11</v>
      </c>
      <c r="B11" s="17">
        <f>IFERROR(SUMIFS('Full List'!B:B,'Full List'!A:A,OR!$A11,'Full List'!E:E,OR!$A$1),"")</f>
        <v>151299</v>
      </c>
      <c r="C11" s="18">
        <f t="shared" si="0"/>
        <v>6.1934151240676555E-2</v>
      </c>
    </row>
    <row r="12" spans="1:3" x14ac:dyDescent="0.15">
      <c r="A12" t="s">
        <v>12</v>
      </c>
      <c r="B12" s="17">
        <f>IFERROR(SUMIFS('Full List'!B:B,'Full List'!A:A,OR!$A12,'Full List'!E:E,OR!$A$1),"")</f>
        <v>49043</v>
      </c>
      <c r="C12" s="18">
        <f t="shared" si="0"/>
        <v>2.007572144757401E-2</v>
      </c>
    </row>
    <row r="13" spans="1:3" x14ac:dyDescent="0.15">
      <c r="A13" t="s">
        <v>13</v>
      </c>
      <c r="B13" s="17">
        <f>IFERROR(SUMIFS('Full List'!B:B,'Full List'!A:A,OR!$A13,'Full List'!E:E,OR!$A$1),"")</f>
        <v>32364</v>
      </c>
      <c r="C13" s="18">
        <f t="shared" si="0"/>
        <v>1.3248183205131931E-2</v>
      </c>
    </row>
    <row r="14" spans="1:3" x14ac:dyDescent="0.15">
      <c r="A14" t="s">
        <v>14</v>
      </c>
      <c r="B14" s="17">
        <f>IFERROR(SUMIFS('Full List'!B:B,'Full List'!A:A,OR!$A14,'Full List'!E:E,OR!$A$1),"")</f>
        <v>140603</v>
      </c>
      <c r="C14" s="18">
        <f t="shared" si="0"/>
        <v>5.7555750314892004E-2</v>
      </c>
    </row>
    <row r="15" spans="1:3" x14ac:dyDescent="0.15">
      <c r="A15" t="s">
        <v>15</v>
      </c>
      <c r="B15" s="17">
        <f>IFERROR(SUMIFS('Full List'!B:B,'Full List'!A:A,OR!$A15,'Full List'!E:E,OR!$A$1),"")</f>
        <v>111056</v>
      </c>
      <c r="C15" s="18">
        <f t="shared" si="0"/>
        <v>4.5460704301975401E-2</v>
      </c>
    </row>
    <row r="16" spans="1:3" x14ac:dyDescent="0.15">
      <c r="A16" t="s">
        <v>16</v>
      </c>
      <c r="B16" s="17">
        <f>IFERROR(SUMIFS('Full List'!B:B,'Full List'!A:A,OR!$A16,'Full List'!E:E,OR!$A$1),"")</f>
        <v>76604</v>
      </c>
      <c r="C16" s="18">
        <f t="shared" si="0"/>
        <v>3.1357799599738181E-2</v>
      </c>
    </row>
    <row r="17" spans="1:3" x14ac:dyDescent="0.15">
      <c r="A17" t="s">
        <v>17</v>
      </c>
      <c r="B17" s="17">
        <f>IFERROR(SUMIFS('Full List'!B:B,'Full List'!A:A,OR!$A17,'Full List'!E:E,OR!$A$1),"")</f>
        <v>52257</v>
      </c>
      <c r="C17" s="18">
        <f t="shared" si="0"/>
        <v>2.139137034206462E-2</v>
      </c>
    </row>
    <row r="18" spans="1:3" x14ac:dyDescent="0.15">
      <c r="A18" t="s">
        <v>18</v>
      </c>
      <c r="B18" s="17">
        <f>IFERROR(SUMIFS('Full List'!B:B,'Full List'!A:A,OR!$A18,'Full List'!E:E,OR!$A$1),"")</f>
        <v>54462</v>
      </c>
      <c r="C18" s="18">
        <f t="shared" si="0"/>
        <v>2.2293985716162874E-2</v>
      </c>
    </row>
    <row r="19" spans="1:3" x14ac:dyDescent="0.15">
      <c r="A19" t="s">
        <v>19</v>
      </c>
      <c r="B19" s="17">
        <f>IFERROR(SUMIFS('Full List'!B:B,'Full List'!A:A,OR!$A19,'Full List'!E:E,OR!$A$1),"")</f>
        <v>190412</v>
      </c>
      <c r="C19" s="18">
        <f t="shared" si="0"/>
        <v>7.7945033384488355E-2</v>
      </c>
    </row>
    <row r="20" spans="1:3" x14ac:dyDescent="0.15">
      <c r="A20" t="s">
        <v>20</v>
      </c>
      <c r="B20" s="17">
        <f>IFERROR(SUMIFS('Full List'!B:B,'Full List'!A:A,OR!$A20,'Full List'!E:E,OR!$A$1),"")</f>
        <v>97591</v>
      </c>
      <c r="C20" s="18">
        <f t="shared" si="0"/>
        <v>3.9948814954023922E-2</v>
      </c>
    </row>
    <row r="21" spans="1:3" x14ac:dyDescent="0.15">
      <c r="A21" t="s">
        <v>21</v>
      </c>
      <c r="B21" s="17">
        <f>IFERROR(SUMIFS('Full List'!B:B,'Full List'!A:A,OR!$A21,'Full List'!E:E,OR!$A$1),"")</f>
        <v>62885</v>
      </c>
      <c r="C21" s="18">
        <f t="shared" si="0"/>
        <v>2.5741935510280606E-2</v>
      </c>
    </row>
    <row r="22" spans="1:3" x14ac:dyDescent="0.15">
      <c r="A22" t="s">
        <v>22</v>
      </c>
      <c r="B22" s="17">
        <f>IFERROR(SUMIFS('Full List'!B:B,'Full List'!A:A,OR!$A22,'Full List'!E:E,OR!$A$1),"")</f>
        <v>50293</v>
      </c>
      <c r="C22" s="18">
        <f t="shared" si="0"/>
        <v>2.0587408167584361E-2</v>
      </c>
    </row>
    <row r="23" spans="1:3" x14ac:dyDescent="0.15">
      <c r="A23" t="s">
        <v>23</v>
      </c>
      <c r="B23" s="17">
        <f>IFERROR(SUMIFS('Full List'!B:B,'Full List'!A:A,OR!$A23,'Full List'!E:E,OR!$A$1),"")</f>
        <v>17607</v>
      </c>
      <c r="C23" s="18">
        <f t="shared" si="0"/>
        <v>7.2074144633777629E-3</v>
      </c>
    </row>
    <row r="24" spans="1:3" x14ac:dyDescent="0.15">
      <c r="A24" t="s">
        <v>24</v>
      </c>
      <c r="B24" s="17">
        <f>IFERROR(SUMIFS('Full List'!B:B,'Full List'!A:A,OR!$A24,'Full List'!E:E,OR!$A$1),"")</f>
        <v>19687</v>
      </c>
      <c r="C24" s="18">
        <f t="shared" si="0"/>
        <v>8.0588611654749832E-3</v>
      </c>
    </row>
    <row r="25" spans="1:3" x14ac:dyDescent="0.15">
      <c r="A25" t="s">
        <v>25</v>
      </c>
      <c r="B25" s="17">
        <f>IFERROR(SUMIFS('Full List'!B:B,'Full List'!A:A,OR!$A25,'Full List'!E:E,OR!$A$1),"")</f>
        <v>68462</v>
      </c>
      <c r="C25" s="18">
        <f t="shared" si="0"/>
        <v>2.8024876980278775E-2</v>
      </c>
    </row>
    <row r="26" spans="1:3" x14ac:dyDescent="0.15">
      <c r="A26" t="s">
        <v>26</v>
      </c>
      <c r="B26" s="17">
        <f>IFERROR(SUMIFS('Full List'!B:B,'Full List'!A:A,OR!$A26,'Full List'!E:E,OR!$A$1),"")</f>
        <v>28798</v>
      </c>
      <c r="C26" s="18">
        <f t="shared" si="0"/>
        <v>1.178844333028641E-2</v>
      </c>
    </row>
    <row r="27" spans="1:3" x14ac:dyDescent="0.15">
      <c r="A27" t="s">
        <v>27</v>
      </c>
      <c r="B27" s="17">
        <f>IFERROR(SUMIFS('Full List'!B:B,'Full List'!A:A,OR!$A27,'Full List'!E:E,OR!$A$1),"")</f>
        <v>161811</v>
      </c>
      <c r="C27" s="18">
        <f t="shared" si="0"/>
        <v>6.6237231881275588E-2</v>
      </c>
    </row>
    <row r="28" spans="1:3" x14ac:dyDescent="0.15">
      <c r="A28" t="s">
        <v>28</v>
      </c>
      <c r="B28" s="17">
        <f>IFERROR(SUMIFS('Full List'!B:B,'Full List'!A:A,OR!$A28,'Full List'!E:E,OR!$A$1),"")</f>
        <v>299496</v>
      </c>
      <c r="C28" s="18">
        <f t="shared" si="0"/>
        <v>0.12259850071697544</v>
      </c>
    </row>
    <row r="29" spans="1:3" x14ac:dyDescent="0.15">
      <c r="A29" t="s">
        <v>29</v>
      </c>
      <c r="B29" s="17">
        <f>IFERROR(SUMIFS('Full List'!B:B,'Full List'!A:A,OR!$A29,'Full List'!E:E,OR!$A$1),"")</f>
        <v>500237</v>
      </c>
      <c r="C29" s="18">
        <f t="shared" si="0"/>
        <v>0.20477170380625331</v>
      </c>
    </row>
    <row r="30" spans="1:3" x14ac:dyDescent="0.15">
      <c r="A30" t="s">
        <v>30</v>
      </c>
      <c r="B30" s="17">
        <f>IFERROR(SUMIFS('Full List'!B:B,'Full List'!A:A,OR!$A30,'Full List'!E:E,OR!$A$1),"")</f>
        <v>64876</v>
      </c>
      <c r="C30" s="18">
        <f t="shared" si="0"/>
        <v>2.6556950117913088E-2</v>
      </c>
    </row>
    <row r="31" spans="1:3" x14ac:dyDescent="0.15">
      <c r="A31" t="s">
        <v>31</v>
      </c>
      <c r="B31" s="17">
        <f>IFERROR(SUMIFS('Full List'!B:B,'Full List'!A:A,OR!$A31,'Full List'!E:E,OR!$A$1),"")</f>
        <v>13175</v>
      </c>
      <c r="C31" s="18">
        <f t="shared" si="0"/>
        <v>5.3931780289090715E-3</v>
      </c>
    </row>
    <row r="32" spans="1:3" x14ac:dyDescent="0.15">
      <c r="A32" t="s">
        <v>32</v>
      </c>
      <c r="B32" s="17">
        <f>IFERROR(SUMIFS('Full List'!B:B,'Full List'!A:A,OR!$A32,'Full List'!E:E,OR!$A$1),"")</f>
        <v>100640</v>
      </c>
      <c r="C32" s="18">
        <f t="shared" si="0"/>
        <v>4.1196921201473169E-2</v>
      </c>
    </row>
    <row r="33" spans="1:3" x14ac:dyDescent="0.15">
      <c r="A33" t="s">
        <v>33</v>
      </c>
      <c r="B33" s="17">
        <f>IFERROR(SUMIFS('Full List'!B:B,'Full List'!A:A,OR!$A33,'Full List'!E:E,OR!$A$1),"")</f>
        <v>588933</v>
      </c>
      <c r="C33" s="18">
        <f t="shared" si="0"/>
        <v>0.24107935606068359</v>
      </c>
    </row>
    <row r="34" spans="1:3" x14ac:dyDescent="0.15">
      <c r="A34" t="s">
        <v>34</v>
      </c>
      <c r="B34" s="17">
        <f>IFERROR(SUMIFS('Full List'!B:B,'Full List'!A:A,OR!$A34,'Full List'!E:E,OR!$A$1),"")</f>
        <v>161224</v>
      </c>
      <c r="C34" s="18">
        <f t="shared" si="0"/>
        <v>6.5996943797558716E-2</v>
      </c>
    </row>
    <row r="35" spans="1:3" x14ac:dyDescent="0.15">
      <c r="A35" t="s">
        <v>35</v>
      </c>
      <c r="B35" s="17">
        <f>IFERROR(SUMIFS('Full List'!B:B,'Full List'!A:A,OR!$A35,'Full List'!E:E,OR!$A$1),"")</f>
        <v>86550</v>
      </c>
      <c r="C35" s="18">
        <f t="shared" si="0"/>
        <v>3.542918849351652E-2</v>
      </c>
    </row>
    <row r="36" spans="1:3" x14ac:dyDescent="0.15">
      <c r="A36" t="s">
        <v>36</v>
      </c>
      <c r="B36" s="17">
        <f>IFERROR(SUMIFS('Full List'!B:B,'Full List'!A:A,OR!$A36,'Full List'!E:E,OR!$A$1),"")</f>
        <v>87777</v>
      </c>
      <c r="C36" s="18">
        <f t="shared" si="0"/>
        <v>3.5931460177878675E-2</v>
      </c>
    </row>
    <row r="37" spans="1:3" x14ac:dyDescent="0.15">
      <c r="A37" t="s">
        <v>37</v>
      </c>
      <c r="B37" s="17">
        <f>IFERROR(SUMIFS('Full List'!B:B,'Full List'!A:A,OR!$A37,'Full List'!E:E,OR!$A$1),"")</f>
        <v>87674</v>
      </c>
      <c r="C37" s="18">
        <f t="shared" si="0"/>
        <v>3.5889297192149824E-2</v>
      </c>
    </row>
    <row r="38" spans="1:3" x14ac:dyDescent="0.15">
      <c r="A38" t="s">
        <v>38</v>
      </c>
      <c r="B38" s="17">
        <f>IFERROR(SUMIFS('Full List'!B:B,'Full List'!A:A,OR!$A38,'Full List'!E:E,OR!$A$1),"")</f>
        <v>53730</v>
      </c>
      <c r="C38" s="18">
        <f t="shared" si="0"/>
        <v>2.1994341972924814E-2</v>
      </c>
    </row>
    <row r="39" spans="1:3" x14ac:dyDescent="0.15">
      <c r="A39" t="s">
        <v>39</v>
      </c>
      <c r="B39" s="17">
        <f>IFERROR(SUMIFS('Full List'!B:B,'Full List'!A:A,OR!$A39,'Full List'!E:E,OR!$A$1),"")</f>
        <v>80915</v>
      </c>
      <c r="C39" s="18">
        <f t="shared" si="0"/>
        <v>3.3122504759709868E-2</v>
      </c>
    </row>
    <row r="40" spans="1:3" x14ac:dyDescent="0.15">
      <c r="A40" t="s">
        <v>40</v>
      </c>
      <c r="B40" s="17">
        <f>IFERROR(SUMIFS('Full List'!B:B,'Full List'!A:A,OR!$A40,'Full List'!E:E,OR!$A$1),"")</f>
        <v>41050</v>
      </c>
      <c r="C40" s="18">
        <f t="shared" si="0"/>
        <v>1.6803791885139838E-2</v>
      </c>
    </row>
    <row r="41" spans="1:3" x14ac:dyDescent="0.15">
      <c r="A41" t="s">
        <v>41</v>
      </c>
      <c r="B41" s="17">
        <f>IFERROR(SUMIFS('Full List'!B:B,'Full List'!A:A,OR!$A41,'Full List'!E:E,OR!$A$1),"")</f>
        <v>56836</v>
      </c>
      <c r="C41" s="18">
        <f t="shared" si="0"/>
        <v>2.3265781134806526E-2</v>
      </c>
    </row>
    <row r="42" spans="1:3" x14ac:dyDescent="0.15">
      <c r="A42" t="s">
        <v>42</v>
      </c>
      <c r="B42" s="17">
        <f>IFERROR(SUMIFS('Full List'!B:B,'Full List'!A:A,OR!$A42,'Full List'!E:E,OR!$A$1),"")</f>
        <v>38734</v>
      </c>
      <c r="C42" s="18">
        <f t="shared" si="0"/>
        <v>1.5855738730304665E-2</v>
      </c>
    </row>
    <row r="43" spans="1:3" x14ac:dyDescent="0.15">
      <c r="A43" t="s">
        <v>43</v>
      </c>
      <c r="B43" s="17">
        <f>IFERROR(SUMIFS('Full List'!B:B,'Full List'!A:A,OR!$A43,'Full List'!E:E,OR!$A$1),"")</f>
        <v>258463</v>
      </c>
      <c r="C43" s="18">
        <f t="shared" si="0"/>
        <v>0.10580166777122774</v>
      </c>
    </row>
    <row r="44" spans="1:3" x14ac:dyDescent="0.15">
      <c r="A44" t="s">
        <v>44</v>
      </c>
      <c r="B44" s="17">
        <f>IFERROR(SUMIFS('Full List'!B:B,'Full List'!A:A,OR!$A44,'Full List'!E:E,OR!$A$1),"")</f>
        <v>205823</v>
      </c>
      <c r="C44" s="18">
        <f t="shared" si="0"/>
        <v>8.4253516618151947E-2</v>
      </c>
    </row>
    <row r="45" spans="1:3" x14ac:dyDescent="0.15">
      <c r="A45" t="s">
        <v>45</v>
      </c>
      <c r="B45" s="17">
        <f>IFERROR(SUMIFS('Full List'!B:B,'Full List'!A:A,OR!$A45,'Full List'!E:E,OR!$A$1),"")</f>
        <v>432362</v>
      </c>
      <c r="C45" s="18">
        <f t="shared" si="0"/>
        <v>0.17698711490969138</v>
      </c>
    </row>
    <row r="46" spans="1:3" x14ac:dyDescent="0.15">
      <c r="A46" t="s">
        <v>46</v>
      </c>
      <c r="B46" s="17">
        <f>IFERROR(SUMIFS('Full List'!B:B,'Full List'!A:A,OR!$A46,'Full List'!E:E,OR!$A$1),"")</f>
        <v>684285</v>
      </c>
      <c r="C46" s="18">
        <f t="shared" si="0"/>
        <v>0.28011163776182496</v>
      </c>
    </row>
    <row r="47" spans="1:3" x14ac:dyDescent="0.15">
      <c r="A47" t="s">
        <v>47</v>
      </c>
      <c r="B47" s="17">
        <f>IFERROR(SUMIFS('Full List'!B:B,'Full List'!A:A,OR!$A47,'Full List'!E:E,OR!$A$1),"")</f>
        <v>1064856</v>
      </c>
      <c r="C47" s="18">
        <f t="shared" si="0"/>
        <v>0.43589813913867159</v>
      </c>
    </row>
    <row r="48" spans="1:3" x14ac:dyDescent="0.15">
      <c r="A48" t="s">
        <v>48</v>
      </c>
      <c r="B48" s="17">
        <f>IFERROR(SUMIFS('Full List'!B:B,'Full List'!A:A,OR!$A48,'Full List'!E:E,OR!$A$1),"")</f>
        <v>157588</v>
      </c>
      <c r="C48" s="18">
        <f t="shared" si="0"/>
        <v>6.4508549466392617E-2</v>
      </c>
    </row>
    <row r="49" spans="1:3" x14ac:dyDescent="0.15">
      <c r="A49" t="s">
        <v>49</v>
      </c>
      <c r="B49" s="17">
        <f>IFERROR(SUMIFS('Full List'!B:B,'Full List'!A:A,OR!$A49,'Full List'!E:E,OR!$A$1),"")</f>
        <v>366873</v>
      </c>
      <c r="C49" s="18">
        <f t="shared" si="0"/>
        <v>0.15017923362428523</v>
      </c>
    </row>
    <row r="50" spans="1:3" x14ac:dyDescent="0.15">
      <c r="A50" t="s">
        <v>50</v>
      </c>
      <c r="B50" s="17">
        <f>IFERROR(SUMIFS('Full List'!B:B,'Full List'!A:A,OR!$A50,'Full List'!E:E,OR!$A$1),"")</f>
        <v>419837</v>
      </c>
      <c r="C50" s="18">
        <f t="shared" si="0"/>
        <v>0.17186001397518769</v>
      </c>
    </row>
    <row r="51" spans="1:3" x14ac:dyDescent="0.15">
      <c r="A51" t="s">
        <v>51</v>
      </c>
      <c r="B51" s="17">
        <f>IFERROR(SUMIFS('Full List'!B:B,'Full List'!A:A,OR!$A51,'Full List'!E:E,OR!$A$1),"")</f>
        <v>817769</v>
      </c>
      <c r="C51" s="18">
        <f t="shared" si="0"/>
        <v>0.33475322986891404</v>
      </c>
    </row>
    <row r="52" spans="1:3" x14ac:dyDescent="0.15">
      <c r="A52" t="s">
        <v>52</v>
      </c>
      <c r="B52" s="17">
        <f>IFERROR(SUMIFS('Full List'!B:B,'Full List'!A:A,OR!$A52,'Full List'!E:E,OR!$A$1),"")</f>
        <v>336491</v>
      </c>
      <c r="C52" s="18">
        <f t="shared" si="0"/>
        <v>0.1377423808824017</v>
      </c>
    </row>
    <row r="53" spans="1:3" x14ac:dyDescent="0.15">
      <c r="A53" t="s">
        <v>53</v>
      </c>
      <c r="B53" s="17">
        <f>IFERROR(SUMIFS('Full List'!B:B,'Full List'!A:A,OR!$A53,'Full List'!E:E,OR!$A$1),"")</f>
        <v>248492</v>
      </c>
      <c r="C53" s="18">
        <f t="shared" si="0"/>
        <v>0.10172004514304919</v>
      </c>
    </row>
    <row r="54" spans="1:3" x14ac:dyDescent="0.15">
      <c r="A54" t="s">
        <v>54</v>
      </c>
      <c r="B54" s="17">
        <f>IFERROR(SUMIFS('Full List'!B:B,'Full List'!A:A,OR!$A54,'Full List'!E:E,OR!$A$1),"")</f>
        <v>926313</v>
      </c>
      <c r="C54" s="18">
        <f t="shared" si="0"/>
        <v>0.37918564853835662</v>
      </c>
    </row>
    <row r="55" spans="1:3" x14ac:dyDescent="0.15">
      <c r="A55" t="s">
        <v>55</v>
      </c>
      <c r="B55" s="17">
        <f>IFERROR(SUMIFS('Full List'!B:B,'Full List'!A:A,OR!$A55,'Full List'!E:E,OR!$A$1),"")</f>
        <v>624249</v>
      </c>
      <c r="C55" s="18">
        <f t="shared" si="0"/>
        <v>0.25553593862379198</v>
      </c>
    </row>
    <row r="56" spans="1:3" x14ac:dyDescent="0.15">
      <c r="A56" t="s">
        <v>56</v>
      </c>
      <c r="B56" s="17">
        <f>IFERROR(SUMIFS('Full List'!B:B,'Full List'!A:A,OR!$A56,'Full List'!E:E,OR!$A$1),"")</f>
        <v>467952</v>
      </c>
      <c r="C56" s="18">
        <f t="shared" si="0"/>
        <v>0.19155585920182602</v>
      </c>
    </row>
    <row r="57" spans="1:3" x14ac:dyDescent="0.15">
      <c r="A57" t="s">
        <v>57</v>
      </c>
      <c r="B57" s="17">
        <f>IFERROR(SUMIFS('Full List'!B:B,'Full List'!A:A,OR!$A57,'Full List'!E:E,OR!$A$1),"")</f>
        <v>401641</v>
      </c>
      <c r="C57" s="18">
        <f t="shared" si="0"/>
        <v>0.16441149272934105</v>
      </c>
    </row>
    <row r="58" spans="1:3" x14ac:dyDescent="0.15">
      <c r="A58" t="s">
        <v>58</v>
      </c>
      <c r="B58" s="17">
        <f>IFERROR(SUMIFS('Full List'!B:B,'Full List'!A:A,OR!$A58,'Full List'!E:E,OR!$A$1),"")</f>
        <v>337017</v>
      </c>
      <c r="C58" s="18">
        <f t="shared" si="0"/>
        <v>0.13795769865418206</v>
      </c>
    </row>
    <row r="59" spans="1:3" x14ac:dyDescent="0.15">
      <c r="A59" t="s">
        <v>59</v>
      </c>
      <c r="B59" s="17">
        <f>IFERROR(SUMIFS('Full List'!B:B,'Full List'!A:A,OR!$A59,'Full List'!E:E,OR!$A$1),"")</f>
        <v>812123</v>
      </c>
      <c r="C59" s="18">
        <f t="shared" si="0"/>
        <v>0.3324420432919713</v>
      </c>
    </row>
    <row r="60" spans="1:3" x14ac:dyDescent="0.15">
      <c r="A60" t="s">
        <v>60</v>
      </c>
      <c r="B60" s="17">
        <f>IFERROR(SUMIFS('Full List'!B:B,'Full List'!A:A,OR!$A60,'Full List'!E:E,OR!$A$1),"")</f>
        <v>537025</v>
      </c>
      <c r="C60" s="18">
        <f t="shared" si="0"/>
        <v>0.21983084865084587</v>
      </c>
    </row>
    <row r="61" spans="1:3" x14ac:dyDescent="0.15">
      <c r="A61" t="s">
        <v>61</v>
      </c>
      <c r="B61" s="17">
        <f>IFERROR(SUMIFS('Full List'!B:B,'Full List'!A:A,OR!$A61,'Full List'!E:E,OR!$A$1),"")</f>
        <v>366294</v>
      </c>
      <c r="C61" s="18">
        <f t="shared" si="0"/>
        <v>0.14994222033557644</v>
      </c>
    </row>
    <row r="62" spans="1:3" x14ac:dyDescent="0.15">
      <c r="A62" t="s">
        <v>62</v>
      </c>
      <c r="B62" s="17">
        <f>IFERROR(SUMIFS('Full List'!B:B,'Full List'!A:A,OR!$A62,'Full List'!E:E,OR!$A$1),"")</f>
        <v>245016</v>
      </c>
      <c r="C62" s="18">
        <f t="shared" si="0"/>
        <v>0.10029714671204441</v>
      </c>
    </row>
    <row r="63" spans="1:3" x14ac:dyDescent="0.15">
      <c r="A63" t="s">
        <v>63</v>
      </c>
      <c r="B63" s="17">
        <f>IFERROR(SUMIFS('Full List'!B:B,'Full List'!A:A,OR!$A63,'Full List'!E:E,OR!$A$1),"")</f>
        <v>278856</v>
      </c>
      <c r="C63" s="18">
        <f t="shared" si="0"/>
        <v>0.11414952959616456</v>
      </c>
    </row>
    <row r="64" spans="1:3" x14ac:dyDescent="0.15">
      <c r="A64" t="s">
        <v>64</v>
      </c>
      <c r="B64" s="17">
        <f>IFERROR(SUMIFS('Full List'!B:B,'Full List'!A:A,OR!$A64,'Full List'!E:E,OR!$A$1),"")</f>
        <v>189582</v>
      </c>
      <c r="C64" s="18">
        <f t="shared" si="0"/>
        <v>7.760527340240149E-2</v>
      </c>
    </row>
    <row r="65" spans="1:3" x14ac:dyDescent="0.15">
      <c r="A65" t="s">
        <v>65</v>
      </c>
      <c r="B65" s="17">
        <f>IFERROR(SUMIFS('Full List'!B:B,'Full List'!A:A,OR!$A65,'Full List'!E:E,OR!$A$1),"")</f>
        <v>384975</v>
      </c>
      <c r="C65" s="18">
        <f t="shared" si="0"/>
        <v>0.15758927602878708</v>
      </c>
    </row>
    <row r="66" spans="1:3" x14ac:dyDescent="0.15">
      <c r="A66" t="s">
        <v>66</v>
      </c>
      <c r="B66" s="17">
        <f>IFERROR(SUMIFS('Full List'!B:B,'Full List'!A:A,OR!$A66,'Full List'!E:E,OR!$A$1),"")</f>
        <v>231954</v>
      </c>
      <c r="C66" s="18">
        <f t="shared" si="0"/>
        <v>9.4950225162624274E-2</v>
      </c>
    </row>
    <row r="67" spans="1:3" x14ac:dyDescent="0.15">
      <c r="A67" t="s">
        <v>67</v>
      </c>
      <c r="B67" s="17">
        <f>IFERROR(SUMIFS('Full List'!B:B,'Full List'!A:A,OR!$A67,'Full List'!E:E,OR!$A$1),"")</f>
        <v>589696</v>
      </c>
      <c r="C67" s="18">
        <f t="shared" ref="C67:C82" si="1">IFERROR(B67/$B$2,"")</f>
        <v>0.24139168963457791</v>
      </c>
    </row>
    <row r="68" spans="1:3" x14ac:dyDescent="0.15">
      <c r="A68" t="s">
        <v>68</v>
      </c>
      <c r="B68" s="17">
        <f>IFERROR(SUMIFS('Full List'!B:B,'Full List'!A:A,OR!$A68,'Full List'!E:E,OR!$A$1),"")</f>
        <v>973624</v>
      </c>
      <c r="C68" s="18">
        <f t="shared" si="1"/>
        <v>0.39855237686668432</v>
      </c>
    </row>
    <row r="69" spans="1:3" x14ac:dyDescent="0.15">
      <c r="A69" t="s">
        <v>69</v>
      </c>
      <c r="B69" s="17">
        <f>IFERROR(SUMIFS('Full List'!B:B,'Full List'!A:A,OR!$A69,'Full List'!E:E,OR!$A$1),"")</f>
        <v>1254903</v>
      </c>
      <c r="C69" s="18">
        <f t="shared" si="1"/>
        <v>0.51369376000091693</v>
      </c>
    </row>
    <row r="70" spans="1:3" x14ac:dyDescent="0.15">
      <c r="A70" t="s">
        <v>70</v>
      </c>
      <c r="B70" s="17">
        <f>IFERROR(SUMIFS('Full List'!B:B,'Full List'!A:A,OR!$A70,'Full List'!E:E,OR!$A$1),"")</f>
        <v>439339</v>
      </c>
      <c r="C70" s="18">
        <f t="shared" si="1"/>
        <v>0.17984314550610114</v>
      </c>
    </row>
    <row r="71" spans="1:3" x14ac:dyDescent="0.15">
      <c r="A71" t="s">
        <v>71</v>
      </c>
      <c r="B71" s="17">
        <f>IFERROR(SUMIFS('Full List'!B:B,'Full List'!A:A,OR!$A71,'Full List'!E:E,OR!$A$1),"")</f>
        <v>141765</v>
      </c>
      <c r="C71" s="18">
        <f t="shared" si="1"/>
        <v>5.8031414289813628E-2</v>
      </c>
    </row>
    <row r="72" spans="1:3" x14ac:dyDescent="0.15">
      <c r="A72" t="s">
        <v>72</v>
      </c>
      <c r="B72" s="17">
        <f>IFERROR(SUMIFS('Full List'!B:B,'Full List'!A:A,OR!$A72,'Full List'!E:E,OR!$A$1),"")</f>
        <v>365252</v>
      </c>
      <c r="C72" s="18">
        <f t="shared" si="1"/>
        <v>0.1495156782857758</v>
      </c>
    </row>
    <row r="73" spans="1:3" x14ac:dyDescent="0.15">
      <c r="A73" t="s">
        <v>73</v>
      </c>
      <c r="B73" s="17">
        <f>IFERROR(SUMIFS('Full List'!B:B,'Full List'!A:A,OR!$A73,'Full List'!E:E,OR!$A$1),"")</f>
        <v>1504401</v>
      </c>
      <c r="C73" s="18">
        <f t="shared" si="1"/>
        <v>0.61582561061623042</v>
      </c>
    </row>
    <row r="74" spans="1:3" x14ac:dyDescent="0.15">
      <c r="A74" t="s">
        <v>74</v>
      </c>
      <c r="B74" s="17">
        <f>IFERROR(SUMIFS('Full List'!B:B,'Full List'!A:A,OR!$A74,'Full List'!E:E,OR!$A$1),"")</f>
        <v>561175</v>
      </c>
      <c r="C74" s="18">
        <f t="shared" si="1"/>
        <v>0.2297166360814458</v>
      </c>
    </row>
    <row r="75" spans="1:3" x14ac:dyDescent="0.15">
      <c r="A75" t="s">
        <v>75</v>
      </c>
      <c r="B75" s="17">
        <f>IFERROR(SUMIFS('Full List'!B:B,'Full List'!A:A,OR!$A75,'Full List'!E:E,OR!$A$1),"")</f>
        <v>439875</v>
      </c>
      <c r="C75" s="18">
        <f t="shared" si="1"/>
        <v>0.1800625567716416</v>
      </c>
    </row>
    <row r="76" spans="1:3" x14ac:dyDescent="0.15">
      <c r="A76" t="s">
        <v>76</v>
      </c>
      <c r="B76" s="17">
        <f>IFERROR(SUMIFS('Full List'!B:B,'Full List'!A:A,OR!$A76,'Full List'!E:E,OR!$A$1),"")</f>
        <v>487809</v>
      </c>
      <c r="C76" s="18">
        <f t="shared" si="1"/>
        <v>0.19968430976122242</v>
      </c>
    </row>
    <row r="77" spans="1:3" x14ac:dyDescent="0.15">
      <c r="A77" t="s">
        <v>77</v>
      </c>
      <c r="B77" s="17">
        <f>IFERROR(SUMIFS('Full List'!B:B,'Full List'!A:A,OR!$A77,'Full List'!E:E,OR!$A$1),"")</f>
        <v>439496</v>
      </c>
      <c r="C77" s="18">
        <f t="shared" si="1"/>
        <v>0.17990741335813445</v>
      </c>
    </row>
    <row r="78" spans="1:3" x14ac:dyDescent="0.15">
      <c r="A78" t="s">
        <v>78</v>
      </c>
      <c r="B78" s="17">
        <f>IFERROR(SUMIFS('Full List'!B:B,'Full List'!A:A,OR!$A78,'Full List'!E:E,OR!$A$1),"")</f>
        <v>331032</v>
      </c>
      <c r="C78" s="18">
        <f t="shared" si="1"/>
        <v>0.13550774263877252</v>
      </c>
    </row>
    <row r="79" spans="1:3" x14ac:dyDescent="0.15">
      <c r="A79" t="s">
        <v>79</v>
      </c>
      <c r="B79" s="17">
        <f>IFERROR(SUMIFS('Full List'!B:B,'Full List'!A:A,OR!$A79,'Full List'!E:E,OR!$A$1),"")</f>
        <v>399274</v>
      </c>
      <c r="C79" s="18">
        <f t="shared" si="1"/>
        <v>0.16344256275632946</v>
      </c>
    </row>
    <row r="80" spans="1:3" x14ac:dyDescent="0.15">
      <c r="A80" t="s">
        <v>80</v>
      </c>
      <c r="B80" s="17">
        <f>IFERROR(SUMIFS('Full List'!B:B,'Full List'!A:A,OR!$A80,'Full List'!E:E,OR!$A$1),"")</f>
        <v>252759</v>
      </c>
      <c r="C80" s="18">
        <f t="shared" si="1"/>
        <v>0.10346673893047652</v>
      </c>
    </row>
    <row r="81" spans="1:6" x14ac:dyDescent="0.15">
      <c r="A81" t="s">
        <v>81</v>
      </c>
      <c r="B81" s="17">
        <f>IFERROR(SUMIFS('Full List'!B:B,'Full List'!A:A,OR!$A81,'Full List'!E:E,OR!$A$1),"")</f>
        <v>389415</v>
      </c>
      <c r="C81" s="18">
        <f t="shared" si="1"/>
        <v>0.15940678725826385</v>
      </c>
    </row>
    <row r="82" spans="1:6" x14ac:dyDescent="0.15">
      <c r="A82" t="s">
        <v>82</v>
      </c>
      <c r="B82" s="17">
        <f>IFERROR(SUMIFS('Full List'!B:B,'Full List'!A:A,OR!$A82,'Full List'!E:E,OR!$A$1),"")</f>
        <v>239699</v>
      </c>
      <c r="C82" s="18">
        <f t="shared" si="1"/>
        <v>9.8120636079808393E-2</v>
      </c>
    </row>
    <row r="83" spans="1:6" x14ac:dyDescent="0.15">
      <c r="B83" s="17"/>
      <c r="C83" s="18"/>
      <c r="D83" t="s">
        <v>812</v>
      </c>
      <c r="E83" t="s">
        <v>860</v>
      </c>
    </row>
    <row r="84" spans="1:6" x14ac:dyDescent="0.15">
      <c r="A84" t="s">
        <v>1156</v>
      </c>
      <c r="B84" s="17">
        <v>867498</v>
      </c>
      <c r="C84" s="18">
        <f t="shared" ref="C84:C94" si="2">IFERROR(B84/$B$2,"")</f>
        <v>0.35510976498842972</v>
      </c>
      <c r="D84">
        <v>26</v>
      </c>
      <c r="E84" t="str">
        <f>VLOOKUP(D84,Validation!$A$2:$C$41,3,FALSE)</f>
        <v xml:space="preserve">NBA </v>
      </c>
      <c r="F84" t="s">
        <v>1350</v>
      </c>
    </row>
    <row r="85" spans="1:6" x14ac:dyDescent="0.15">
      <c r="A85" t="s">
        <v>1164</v>
      </c>
      <c r="B85" s="17">
        <v>794913</v>
      </c>
      <c r="C85" s="18">
        <f t="shared" si="2"/>
        <v>0.32539714053086882</v>
      </c>
      <c r="D85">
        <v>5</v>
      </c>
      <c r="E85" t="str">
        <f>VLOOKUP(D85,Validation!$A$2:$C$41,3,FALSE)</f>
        <v>CFB</v>
      </c>
      <c r="F85" t="s">
        <v>1351</v>
      </c>
    </row>
    <row r="86" spans="1:6" x14ac:dyDescent="0.15">
      <c r="A86" t="s">
        <v>1157</v>
      </c>
      <c r="B86" s="17">
        <v>651928</v>
      </c>
      <c r="C86" s="18">
        <f t="shared" si="2"/>
        <v>0.26686632000232513</v>
      </c>
      <c r="D86">
        <v>27</v>
      </c>
      <c r="E86" t="str">
        <f>VLOOKUP(D86,Validation!$A$2:$C$41,3,FALSE)</f>
        <v xml:space="preserve">NFL </v>
      </c>
      <c r="F86" t="s">
        <v>1350</v>
      </c>
    </row>
    <row r="87" spans="1:6" x14ac:dyDescent="0.15">
      <c r="A87" t="s">
        <v>1159</v>
      </c>
      <c r="B87" s="17">
        <v>634887</v>
      </c>
      <c r="C87" s="18">
        <f t="shared" si="2"/>
        <v>0.25989059728576802</v>
      </c>
      <c r="D87">
        <v>5</v>
      </c>
      <c r="E87" t="str">
        <f>VLOOKUP(D87,Validation!$A$2:$C$41,3,FALSE)</f>
        <v>CFB</v>
      </c>
      <c r="F87" t="s">
        <v>1351</v>
      </c>
    </row>
    <row r="88" spans="1:6" x14ac:dyDescent="0.15">
      <c r="A88" t="s">
        <v>1154</v>
      </c>
      <c r="B88" s="17">
        <v>432543</v>
      </c>
      <c r="C88" s="18">
        <f t="shared" si="2"/>
        <v>0.17706120714674889</v>
      </c>
      <c r="D88">
        <v>17</v>
      </c>
      <c r="E88" t="str">
        <f>VLOOKUP(D88,Validation!$A$2:$C$41,3,FALSE)</f>
        <v>MLB</v>
      </c>
      <c r="F88" t="s">
        <v>1351</v>
      </c>
    </row>
    <row r="89" spans="1:6" x14ac:dyDescent="0.15">
      <c r="A89" t="s">
        <v>1163</v>
      </c>
      <c r="B89" s="17">
        <v>389733</v>
      </c>
      <c r="C89" s="18">
        <f t="shared" si="2"/>
        <v>0.15953696035983447</v>
      </c>
      <c r="D89">
        <v>4</v>
      </c>
      <c r="E89" t="str">
        <f>VLOOKUP(D89,Validation!$A$2:$C$41,3,FALSE)</f>
        <v>MCB</v>
      </c>
      <c r="F89" t="s">
        <v>1351</v>
      </c>
    </row>
    <row r="90" spans="1:6" x14ac:dyDescent="0.15">
      <c r="A90" t="s">
        <v>1155</v>
      </c>
      <c r="B90" s="17">
        <v>343930</v>
      </c>
      <c r="C90" s="18">
        <f t="shared" si="2"/>
        <v>0.14078753089052728</v>
      </c>
      <c r="D90">
        <v>18</v>
      </c>
      <c r="E90" t="str">
        <f>VLOOKUP(D90,Validation!$A$2:$C$41,3,FALSE)</f>
        <v>MLS</v>
      </c>
    </row>
    <row r="91" spans="1:6" x14ac:dyDescent="0.15">
      <c r="A91" t="s">
        <v>1158</v>
      </c>
      <c r="B91" s="17">
        <v>327628</v>
      </c>
      <c r="C91" s="18">
        <f t="shared" si="2"/>
        <v>0.13411431736284032</v>
      </c>
      <c r="D91">
        <v>4</v>
      </c>
      <c r="E91" t="str">
        <f>VLOOKUP(D91,Validation!$A$2:$C$41,3,FALSE)</f>
        <v>MCB</v>
      </c>
      <c r="F91" t="s">
        <v>1351</v>
      </c>
    </row>
    <row r="92" spans="1:6" x14ac:dyDescent="0.15">
      <c r="A92" t="s">
        <v>1161</v>
      </c>
      <c r="B92" s="17">
        <v>277297</v>
      </c>
      <c r="C92" s="18">
        <f t="shared" si="2"/>
        <v>0.11351135391896765</v>
      </c>
      <c r="D92">
        <v>3</v>
      </c>
      <c r="E92" t="str">
        <f>VLOOKUP(D92,Validation!$A$2:$C$41,3,FALSE)</f>
        <v>CBB</v>
      </c>
      <c r="F92" t="s">
        <v>1351</v>
      </c>
    </row>
    <row r="93" spans="1:6" x14ac:dyDescent="0.15">
      <c r="A93" t="s">
        <v>1160</v>
      </c>
      <c r="B93" s="17">
        <v>133580</v>
      </c>
      <c r="C93" s="18">
        <f t="shared" si="2"/>
        <v>5.4680889647185864E-2</v>
      </c>
      <c r="D93">
        <v>5</v>
      </c>
      <c r="E93" t="str">
        <f>VLOOKUP(D93,Validation!$A$2:$C$41,3,FALSE)</f>
        <v>CFB</v>
      </c>
      <c r="F93" t="s">
        <v>1350</v>
      </c>
    </row>
    <row r="94" spans="1:6" x14ac:dyDescent="0.15">
      <c r="A94" t="s">
        <v>1162</v>
      </c>
      <c r="B94" s="17">
        <v>76614</v>
      </c>
      <c r="C94" s="18">
        <f t="shared" si="2"/>
        <v>3.136189309349826E-2</v>
      </c>
      <c r="D94">
        <v>4</v>
      </c>
      <c r="E94" t="str">
        <f>VLOOKUP(D94,Validation!$A$2:$C$41,3,FALSE)</f>
        <v>MCB</v>
      </c>
    </row>
    <row r="95" spans="1:6" x14ac:dyDescent="0.15">
      <c r="B95" s="17"/>
      <c r="C95" s="18"/>
    </row>
    <row r="96" spans="1:6" x14ac:dyDescent="0.15">
      <c r="B96" s="17"/>
      <c r="C96" s="18"/>
    </row>
    <row r="97" spans="2:3" x14ac:dyDescent="0.15">
      <c r="B97" s="17"/>
      <c r="C97" s="18"/>
    </row>
    <row r="98" spans="2:3" x14ac:dyDescent="0.15">
      <c r="B98" s="17"/>
      <c r="C98" s="18"/>
    </row>
  </sheetData>
  <pageMargins left="0.7" right="0.7" top="0.75" bottom="0.75" header="0.3" footer="0.3"/>
  <pageSetup orientation="portrait" verticalDpi="0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 enableFormatConditionsCalculation="0"/>
  <dimension ref="A1:F109"/>
  <sheetViews>
    <sheetView topLeftCell="A78" zoomScale="85" zoomScaleNormal="85" zoomScalePageLayoutView="85" workbookViewId="0">
      <selection activeCell="A107" sqref="A107"/>
    </sheetView>
  </sheetViews>
  <sheetFormatPr baseColWidth="10" defaultColWidth="8.83203125" defaultRowHeight="13" x14ac:dyDescent="0.15"/>
  <cols>
    <col min="1" max="1" width="33.33203125" bestFit="1" customWidth="1"/>
    <col min="2" max="2" width="10.5" bestFit="1" customWidth="1"/>
  </cols>
  <sheetData>
    <row r="1" spans="1:3" x14ac:dyDescent="0.15">
      <c r="A1" t="s">
        <v>2</v>
      </c>
      <c r="B1" t="s">
        <v>807</v>
      </c>
      <c r="C1" t="s">
        <v>811</v>
      </c>
    </row>
    <row r="2" spans="1:3" x14ac:dyDescent="0.15">
      <c r="A2" t="s">
        <v>0</v>
      </c>
      <c r="B2" s="17">
        <f>IFERROR(SUMIFS('Full List'!B:B,'Full List'!A:A,PA!$A2,'Full List'!E:E,PA!$A$1),"")</f>
        <v>11408273</v>
      </c>
      <c r="C2" s="18">
        <f>IFERROR(B2/$B$2,"")</f>
        <v>1</v>
      </c>
    </row>
    <row r="3" spans="1:3" x14ac:dyDescent="0.15">
      <c r="A3" t="s">
        <v>3</v>
      </c>
      <c r="B3" s="17">
        <f>IFERROR(SUMIFS('Full List'!B:B,'Full List'!A:A,PA!$A3,'Full List'!E:E,PA!$A$1),"")</f>
        <v>119536</v>
      </c>
      <c r="C3" s="18">
        <f t="shared" ref="C3:C66" si="0">IFERROR(B3/$B$2,"")</f>
        <v>1.0478010124757709E-2</v>
      </c>
    </row>
    <row r="4" spans="1:3" x14ac:dyDescent="0.15">
      <c r="A4" t="s">
        <v>4</v>
      </c>
      <c r="B4" s="17">
        <f>IFERROR(SUMIFS('Full List'!B:B,'Full List'!A:A,PA!$A4,'Full List'!E:E,PA!$A$1),"")</f>
        <v>172388</v>
      </c>
      <c r="C4" s="18">
        <f t="shared" si="0"/>
        <v>1.5110788460269141E-2</v>
      </c>
    </row>
    <row r="5" spans="1:3" x14ac:dyDescent="0.15">
      <c r="A5" t="s">
        <v>5</v>
      </c>
      <c r="B5" s="17">
        <f>IFERROR(SUMIFS('Full List'!B:B,'Full List'!A:A,PA!$A5,'Full List'!E:E,PA!$A$1),"")</f>
        <v>239968</v>
      </c>
      <c r="C5" s="18">
        <f t="shared" si="0"/>
        <v>2.1034559744494193E-2</v>
      </c>
    </row>
    <row r="6" spans="1:3" x14ac:dyDescent="0.15">
      <c r="A6" t="s">
        <v>6</v>
      </c>
      <c r="B6" s="17">
        <f>IFERROR(SUMIFS('Full List'!B:B,'Full List'!A:A,PA!$A6,'Full List'!E:E,PA!$A$1),"")</f>
        <v>908448</v>
      </c>
      <c r="C6" s="18">
        <f t="shared" si="0"/>
        <v>7.9630632962587766E-2</v>
      </c>
    </row>
    <row r="7" spans="1:3" x14ac:dyDescent="0.15">
      <c r="A7" t="s">
        <v>7</v>
      </c>
      <c r="B7" s="17">
        <f>IFERROR(SUMIFS('Full List'!B:B,'Full List'!A:A,PA!$A7,'Full List'!E:E,PA!$A$1),"")</f>
        <v>1737006</v>
      </c>
      <c r="C7" s="18">
        <f t="shared" si="0"/>
        <v>0.1522584531418559</v>
      </c>
    </row>
    <row r="8" spans="1:3" x14ac:dyDescent="0.15">
      <c r="A8" t="s">
        <v>8</v>
      </c>
      <c r="B8" s="17">
        <f>IFERROR(SUMIFS('Full List'!B:B,'Full List'!A:A,PA!$A8,'Full List'!E:E,PA!$A$1),"")</f>
        <v>111947</v>
      </c>
      <c r="C8" s="18">
        <f t="shared" si="0"/>
        <v>9.812791120969843E-3</v>
      </c>
    </row>
    <row r="9" spans="1:3" x14ac:dyDescent="0.15">
      <c r="A9" t="s">
        <v>9</v>
      </c>
      <c r="B9" s="17">
        <f>IFERROR(SUMIFS('Full List'!B:B,'Full List'!A:A,PA!$A9,'Full List'!E:E,PA!$A$1),"")</f>
        <v>188739</v>
      </c>
      <c r="C9" s="18">
        <f t="shared" si="0"/>
        <v>1.6544046587945432E-2</v>
      </c>
    </row>
    <row r="10" spans="1:3" x14ac:dyDescent="0.15">
      <c r="A10" t="s">
        <v>10</v>
      </c>
      <c r="B10" s="17">
        <f>IFERROR(SUMIFS('Full List'!B:B,'Full List'!A:A,PA!$A10,'Full List'!E:E,PA!$A$1),"")</f>
        <v>190665</v>
      </c>
      <c r="C10" s="18">
        <f t="shared" si="0"/>
        <v>1.6712871439875255E-2</v>
      </c>
    </row>
    <row r="11" spans="1:3" x14ac:dyDescent="0.15">
      <c r="A11" t="s">
        <v>11</v>
      </c>
      <c r="B11" s="17">
        <f>IFERROR(SUMIFS('Full List'!B:B,'Full List'!A:A,PA!$A11,'Full List'!E:E,PA!$A$1),"")</f>
        <v>554903</v>
      </c>
      <c r="C11" s="18">
        <f t="shared" si="0"/>
        <v>4.8640403328356535E-2</v>
      </c>
    </row>
    <row r="12" spans="1:3" x14ac:dyDescent="0.15">
      <c r="A12" t="s">
        <v>12</v>
      </c>
      <c r="B12" s="17">
        <f>IFERROR(SUMIFS('Full List'!B:B,'Full List'!A:A,PA!$A12,'Full List'!E:E,PA!$A$1),"")</f>
        <v>131435</v>
      </c>
      <c r="C12" s="18">
        <f t="shared" si="0"/>
        <v>1.152102513675821E-2</v>
      </c>
    </row>
    <row r="13" spans="1:3" x14ac:dyDescent="0.15">
      <c r="A13" t="s">
        <v>13</v>
      </c>
      <c r="B13" s="17">
        <f>IFERROR(SUMIFS('Full List'!B:B,'Full List'!A:A,PA!$A13,'Full List'!E:E,PA!$A$1),"")</f>
        <v>50126</v>
      </c>
      <c r="C13" s="18">
        <f t="shared" si="0"/>
        <v>4.3938289344934156E-3</v>
      </c>
    </row>
    <row r="14" spans="1:3" x14ac:dyDescent="0.15">
      <c r="A14" t="s">
        <v>14</v>
      </c>
      <c r="B14" s="17">
        <f>IFERROR(SUMIFS('Full List'!B:B,'Full List'!A:A,PA!$A14,'Full List'!E:E,PA!$A$1),"")</f>
        <v>654751</v>
      </c>
      <c r="C14" s="18">
        <f t="shared" si="0"/>
        <v>5.7392648300053827E-2</v>
      </c>
    </row>
    <row r="15" spans="1:3" x14ac:dyDescent="0.15">
      <c r="A15" t="s">
        <v>15</v>
      </c>
      <c r="B15" s="17">
        <f>IFERROR(SUMIFS('Full List'!B:B,'Full List'!A:A,PA!$A15,'Full List'!E:E,PA!$A$1),"")</f>
        <v>619671</v>
      </c>
      <c r="C15" s="18">
        <f t="shared" si="0"/>
        <v>5.4317686822536591E-2</v>
      </c>
    </row>
    <row r="16" spans="1:3" x14ac:dyDescent="0.15">
      <c r="A16" t="s">
        <v>16</v>
      </c>
      <c r="B16" s="17">
        <f>IFERROR(SUMIFS('Full List'!B:B,'Full List'!A:A,PA!$A16,'Full List'!E:E,PA!$A$1),"")</f>
        <v>364579</v>
      </c>
      <c r="C16" s="18">
        <f t="shared" si="0"/>
        <v>3.1957422477530119E-2</v>
      </c>
    </row>
    <row r="17" spans="1:3" x14ac:dyDescent="0.15">
      <c r="A17" t="s">
        <v>17</v>
      </c>
      <c r="B17" s="17">
        <f>IFERROR(SUMIFS('Full List'!B:B,'Full List'!A:A,PA!$A17,'Full List'!E:E,PA!$A$1),"")</f>
        <v>160919</v>
      </c>
      <c r="C17" s="18">
        <f t="shared" si="0"/>
        <v>1.4105465393403542E-2</v>
      </c>
    </row>
    <row r="18" spans="1:3" x14ac:dyDescent="0.15">
      <c r="A18" t="s">
        <v>18</v>
      </c>
      <c r="B18" s="17">
        <f>IFERROR(SUMIFS('Full List'!B:B,'Full List'!A:A,PA!$A18,'Full List'!E:E,PA!$A$1),"")</f>
        <v>150676</v>
      </c>
      <c r="C18" s="18">
        <f t="shared" si="0"/>
        <v>1.3207608198015598E-2</v>
      </c>
    </row>
    <row r="19" spans="1:3" x14ac:dyDescent="0.15">
      <c r="A19" t="s">
        <v>19</v>
      </c>
      <c r="B19" s="17">
        <f>IFERROR(SUMIFS('Full List'!B:B,'Full List'!A:A,PA!$A19,'Full List'!E:E,PA!$A$1),"")</f>
        <v>2400288</v>
      </c>
      <c r="C19" s="18">
        <f t="shared" si="0"/>
        <v>0.21039889210224896</v>
      </c>
    </row>
    <row r="20" spans="1:3" x14ac:dyDescent="0.15">
      <c r="A20" t="s">
        <v>20</v>
      </c>
      <c r="B20" s="17">
        <f>IFERROR(SUMIFS('Full List'!B:B,'Full List'!A:A,PA!$A20,'Full List'!E:E,PA!$A$1),"")</f>
        <v>184481</v>
      </c>
      <c r="C20" s="18">
        <f t="shared" si="0"/>
        <v>1.6170808675423528E-2</v>
      </c>
    </row>
    <row r="21" spans="1:3" x14ac:dyDescent="0.15">
      <c r="A21" t="s">
        <v>21</v>
      </c>
      <c r="B21" s="17">
        <f>IFERROR(SUMIFS('Full List'!B:B,'Full List'!A:A,PA!$A21,'Full List'!E:E,PA!$A$1),"")</f>
        <v>232035</v>
      </c>
      <c r="C21" s="18">
        <f t="shared" si="0"/>
        <v>2.0339187184598404E-2</v>
      </c>
    </row>
    <row r="22" spans="1:3" x14ac:dyDescent="0.15">
      <c r="A22" t="s">
        <v>22</v>
      </c>
      <c r="B22" s="17">
        <f>IFERROR(SUMIFS('Full List'!B:B,'Full List'!A:A,PA!$A22,'Full List'!E:E,PA!$A$1),"")</f>
        <v>71929</v>
      </c>
      <c r="C22" s="18">
        <f t="shared" si="0"/>
        <v>6.304985864205739E-3</v>
      </c>
    </row>
    <row r="23" spans="1:3" x14ac:dyDescent="0.15">
      <c r="A23" t="s">
        <v>23</v>
      </c>
      <c r="B23" s="17">
        <f>IFERROR(SUMIFS('Full List'!B:B,'Full List'!A:A,PA!$A23,'Full List'!E:E,PA!$A$1),"")</f>
        <v>235782</v>
      </c>
      <c r="C23" s="18">
        <f t="shared" si="0"/>
        <v>2.0667633041390226E-2</v>
      </c>
    </row>
    <row r="24" spans="1:3" x14ac:dyDescent="0.15">
      <c r="A24" t="s">
        <v>24</v>
      </c>
      <c r="B24" s="17">
        <f>IFERROR(SUMIFS('Full List'!B:B,'Full List'!A:A,PA!$A24,'Full List'!E:E,PA!$A$1),"")</f>
        <v>101832</v>
      </c>
      <c r="C24" s="18">
        <f t="shared" si="0"/>
        <v>8.9261538534360103E-3</v>
      </c>
    </row>
    <row r="25" spans="1:3" x14ac:dyDescent="0.15">
      <c r="A25" t="s">
        <v>25</v>
      </c>
      <c r="B25" s="17">
        <f>IFERROR(SUMIFS('Full List'!B:B,'Full List'!A:A,PA!$A25,'Full List'!E:E,PA!$A$1),"")</f>
        <v>206080</v>
      </c>
      <c r="C25" s="18">
        <f t="shared" si="0"/>
        <v>1.8064083845118362E-2</v>
      </c>
    </row>
    <row r="26" spans="1:3" x14ac:dyDescent="0.15">
      <c r="A26" t="s">
        <v>26</v>
      </c>
      <c r="B26" s="17">
        <f>IFERROR(SUMIFS('Full List'!B:B,'Full List'!A:A,PA!$A26,'Full List'!E:E,PA!$A$1),"")</f>
        <v>75263</v>
      </c>
      <c r="C26" s="18">
        <f t="shared" si="0"/>
        <v>6.5972299225307805E-3</v>
      </c>
    </row>
    <row r="27" spans="1:3" x14ac:dyDescent="0.15">
      <c r="A27" t="s">
        <v>27</v>
      </c>
      <c r="B27" s="17">
        <f>IFERROR(SUMIFS('Full List'!B:B,'Full List'!A:A,PA!$A27,'Full List'!E:E,PA!$A$1),"")</f>
        <v>772354</v>
      </c>
      <c r="C27" s="18">
        <f t="shared" si="0"/>
        <v>6.7701219983077196E-2</v>
      </c>
    </row>
    <row r="28" spans="1:3" x14ac:dyDescent="0.15">
      <c r="A28" t="s">
        <v>28</v>
      </c>
      <c r="B28" s="17">
        <f>IFERROR(SUMIFS('Full List'!B:B,'Full List'!A:A,PA!$A28,'Full List'!E:E,PA!$A$1),"")</f>
        <v>665202</v>
      </c>
      <c r="C28" s="18">
        <f t="shared" si="0"/>
        <v>5.8308737878204703E-2</v>
      </c>
    </row>
    <row r="29" spans="1:3" x14ac:dyDescent="0.15">
      <c r="A29" t="s">
        <v>29</v>
      </c>
      <c r="B29" s="17">
        <f>IFERROR(SUMIFS('Full List'!B:B,'Full List'!A:A,PA!$A29,'Full List'!E:E,PA!$A$1),"")</f>
        <v>3730378</v>
      </c>
      <c r="C29" s="18">
        <f t="shared" si="0"/>
        <v>0.32698884397314126</v>
      </c>
    </row>
    <row r="30" spans="1:3" x14ac:dyDescent="0.15">
      <c r="A30" t="s">
        <v>30</v>
      </c>
      <c r="B30" s="17">
        <f>IFERROR(SUMIFS('Full List'!B:B,'Full List'!A:A,PA!$A30,'Full List'!E:E,PA!$A$1),"")</f>
        <v>1374627</v>
      </c>
      <c r="C30" s="18">
        <f t="shared" si="0"/>
        <v>0.12049387317431833</v>
      </c>
    </row>
    <row r="31" spans="1:3" x14ac:dyDescent="0.15">
      <c r="A31" t="s">
        <v>31</v>
      </c>
      <c r="B31" s="17">
        <f>IFERROR(SUMIFS('Full List'!B:B,'Full List'!A:A,PA!$A31,'Full List'!E:E,PA!$A$1),"")</f>
        <v>73766</v>
      </c>
      <c r="C31" s="18">
        <f t="shared" si="0"/>
        <v>6.4660093600495006E-3</v>
      </c>
    </row>
    <row r="32" spans="1:3" x14ac:dyDescent="0.15">
      <c r="A32" t="s">
        <v>32</v>
      </c>
      <c r="B32" s="17">
        <f>IFERROR(SUMIFS('Full List'!B:B,'Full List'!A:A,PA!$A32,'Full List'!E:E,PA!$A$1),"")</f>
        <v>221363</v>
      </c>
      <c r="C32" s="18">
        <f t="shared" si="0"/>
        <v>1.9403725699761919E-2</v>
      </c>
    </row>
    <row r="33" spans="1:3" x14ac:dyDescent="0.15">
      <c r="A33" t="s">
        <v>33</v>
      </c>
      <c r="B33" s="17">
        <f>IFERROR(SUMIFS('Full List'!B:B,'Full List'!A:A,PA!$A33,'Full List'!E:E,PA!$A$1),"")</f>
        <v>2814386</v>
      </c>
      <c r="C33" s="18">
        <f t="shared" si="0"/>
        <v>0.24669693651265182</v>
      </c>
    </row>
    <row r="34" spans="1:3" x14ac:dyDescent="0.15">
      <c r="A34" t="s">
        <v>34</v>
      </c>
      <c r="B34" s="17">
        <f>IFERROR(SUMIFS('Full List'!B:B,'Full List'!A:A,PA!$A34,'Full List'!E:E,PA!$A$1),"")</f>
        <v>771856</v>
      </c>
      <c r="C34" s="18">
        <f t="shared" si="0"/>
        <v>6.7657567451269787E-2</v>
      </c>
    </row>
    <row r="35" spans="1:3" x14ac:dyDescent="0.15">
      <c r="A35" t="s">
        <v>35</v>
      </c>
      <c r="B35" s="17">
        <f>IFERROR(SUMIFS('Full List'!B:B,'Full List'!A:A,PA!$A35,'Full List'!E:E,PA!$A$1),"")</f>
        <v>539908</v>
      </c>
      <c r="C35" s="18">
        <f t="shared" si="0"/>
        <v>4.7326006311384727E-2</v>
      </c>
    </row>
    <row r="36" spans="1:3" x14ac:dyDescent="0.15">
      <c r="A36" t="s">
        <v>36</v>
      </c>
      <c r="B36" s="17">
        <f>IFERROR(SUMIFS('Full List'!B:B,'Full List'!A:A,PA!$A36,'Full List'!E:E,PA!$A$1),"")</f>
        <v>115795</v>
      </c>
      <c r="C36" s="18">
        <f t="shared" si="0"/>
        <v>1.015009020208405E-2</v>
      </c>
    </row>
    <row r="37" spans="1:3" x14ac:dyDescent="0.15">
      <c r="A37" t="s">
        <v>37</v>
      </c>
      <c r="B37" s="17">
        <f>IFERROR(SUMIFS('Full List'!B:B,'Full List'!A:A,PA!$A37,'Full List'!E:E,PA!$A$1),"")</f>
        <v>86386</v>
      </c>
      <c r="C37" s="18">
        <f t="shared" si="0"/>
        <v>7.572224121915736E-3</v>
      </c>
    </row>
    <row r="38" spans="1:3" x14ac:dyDescent="0.15">
      <c r="A38" t="s">
        <v>38</v>
      </c>
      <c r="B38" s="17">
        <f>IFERROR(SUMIFS('Full List'!B:B,'Full List'!A:A,PA!$A38,'Full List'!E:E,PA!$A$1),"")</f>
        <v>159484</v>
      </c>
      <c r="C38" s="18">
        <f t="shared" si="0"/>
        <v>1.3979679483476596E-2</v>
      </c>
    </row>
    <row r="39" spans="1:3" x14ac:dyDescent="0.15">
      <c r="A39" t="s">
        <v>39</v>
      </c>
      <c r="B39" s="17">
        <f>IFERROR(SUMIFS('Full List'!B:B,'Full List'!A:A,PA!$A39,'Full List'!E:E,PA!$A$1),"")</f>
        <v>320091</v>
      </c>
      <c r="C39" s="18">
        <f t="shared" si="0"/>
        <v>2.8057796302735742E-2</v>
      </c>
    </row>
    <row r="40" spans="1:3" x14ac:dyDescent="0.15">
      <c r="A40" t="s">
        <v>40</v>
      </c>
      <c r="B40" s="17">
        <f>IFERROR(SUMIFS('Full List'!B:B,'Full List'!A:A,PA!$A40,'Full List'!E:E,PA!$A$1),"")</f>
        <v>112190</v>
      </c>
      <c r="C40" s="18">
        <f t="shared" si="0"/>
        <v>9.8340914527553815E-3</v>
      </c>
    </row>
    <row r="41" spans="1:3" x14ac:dyDescent="0.15">
      <c r="A41" t="s">
        <v>41</v>
      </c>
      <c r="B41" s="17">
        <f>IFERROR(SUMIFS('Full List'!B:B,'Full List'!A:A,PA!$A41,'Full List'!E:E,PA!$A$1),"")</f>
        <v>258978</v>
      </c>
      <c r="C41" s="18">
        <f t="shared" si="0"/>
        <v>2.2700894342202366E-2</v>
      </c>
    </row>
    <row r="42" spans="1:3" x14ac:dyDescent="0.15">
      <c r="A42" t="s">
        <v>42</v>
      </c>
      <c r="B42" s="17">
        <f>IFERROR(SUMIFS('Full List'!B:B,'Full List'!A:A,PA!$A42,'Full List'!E:E,PA!$A$1),"")</f>
        <v>310788</v>
      </c>
      <c r="C42" s="18">
        <f t="shared" si="0"/>
        <v>2.7242335452526426E-2</v>
      </c>
    </row>
    <row r="43" spans="1:3" x14ac:dyDescent="0.15">
      <c r="A43" t="s">
        <v>43</v>
      </c>
      <c r="B43" s="17">
        <f>IFERROR(SUMIFS('Full List'!B:B,'Full List'!A:A,PA!$A43,'Full List'!E:E,PA!$A$1),"")</f>
        <v>874079</v>
      </c>
      <c r="C43" s="18">
        <f t="shared" si="0"/>
        <v>7.6617994678072662E-2</v>
      </c>
    </row>
    <row r="44" spans="1:3" x14ac:dyDescent="0.15">
      <c r="A44" t="s">
        <v>44</v>
      </c>
      <c r="B44" s="17">
        <f>IFERROR(SUMIFS('Full List'!B:B,'Full List'!A:A,PA!$A44,'Full List'!E:E,PA!$A$1),"")</f>
        <v>1379409</v>
      </c>
      <c r="C44" s="18">
        <f t="shared" si="0"/>
        <v>0.120913042666493</v>
      </c>
    </row>
    <row r="45" spans="1:3" x14ac:dyDescent="0.15">
      <c r="A45" t="s">
        <v>45</v>
      </c>
      <c r="B45" s="17">
        <f>IFERROR(SUMIFS('Full List'!B:B,'Full List'!A:A,PA!$A45,'Full List'!E:E,PA!$A$1),"")</f>
        <v>1768742</v>
      </c>
      <c r="C45" s="18">
        <f t="shared" si="0"/>
        <v>0.15504029400418451</v>
      </c>
    </row>
    <row r="46" spans="1:3" x14ac:dyDescent="0.15">
      <c r="A46" t="s">
        <v>46</v>
      </c>
      <c r="B46" s="17">
        <f>IFERROR(SUMIFS('Full List'!B:B,'Full List'!A:A,PA!$A46,'Full List'!E:E,PA!$A$1),"")</f>
        <v>3319673</v>
      </c>
      <c r="C46" s="18">
        <f t="shared" si="0"/>
        <v>0.29098821530655866</v>
      </c>
    </row>
    <row r="47" spans="1:3" x14ac:dyDescent="0.15">
      <c r="A47" t="s">
        <v>47</v>
      </c>
      <c r="B47" s="17">
        <f>IFERROR(SUMIFS('Full List'!B:B,'Full List'!A:A,PA!$A47,'Full List'!E:E,PA!$A$1),"")</f>
        <v>4685190</v>
      </c>
      <c r="C47" s="18">
        <f t="shared" si="0"/>
        <v>0.41068354517813521</v>
      </c>
    </row>
    <row r="48" spans="1:3" x14ac:dyDescent="0.15">
      <c r="A48" t="s">
        <v>48</v>
      </c>
      <c r="B48" s="17">
        <f>IFERROR(SUMIFS('Full List'!B:B,'Full List'!A:A,PA!$A48,'Full List'!E:E,PA!$A$1),"")</f>
        <v>1094707</v>
      </c>
      <c r="C48" s="18">
        <f t="shared" si="0"/>
        <v>9.5957293448359807E-2</v>
      </c>
    </row>
    <row r="49" spans="1:3" x14ac:dyDescent="0.15">
      <c r="A49" t="s">
        <v>49</v>
      </c>
      <c r="B49" s="17">
        <f>IFERROR(SUMIFS('Full List'!B:B,'Full List'!A:A,PA!$A49,'Full List'!E:E,PA!$A$1),"")</f>
        <v>1257327</v>
      </c>
      <c r="C49" s="18">
        <f t="shared" si="0"/>
        <v>0.11021186116426211</v>
      </c>
    </row>
    <row r="50" spans="1:3" x14ac:dyDescent="0.15">
      <c r="A50" t="s">
        <v>50</v>
      </c>
      <c r="B50" s="17">
        <f>IFERROR(SUMIFS('Full List'!B:B,'Full List'!A:A,PA!$A50,'Full List'!E:E,PA!$A$1),"")</f>
        <v>1704907</v>
      </c>
      <c r="C50" s="18">
        <f t="shared" si="0"/>
        <v>0.14944479326537854</v>
      </c>
    </row>
    <row r="51" spans="1:3" x14ac:dyDescent="0.15">
      <c r="A51" t="s">
        <v>51</v>
      </c>
      <c r="B51" s="17">
        <f>IFERROR(SUMIFS('Full List'!B:B,'Full List'!A:A,PA!$A51,'Full List'!E:E,PA!$A$1),"")</f>
        <v>3550788</v>
      </c>
      <c r="C51" s="18">
        <f t="shared" si="0"/>
        <v>0.31124675925970563</v>
      </c>
    </row>
    <row r="52" spans="1:3" x14ac:dyDescent="0.15">
      <c r="A52" t="s">
        <v>52</v>
      </c>
      <c r="B52" s="17">
        <f>IFERROR(SUMIFS('Full List'!B:B,'Full List'!A:A,PA!$A52,'Full List'!E:E,PA!$A$1),"")</f>
        <v>1180832</v>
      </c>
      <c r="C52" s="18">
        <f t="shared" si="0"/>
        <v>0.10350663943613551</v>
      </c>
    </row>
    <row r="53" spans="1:3" x14ac:dyDescent="0.15">
      <c r="A53" t="s">
        <v>53</v>
      </c>
      <c r="B53" s="17">
        <f>IFERROR(SUMIFS('Full List'!B:B,'Full List'!A:A,PA!$A53,'Full List'!E:E,PA!$A$1),"")</f>
        <v>789887</v>
      </c>
      <c r="C53" s="18">
        <f t="shared" si="0"/>
        <v>6.9238087132031292E-2</v>
      </c>
    </row>
    <row r="54" spans="1:3" x14ac:dyDescent="0.15">
      <c r="A54" t="s">
        <v>54</v>
      </c>
      <c r="B54" s="17">
        <f>IFERROR(SUMIFS('Full List'!B:B,'Full List'!A:A,PA!$A54,'Full List'!E:E,PA!$A$1),"")</f>
        <v>3870124</v>
      </c>
      <c r="C54" s="18">
        <f t="shared" si="0"/>
        <v>0.33923837551923941</v>
      </c>
    </row>
    <row r="55" spans="1:3" x14ac:dyDescent="0.15">
      <c r="A55" t="s">
        <v>55</v>
      </c>
      <c r="B55" s="17">
        <f>IFERROR(SUMIFS('Full List'!B:B,'Full List'!A:A,PA!$A55,'Full List'!E:E,PA!$A$1),"")</f>
        <v>3248018</v>
      </c>
      <c r="C55" s="18">
        <f t="shared" si="0"/>
        <v>0.28470724710041562</v>
      </c>
    </row>
    <row r="56" spans="1:3" x14ac:dyDescent="0.15">
      <c r="A56" t="s">
        <v>56</v>
      </c>
      <c r="B56" s="17">
        <f>IFERROR(SUMIFS('Full List'!B:B,'Full List'!A:A,PA!$A56,'Full List'!E:E,PA!$A$1),"")</f>
        <v>2428494</v>
      </c>
      <c r="C56" s="18">
        <f t="shared" si="0"/>
        <v>0.21287130839172591</v>
      </c>
    </row>
    <row r="57" spans="1:3" x14ac:dyDescent="0.15">
      <c r="A57" t="s">
        <v>57</v>
      </c>
      <c r="B57" s="17">
        <f>IFERROR(SUMIFS('Full List'!B:B,'Full List'!A:A,PA!$A57,'Full List'!E:E,PA!$A$1),"")</f>
        <v>1455865</v>
      </c>
      <c r="C57" s="18">
        <f t="shared" si="0"/>
        <v>0.12761484582285154</v>
      </c>
    </row>
    <row r="58" spans="1:3" x14ac:dyDescent="0.15">
      <c r="A58" t="s">
        <v>58</v>
      </c>
      <c r="B58" s="17">
        <f>IFERROR(SUMIFS('Full List'!B:B,'Full List'!A:A,PA!$A58,'Full List'!E:E,PA!$A$1),"")</f>
        <v>1315771</v>
      </c>
      <c r="C58" s="18">
        <f t="shared" si="0"/>
        <v>0.1153348100979</v>
      </c>
    </row>
    <row r="59" spans="1:3" x14ac:dyDescent="0.15">
      <c r="A59" t="s">
        <v>59</v>
      </c>
      <c r="B59" s="17">
        <f>IFERROR(SUMIFS('Full List'!B:B,'Full List'!A:A,PA!$A59,'Full List'!E:E,PA!$A$1),"")</f>
        <v>6439486</v>
      </c>
      <c r="C59" s="18">
        <f t="shared" si="0"/>
        <v>0.56445756513715972</v>
      </c>
    </row>
    <row r="60" spans="1:3" x14ac:dyDescent="0.15">
      <c r="A60" t="s">
        <v>60</v>
      </c>
      <c r="B60" s="17">
        <f>IFERROR(SUMIFS('Full List'!B:B,'Full List'!A:A,PA!$A60,'Full List'!E:E,PA!$A$1),"")</f>
        <v>1723977</v>
      </c>
      <c r="C60" s="18">
        <f t="shared" si="0"/>
        <v>0.15111638720426834</v>
      </c>
    </row>
    <row r="61" spans="1:3" x14ac:dyDescent="0.15">
      <c r="A61" t="s">
        <v>61</v>
      </c>
      <c r="B61" s="17">
        <f>IFERROR(SUMIFS('Full List'!B:B,'Full List'!A:A,PA!$A61,'Full List'!E:E,PA!$A$1),"")</f>
        <v>1678141</v>
      </c>
      <c r="C61" s="18">
        <f t="shared" si="0"/>
        <v>0.14709860116426035</v>
      </c>
    </row>
    <row r="62" spans="1:3" x14ac:dyDescent="0.15">
      <c r="A62" t="s">
        <v>62</v>
      </c>
      <c r="B62" s="17">
        <f>IFERROR(SUMIFS('Full List'!B:B,'Full List'!A:A,PA!$A62,'Full List'!E:E,PA!$A$1),"")</f>
        <v>573561</v>
      </c>
      <c r="C62" s="18">
        <f t="shared" si="0"/>
        <v>5.0275883124465903E-2</v>
      </c>
    </row>
    <row r="63" spans="1:3" x14ac:dyDescent="0.15">
      <c r="A63" t="s">
        <v>63</v>
      </c>
      <c r="B63" s="17">
        <f>IFERROR(SUMIFS('Full List'!B:B,'Full List'!A:A,PA!$A63,'Full List'!E:E,PA!$A$1),"")</f>
        <v>1842963</v>
      </c>
      <c r="C63" s="18">
        <f t="shared" si="0"/>
        <v>0.16154618670152793</v>
      </c>
    </row>
    <row r="64" spans="1:3" x14ac:dyDescent="0.15">
      <c r="A64" t="s">
        <v>64</v>
      </c>
      <c r="B64" s="17">
        <f>IFERROR(SUMIFS('Full List'!B:B,'Full List'!A:A,PA!$A64,'Full List'!E:E,PA!$A$1),"")</f>
        <v>977484</v>
      </c>
      <c r="C64" s="18">
        <f t="shared" si="0"/>
        <v>8.5682030926153327E-2</v>
      </c>
    </row>
    <row r="65" spans="1:3" x14ac:dyDescent="0.15">
      <c r="A65" t="s">
        <v>65</v>
      </c>
      <c r="B65" s="17">
        <f>IFERROR(SUMIFS('Full List'!B:B,'Full List'!A:A,PA!$A65,'Full List'!E:E,PA!$A$1),"")</f>
        <v>1449002</v>
      </c>
      <c r="C65" s="18">
        <f t="shared" si="0"/>
        <v>0.1270132648473612</v>
      </c>
    </row>
    <row r="66" spans="1:3" x14ac:dyDescent="0.15">
      <c r="A66" t="s">
        <v>66</v>
      </c>
      <c r="B66" s="17">
        <f>IFERROR(SUMIFS('Full List'!B:B,'Full List'!A:A,PA!$A66,'Full List'!E:E,PA!$A$1),"")</f>
        <v>733404</v>
      </c>
      <c r="C66" s="18">
        <f t="shared" si="0"/>
        <v>6.4287030999345823E-2</v>
      </c>
    </row>
    <row r="67" spans="1:3" x14ac:dyDescent="0.15">
      <c r="A67" t="s">
        <v>67</v>
      </c>
      <c r="B67" s="17">
        <f>IFERROR(SUMIFS('Full List'!B:B,'Full List'!A:A,PA!$A67,'Full List'!E:E,PA!$A$1),"")</f>
        <v>2964203</v>
      </c>
      <c r="C67" s="18">
        <f t="shared" ref="C67:C82" si="1">IFERROR(B67/$B$2,"")</f>
        <v>0.25982924847608396</v>
      </c>
    </row>
    <row r="68" spans="1:3" x14ac:dyDescent="0.15">
      <c r="A68" t="s">
        <v>68</v>
      </c>
      <c r="B68" s="17">
        <f>IFERROR(SUMIFS('Full List'!B:B,'Full List'!A:A,PA!$A68,'Full List'!E:E,PA!$A$1),"")</f>
        <v>3067010</v>
      </c>
      <c r="C68" s="18">
        <f t="shared" si="1"/>
        <v>0.2688408666237212</v>
      </c>
    </row>
    <row r="69" spans="1:3" x14ac:dyDescent="0.15">
      <c r="A69" t="s">
        <v>69</v>
      </c>
      <c r="B69" s="17">
        <f>IFERROR(SUMIFS('Full List'!B:B,'Full List'!A:A,PA!$A69,'Full List'!E:E,PA!$A$1),"")</f>
        <v>7766646</v>
      </c>
      <c r="C69" s="18">
        <f t="shared" si="1"/>
        <v>0.68079068584701641</v>
      </c>
    </row>
    <row r="70" spans="1:3" x14ac:dyDescent="0.15">
      <c r="A70" t="s">
        <v>70</v>
      </c>
      <c r="B70" s="17">
        <f>IFERROR(SUMIFS('Full List'!B:B,'Full List'!A:A,PA!$A70,'Full List'!E:E,PA!$A$1),"")</f>
        <v>4340071</v>
      </c>
      <c r="C70" s="18">
        <f t="shared" si="1"/>
        <v>0.38043190235717533</v>
      </c>
    </row>
    <row r="71" spans="1:3" x14ac:dyDescent="0.15">
      <c r="A71" t="s">
        <v>71</v>
      </c>
      <c r="B71" s="17">
        <f>IFERROR(SUMIFS('Full List'!B:B,'Full List'!A:A,PA!$A71,'Full List'!E:E,PA!$A$1),"")</f>
        <v>479947</v>
      </c>
      <c r="C71" s="18">
        <f t="shared" si="1"/>
        <v>4.2070083701538349E-2</v>
      </c>
    </row>
    <row r="72" spans="1:3" x14ac:dyDescent="0.15">
      <c r="A72" t="s">
        <v>72</v>
      </c>
      <c r="B72" s="17">
        <f>IFERROR(SUMIFS('Full List'!B:B,'Full List'!A:A,PA!$A72,'Full List'!E:E,PA!$A$1),"")</f>
        <v>1323330</v>
      </c>
      <c r="C72" s="18">
        <f t="shared" si="1"/>
        <v>0.11599739943109706</v>
      </c>
    </row>
    <row r="73" spans="1:3" x14ac:dyDescent="0.15">
      <c r="A73" t="s">
        <v>73</v>
      </c>
      <c r="B73" s="17">
        <f>IFERROR(SUMIFS('Full List'!B:B,'Full List'!A:A,PA!$A73,'Full List'!E:E,PA!$A$1),"")</f>
        <v>6951365</v>
      </c>
      <c r="C73" s="18">
        <f t="shared" si="1"/>
        <v>0.6093266702155532</v>
      </c>
    </row>
    <row r="74" spans="1:3" x14ac:dyDescent="0.15">
      <c r="A74" t="s">
        <v>74</v>
      </c>
      <c r="B74" s="17">
        <f>IFERROR(SUMIFS('Full List'!B:B,'Full List'!A:A,PA!$A74,'Full List'!E:E,PA!$A$1),"")</f>
        <v>2831259</v>
      </c>
      <c r="C74" s="18">
        <f t="shared" si="1"/>
        <v>0.24817595090860817</v>
      </c>
    </row>
    <row r="75" spans="1:3" x14ac:dyDescent="0.15">
      <c r="A75" t="s">
        <v>75</v>
      </c>
      <c r="B75" s="17">
        <f>IFERROR(SUMIFS('Full List'!B:B,'Full List'!A:A,PA!$A75,'Full List'!E:E,PA!$A$1),"")</f>
        <v>2125818</v>
      </c>
      <c r="C75" s="18">
        <f t="shared" si="1"/>
        <v>0.18634003586695375</v>
      </c>
    </row>
    <row r="76" spans="1:3" x14ac:dyDescent="0.15">
      <c r="A76" t="s">
        <v>76</v>
      </c>
      <c r="B76" s="17">
        <f>IFERROR(SUMIFS('Full List'!B:B,'Full List'!A:A,PA!$A76,'Full List'!E:E,PA!$A$1),"")</f>
        <v>982197</v>
      </c>
      <c r="C76" s="18">
        <f t="shared" si="1"/>
        <v>8.6095152175969136E-2</v>
      </c>
    </row>
    <row r="77" spans="1:3" x14ac:dyDescent="0.15">
      <c r="A77" t="s">
        <v>77</v>
      </c>
      <c r="B77" s="17">
        <f>IFERROR(SUMIFS('Full List'!B:B,'Full List'!A:A,PA!$A77,'Full List'!E:E,PA!$A$1),"")</f>
        <v>807008</v>
      </c>
      <c r="C77" s="18">
        <f t="shared" si="1"/>
        <v>7.0738840138204973E-2</v>
      </c>
    </row>
    <row r="78" spans="1:3" x14ac:dyDescent="0.15">
      <c r="A78" t="s">
        <v>78</v>
      </c>
      <c r="B78" s="17">
        <f>IFERROR(SUMIFS('Full List'!B:B,'Full List'!A:A,PA!$A78,'Full List'!E:E,PA!$A$1),"")</f>
        <v>1098899</v>
      </c>
      <c r="C78" s="18">
        <f t="shared" si="1"/>
        <v>9.6324746085581933E-2</v>
      </c>
    </row>
    <row r="79" spans="1:3" x14ac:dyDescent="0.15">
      <c r="A79" t="s">
        <v>79</v>
      </c>
      <c r="B79" s="17">
        <f>IFERROR(SUMIFS('Full List'!B:B,'Full List'!A:A,PA!$A79,'Full List'!E:E,PA!$A$1),"")</f>
        <v>1494937</v>
      </c>
      <c r="C79" s="18">
        <f t="shared" si="1"/>
        <v>0.13103972880031886</v>
      </c>
    </row>
    <row r="80" spans="1:3" x14ac:dyDescent="0.15">
      <c r="A80" t="s">
        <v>80</v>
      </c>
      <c r="B80" s="17">
        <f>IFERROR(SUMIFS('Full List'!B:B,'Full List'!A:A,PA!$A80,'Full List'!E:E,PA!$A$1),"")</f>
        <v>989506</v>
      </c>
      <c r="C80" s="18">
        <f t="shared" si="1"/>
        <v>8.6735827587576142E-2</v>
      </c>
    </row>
    <row r="81" spans="1:6" x14ac:dyDescent="0.15">
      <c r="A81" t="s">
        <v>81</v>
      </c>
      <c r="B81" s="17">
        <f>IFERROR(SUMIFS('Full List'!B:B,'Full List'!A:A,PA!$A81,'Full List'!E:E,PA!$A$1),"")</f>
        <v>1747875</v>
      </c>
      <c r="C81" s="18">
        <f t="shared" si="1"/>
        <v>0.15321118279690538</v>
      </c>
    </row>
    <row r="82" spans="1:6" x14ac:dyDescent="0.15">
      <c r="A82" t="s">
        <v>82</v>
      </c>
      <c r="B82" s="17">
        <f>IFERROR(SUMIFS('Full List'!B:B,'Full List'!A:A,PA!$A82,'Full List'!E:E,PA!$A$1),"")</f>
        <v>1191891</v>
      </c>
      <c r="C82" s="18">
        <f t="shared" si="1"/>
        <v>0.10447602367159341</v>
      </c>
    </row>
    <row r="83" spans="1:6" x14ac:dyDescent="0.15">
      <c r="B83" s="17"/>
      <c r="C83" s="18"/>
      <c r="D83" t="s">
        <v>812</v>
      </c>
      <c r="E83" t="s">
        <v>860</v>
      </c>
    </row>
    <row r="84" spans="1:6" x14ac:dyDescent="0.15">
      <c r="A84" t="s">
        <v>1168</v>
      </c>
      <c r="B84" s="17">
        <v>4653620</v>
      </c>
      <c r="C84" s="18">
        <f t="shared" ref="C84:C109" si="2">IFERROR(B84/$B$2,"")</f>
        <v>0.40791625515974239</v>
      </c>
      <c r="D84">
        <v>27</v>
      </c>
      <c r="E84" t="str">
        <f>VLOOKUP(D84,Validation!$A$2:$C$41,3,FALSE)</f>
        <v xml:space="preserve">NFL </v>
      </c>
      <c r="F84" t="s">
        <v>1350</v>
      </c>
    </row>
    <row r="85" spans="1:6" x14ac:dyDescent="0.15">
      <c r="A85" t="s">
        <v>1170</v>
      </c>
      <c r="B85" s="17">
        <v>4535146</v>
      </c>
      <c r="C85" s="18">
        <f t="shared" si="2"/>
        <v>0.39753133537389929</v>
      </c>
      <c r="D85">
        <v>17</v>
      </c>
      <c r="E85" t="str">
        <f>VLOOKUP(D85,Validation!$A$2:$C$41,3,FALSE)</f>
        <v>MLB</v>
      </c>
      <c r="F85" t="s">
        <v>1350</v>
      </c>
    </row>
    <row r="86" spans="1:6" x14ac:dyDescent="0.15">
      <c r="A86" t="s">
        <v>1166</v>
      </c>
      <c r="B86" s="17">
        <v>2745207</v>
      </c>
      <c r="C86" s="18">
        <f t="shared" si="2"/>
        <v>0.24063300378593674</v>
      </c>
      <c r="D86">
        <v>5</v>
      </c>
      <c r="E86" t="str">
        <f>VLOOKUP(D86,Validation!$A$2:$C$41,3,FALSE)</f>
        <v>CFB</v>
      </c>
      <c r="F86" t="s">
        <v>1351</v>
      </c>
    </row>
    <row r="87" spans="1:6" x14ac:dyDescent="0.15">
      <c r="A87" t="s">
        <v>1123</v>
      </c>
      <c r="B87" s="17">
        <v>2330644</v>
      </c>
      <c r="C87" s="18">
        <f t="shared" si="2"/>
        <v>0.20429419948137637</v>
      </c>
      <c r="D87">
        <v>27</v>
      </c>
      <c r="E87" t="str">
        <f>VLOOKUP(D87,Validation!$A$2:$C$41,3,FALSE)</f>
        <v xml:space="preserve">NFL </v>
      </c>
      <c r="F87" t="s">
        <v>1351</v>
      </c>
    </row>
    <row r="88" spans="1:6" x14ac:dyDescent="0.15">
      <c r="A88" t="s">
        <v>1169</v>
      </c>
      <c r="B88" s="17">
        <v>2077262</v>
      </c>
      <c r="C88" s="18">
        <f t="shared" si="2"/>
        <v>0.18208382636004591</v>
      </c>
      <c r="D88">
        <v>28</v>
      </c>
      <c r="E88" t="str">
        <f>VLOOKUP(D88,Validation!$A$2:$C$41,3,FALSE)</f>
        <v xml:space="preserve">NHL </v>
      </c>
      <c r="F88" t="s">
        <v>1351</v>
      </c>
    </row>
    <row r="89" spans="1:6" x14ac:dyDescent="0.15">
      <c r="A89" t="s">
        <v>1167</v>
      </c>
      <c r="B89" s="17">
        <v>1819913</v>
      </c>
      <c r="C89" s="18">
        <f t="shared" si="2"/>
        <v>0.15952572313092436</v>
      </c>
      <c r="D89">
        <v>26</v>
      </c>
      <c r="E89" t="str">
        <f>VLOOKUP(D89,Validation!$A$2:$C$41,3,FALSE)</f>
        <v xml:space="preserve">NBA </v>
      </c>
      <c r="F89" t="s">
        <v>1351</v>
      </c>
    </row>
    <row r="90" spans="1:6" x14ac:dyDescent="0.15">
      <c r="A90" t="s">
        <v>1173</v>
      </c>
      <c r="B90" s="17">
        <v>1294928</v>
      </c>
      <c r="C90" s="18">
        <f t="shared" si="2"/>
        <v>0.11350780262709351</v>
      </c>
      <c r="D90">
        <v>17</v>
      </c>
      <c r="E90" t="str">
        <f>VLOOKUP(D90,Validation!$A$2:$C$41,3,FALSE)</f>
        <v>MLB</v>
      </c>
      <c r="F90" t="s">
        <v>1351</v>
      </c>
    </row>
    <row r="91" spans="1:6" x14ac:dyDescent="0.15">
      <c r="A91" t="s">
        <v>1172</v>
      </c>
      <c r="B91" s="17">
        <v>1226424</v>
      </c>
      <c r="C91" s="18">
        <f t="shared" si="2"/>
        <v>0.1075030374886716</v>
      </c>
      <c r="D91">
        <v>28</v>
      </c>
      <c r="E91" t="str">
        <f>VLOOKUP(D91,Validation!$A$2:$C$41,3,FALSE)</f>
        <v xml:space="preserve">NHL </v>
      </c>
      <c r="F91" t="s">
        <v>1373</v>
      </c>
    </row>
    <row r="92" spans="1:6" x14ac:dyDescent="0.15">
      <c r="A92" t="s">
        <v>1181</v>
      </c>
      <c r="B92" s="17">
        <v>1145149</v>
      </c>
      <c r="C92" s="18">
        <f t="shared" si="2"/>
        <v>0.10037882157974305</v>
      </c>
      <c r="D92">
        <v>4</v>
      </c>
      <c r="E92" t="str">
        <f>VLOOKUP(D92,Validation!$A$2:$C$41,3,FALSE)</f>
        <v>MCB</v>
      </c>
      <c r="F92" t="s">
        <v>1351</v>
      </c>
    </row>
    <row r="93" spans="1:6" x14ac:dyDescent="0.15">
      <c r="A93" t="s">
        <v>1185</v>
      </c>
      <c r="B93" s="17">
        <v>693317</v>
      </c>
      <c r="C93" s="18">
        <f t="shared" si="2"/>
        <v>6.0773177500222868E-2</v>
      </c>
      <c r="D93">
        <v>4</v>
      </c>
      <c r="E93" t="str">
        <f>VLOOKUP(D93,Validation!$A$2:$C$41,3,FALSE)</f>
        <v>MCB</v>
      </c>
      <c r="F93" t="s">
        <v>1350</v>
      </c>
    </row>
    <row r="94" spans="1:6" x14ac:dyDescent="0.15">
      <c r="A94" t="s">
        <v>1174</v>
      </c>
      <c r="B94" s="17">
        <v>685649</v>
      </c>
      <c r="C94" s="18">
        <f t="shared" si="2"/>
        <v>6.0101033697212543E-2</v>
      </c>
      <c r="D94">
        <v>5</v>
      </c>
      <c r="E94" t="str">
        <f>VLOOKUP(D94,Validation!$A$2:$C$41,3,FALSE)</f>
        <v>CFB</v>
      </c>
      <c r="F94" t="s">
        <v>1351</v>
      </c>
    </row>
    <row r="95" spans="1:6" x14ac:dyDescent="0.15">
      <c r="A95" t="s">
        <v>1183</v>
      </c>
      <c r="B95" s="17">
        <v>623647</v>
      </c>
      <c r="C95" s="18">
        <f t="shared" si="2"/>
        <v>5.4666205831504909E-2</v>
      </c>
      <c r="D95">
        <v>4</v>
      </c>
      <c r="E95" t="str">
        <f>VLOOKUP(D95,Validation!$A$2:$C$41,3,FALSE)</f>
        <v>MCB</v>
      </c>
      <c r="F95" t="s">
        <v>1351</v>
      </c>
    </row>
    <row r="96" spans="1:6" x14ac:dyDescent="0.15">
      <c r="A96" t="s">
        <v>1171</v>
      </c>
      <c r="B96" s="17">
        <v>604650</v>
      </c>
      <c r="C96" s="18">
        <f t="shared" si="2"/>
        <v>5.3001010757719423E-2</v>
      </c>
      <c r="D96">
        <v>18</v>
      </c>
      <c r="E96" t="str">
        <f>VLOOKUP(D96,Validation!$A$2:$C$41,3,FALSE)</f>
        <v>MLS</v>
      </c>
    </row>
    <row r="97" spans="1:6" x14ac:dyDescent="0.15">
      <c r="A97" t="s">
        <v>1184</v>
      </c>
      <c r="B97" s="17">
        <v>553220</v>
      </c>
      <c r="C97" s="18">
        <f t="shared" si="2"/>
        <v>4.849287880821225E-2</v>
      </c>
      <c r="D97">
        <v>4</v>
      </c>
      <c r="E97" t="str">
        <f>VLOOKUP(D97,Validation!$A$2:$C$41,3,FALSE)</f>
        <v>MCB</v>
      </c>
      <c r="F97" t="s">
        <v>1351</v>
      </c>
    </row>
    <row r="98" spans="1:6" x14ac:dyDescent="0.15">
      <c r="A98" t="s">
        <v>1187</v>
      </c>
      <c r="B98" s="17">
        <v>439944</v>
      </c>
      <c r="C98" s="18">
        <f t="shared" si="2"/>
        <v>3.8563593280069648E-2</v>
      </c>
      <c r="D98">
        <v>4</v>
      </c>
      <c r="E98" t="str">
        <f>VLOOKUP(D98,Validation!$A$2:$C$41,3,FALSE)</f>
        <v>MCB</v>
      </c>
      <c r="F98" t="s">
        <v>1351</v>
      </c>
    </row>
    <row r="99" spans="1:6" x14ac:dyDescent="0.15">
      <c r="A99" t="s">
        <v>1175</v>
      </c>
      <c r="B99" s="17">
        <v>401254</v>
      </c>
      <c r="C99" s="18">
        <f t="shared" si="2"/>
        <v>3.5172194774791943E-2</v>
      </c>
      <c r="D99">
        <v>5</v>
      </c>
      <c r="E99" t="str">
        <f>VLOOKUP(D99,Validation!$A$2:$C$41,3,FALSE)</f>
        <v>CFB</v>
      </c>
      <c r="F99" t="s">
        <v>1350</v>
      </c>
    </row>
    <row r="100" spans="1:6" x14ac:dyDescent="0.15">
      <c r="A100" t="s">
        <v>1012</v>
      </c>
      <c r="B100" s="17">
        <v>330407</v>
      </c>
      <c r="C100" s="18">
        <f t="shared" si="2"/>
        <v>2.8962052363227984E-2</v>
      </c>
      <c r="D100">
        <v>5</v>
      </c>
      <c r="E100" t="str">
        <f>VLOOKUP(D100,Validation!$A$2:$C$41,3,FALSE)</f>
        <v>CFB</v>
      </c>
      <c r="F100" t="s">
        <v>1350</v>
      </c>
    </row>
    <row r="101" spans="1:6" x14ac:dyDescent="0.15">
      <c r="A101" t="s">
        <v>1102</v>
      </c>
      <c r="B101" s="17">
        <v>305098</v>
      </c>
      <c r="C101" s="18">
        <f t="shared" si="2"/>
        <v>2.6743574597136655E-2</v>
      </c>
      <c r="D101">
        <v>5</v>
      </c>
      <c r="E101" t="str">
        <f>VLOOKUP(D101,Validation!$A$2:$C$41,3,FALSE)</f>
        <v>CFB</v>
      </c>
      <c r="F101" t="s">
        <v>1351</v>
      </c>
    </row>
    <row r="102" spans="1:6" x14ac:dyDescent="0.15">
      <c r="A102" t="s">
        <v>1165</v>
      </c>
      <c r="B102" s="17">
        <v>294197</v>
      </c>
      <c r="C102" s="18">
        <f t="shared" si="2"/>
        <v>2.5788039960123674E-2</v>
      </c>
      <c r="D102">
        <v>5</v>
      </c>
      <c r="E102" t="str">
        <f>VLOOKUP(D102,Validation!$A$2:$C$41,3,FALSE)</f>
        <v>CFB</v>
      </c>
      <c r="F102" t="s">
        <v>1351</v>
      </c>
    </row>
    <row r="103" spans="1:6" x14ac:dyDescent="0.15">
      <c r="A103" t="s">
        <v>1176</v>
      </c>
      <c r="B103" s="17">
        <v>256518</v>
      </c>
      <c r="C103" s="18">
        <f t="shared" si="2"/>
        <v>2.2485261353756173E-2</v>
      </c>
      <c r="D103">
        <v>4</v>
      </c>
      <c r="E103" t="str">
        <f>VLOOKUP(D103,Validation!$A$2:$C$41,3,FALSE)</f>
        <v>MCB</v>
      </c>
      <c r="F103" t="s">
        <v>1351</v>
      </c>
    </row>
    <row r="104" spans="1:6" x14ac:dyDescent="0.15">
      <c r="A104" t="s">
        <v>1186</v>
      </c>
      <c r="B104" s="17">
        <v>246315</v>
      </c>
      <c r="C104" s="18">
        <f t="shared" si="2"/>
        <v>2.1590910385822639E-2</v>
      </c>
      <c r="D104">
        <v>4</v>
      </c>
      <c r="E104" t="str">
        <f>VLOOKUP(D104,Validation!$A$2:$C$41,3,FALSE)</f>
        <v>MCB</v>
      </c>
      <c r="F104" t="s">
        <v>1350</v>
      </c>
    </row>
    <row r="105" spans="1:6" x14ac:dyDescent="0.15">
      <c r="A105" t="s">
        <v>1180</v>
      </c>
      <c r="B105" s="17">
        <v>152222</v>
      </c>
      <c r="C105" s="18">
        <f t="shared" si="2"/>
        <v>1.334312388912853E-2</v>
      </c>
      <c r="D105">
        <v>4</v>
      </c>
      <c r="E105" t="str">
        <f>VLOOKUP(D105,Validation!$A$2:$C$41,3,FALSE)</f>
        <v>MCB</v>
      </c>
      <c r="F105" t="s">
        <v>1350</v>
      </c>
    </row>
    <row r="106" spans="1:6" x14ac:dyDescent="0.15">
      <c r="A106" t="s">
        <v>1177</v>
      </c>
      <c r="B106" s="17">
        <v>114346</v>
      </c>
      <c r="C106" s="18">
        <f t="shared" si="2"/>
        <v>1.0023077112548061E-2</v>
      </c>
      <c r="D106">
        <v>4</v>
      </c>
      <c r="E106" t="str">
        <f>VLOOKUP(D106,Validation!$A$2:$C$41,3,FALSE)</f>
        <v>MCB</v>
      </c>
      <c r="F106" t="s">
        <v>1350</v>
      </c>
    </row>
    <row r="107" spans="1:6" x14ac:dyDescent="0.15">
      <c r="A107" t="s">
        <v>1179</v>
      </c>
      <c r="B107" s="17">
        <v>111592</v>
      </c>
      <c r="C107" s="18">
        <f t="shared" si="2"/>
        <v>9.7816733523119585E-3</v>
      </c>
      <c r="D107">
        <v>4</v>
      </c>
      <c r="E107" t="str">
        <f>VLOOKUP(D107,Validation!$A$2:$C$41,3,FALSE)</f>
        <v>MCB</v>
      </c>
      <c r="F107" t="s">
        <v>1350</v>
      </c>
    </row>
    <row r="108" spans="1:6" x14ac:dyDescent="0.15">
      <c r="A108" t="s">
        <v>1178</v>
      </c>
      <c r="B108" s="17">
        <v>104780</v>
      </c>
      <c r="C108" s="18">
        <f t="shared" si="2"/>
        <v>9.1845628168259995E-3</v>
      </c>
      <c r="D108">
        <v>4</v>
      </c>
      <c r="E108" t="str">
        <f>VLOOKUP(D108,Validation!$A$2:$C$41,3,FALSE)</f>
        <v>MCB</v>
      </c>
    </row>
    <row r="109" spans="1:6" x14ac:dyDescent="0.15">
      <c r="A109" t="s">
        <v>1182</v>
      </c>
      <c r="B109" s="17">
        <v>61943</v>
      </c>
      <c r="C109" s="18">
        <f t="shared" si="2"/>
        <v>5.4296561802123777E-3</v>
      </c>
      <c r="D109">
        <v>4</v>
      </c>
      <c r="E109" t="str">
        <f>VLOOKUP(D109,Validation!$A$2:$C$41,3,FALSE)</f>
        <v>MCB</v>
      </c>
      <c r="F109" t="s">
        <v>1351</v>
      </c>
    </row>
  </sheetData>
  <pageMargins left="0.7" right="0.7" top="0.75" bottom="0.75" header="0.3" footer="0.3"/>
  <pageSetup orientation="portrait" verticalDpi="0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 enableFormatConditionsCalculation="0"/>
  <dimension ref="A1:F98"/>
  <sheetViews>
    <sheetView topLeftCell="A65" zoomScale="85" zoomScaleNormal="85" zoomScalePageLayoutView="85" workbookViewId="0">
      <selection activeCell="F86" sqref="F86"/>
    </sheetView>
  </sheetViews>
  <sheetFormatPr baseColWidth="10" defaultColWidth="8.83203125" defaultRowHeight="13" x14ac:dyDescent="0.15"/>
  <cols>
    <col min="1" max="1" width="33.33203125" bestFit="1" customWidth="1"/>
    <col min="2" max="2" width="10.5" bestFit="1" customWidth="1"/>
  </cols>
  <sheetData>
    <row r="1" spans="1:3" x14ac:dyDescent="0.15">
      <c r="A1" t="s">
        <v>370</v>
      </c>
      <c r="B1" t="s">
        <v>807</v>
      </c>
      <c r="C1" t="s">
        <v>811</v>
      </c>
    </row>
    <row r="2" spans="1:3" x14ac:dyDescent="0.15">
      <c r="A2" t="s">
        <v>0</v>
      </c>
      <c r="B2" s="17">
        <f>IFERROR(SUMIFS('Full List'!B:B,'Full List'!A:A,RI!$A2,'Full List'!E:E,RI!$A$1),"")</f>
        <v>1259308</v>
      </c>
      <c r="C2" s="18">
        <f>IFERROR(B2/$B$2,"")</f>
        <v>1</v>
      </c>
    </row>
    <row r="3" spans="1:3" x14ac:dyDescent="0.15">
      <c r="A3" t="s">
        <v>3</v>
      </c>
      <c r="B3" s="17">
        <f>IFERROR(SUMIFS('Full List'!B:B,'Full List'!A:A,RI!$A3,'Full List'!E:E,RI!$A$1),"")</f>
        <v>6912</v>
      </c>
      <c r="C3" s="18">
        <f t="shared" ref="C3:C66" si="0">IFERROR(B3/$B$2,"")</f>
        <v>5.4887287303820829E-3</v>
      </c>
    </row>
    <row r="4" spans="1:3" x14ac:dyDescent="0.15">
      <c r="A4" t="s">
        <v>4</v>
      </c>
      <c r="B4" s="17">
        <f>IFERROR(SUMIFS('Full List'!B:B,'Full List'!A:A,RI!$A4,'Full List'!E:E,RI!$A$1),"")</f>
        <v>8082</v>
      </c>
      <c r="C4" s="18">
        <f t="shared" si="0"/>
        <v>6.4178104165144665E-3</v>
      </c>
    </row>
    <row r="5" spans="1:3" x14ac:dyDescent="0.15">
      <c r="A5" t="s">
        <v>5</v>
      </c>
      <c r="B5" s="17">
        <f>IFERROR(SUMIFS('Full List'!B:B,'Full List'!A:A,RI!$A5,'Full List'!E:E,RI!$A$1),"")</f>
        <v>23932</v>
      </c>
      <c r="C5" s="18">
        <f t="shared" si="0"/>
        <v>1.9004087959418981E-2</v>
      </c>
    </row>
    <row r="6" spans="1:3" x14ac:dyDescent="0.15">
      <c r="A6" t="s">
        <v>6</v>
      </c>
      <c r="B6" s="17">
        <f>IFERROR(SUMIFS('Full List'!B:B,'Full List'!A:A,RI!$A6,'Full List'!E:E,RI!$A$1),"")</f>
        <v>69658</v>
      </c>
      <c r="C6" s="18">
        <f t="shared" si="0"/>
        <v>5.5314506062059482E-2</v>
      </c>
    </row>
    <row r="7" spans="1:3" x14ac:dyDescent="0.15">
      <c r="A7" t="s">
        <v>7</v>
      </c>
      <c r="B7" s="17">
        <f>IFERROR(SUMIFS('Full List'!B:B,'Full List'!A:A,RI!$A7,'Full List'!E:E,RI!$A$1),"")</f>
        <v>65621</v>
      </c>
      <c r="C7" s="18">
        <f t="shared" si="0"/>
        <v>5.2108777201447146E-2</v>
      </c>
    </row>
    <row r="8" spans="1:3" x14ac:dyDescent="0.15">
      <c r="A8" t="s">
        <v>8</v>
      </c>
      <c r="B8" s="17">
        <f>IFERROR(SUMIFS('Full List'!B:B,'Full List'!A:A,RI!$A8,'Full List'!E:E,RI!$A$1),"")</f>
        <v>30393</v>
      </c>
      <c r="C8" s="18">
        <f t="shared" si="0"/>
        <v>2.4134683492838923E-2</v>
      </c>
    </row>
    <row r="9" spans="1:3" x14ac:dyDescent="0.15">
      <c r="A9" t="s">
        <v>9</v>
      </c>
      <c r="B9" s="17">
        <f>IFERROR(SUMIFS('Full List'!B:B,'Full List'!A:A,RI!$A9,'Full List'!E:E,RI!$A$1),"")</f>
        <v>44954</v>
      </c>
      <c r="C9" s="18">
        <f t="shared" si="0"/>
        <v>3.5697383007175371E-2</v>
      </c>
    </row>
    <row r="10" spans="1:3" x14ac:dyDescent="0.15">
      <c r="A10" t="s">
        <v>10</v>
      </c>
      <c r="B10" s="17">
        <f>IFERROR(SUMIFS('Full List'!B:B,'Full List'!A:A,RI!$A10,'Full List'!E:E,RI!$A$1),"")</f>
        <v>30973</v>
      </c>
      <c r="C10" s="18">
        <f t="shared" si="0"/>
        <v>2.4595253901348996E-2</v>
      </c>
    </row>
    <row r="11" spans="1:3" x14ac:dyDescent="0.15">
      <c r="A11" t="s">
        <v>11</v>
      </c>
      <c r="B11" s="17">
        <f>IFERROR(SUMIFS('Full List'!B:B,'Full List'!A:A,RI!$A11,'Full List'!E:E,RI!$A$1),"")</f>
        <v>63671</v>
      </c>
      <c r="C11" s="18">
        <f t="shared" si="0"/>
        <v>5.0560307724559835E-2</v>
      </c>
    </row>
    <row r="12" spans="1:3" x14ac:dyDescent="0.15">
      <c r="A12" t="s">
        <v>12</v>
      </c>
      <c r="B12" s="17">
        <f>IFERROR(SUMIFS('Full List'!B:B,'Full List'!A:A,RI!$A12,'Full List'!E:E,RI!$A$1),"")</f>
        <v>16864</v>
      </c>
      <c r="C12" s="18">
        <f t="shared" si="0"/>
        <v>1.3391481670885915E-2</v>
      </c>
    </row>
    <row r="13" spans="1:3" x14ac:dyDescent="0.15">
      <c r="A13" t="s">
        <v>13</v>
      </c>
      <c r="B13" s="17">
        <f>IFERROR(SUMIFS('Full List'!B:B,'Full List'!A:A,RI!$A13,'Full List'!E:E,RI!$A$1),"")</f>
        <v>9007</v>
      </c>
      <c r="C13" s="18">
        <f t="shared" si="0"/>
        <v>7.1523408093969072E-3</v>
      </c>
    </row>
    <row r="14" spans="1:3" x14ac:dyDescent="0.15">
      <c r="A14" t="s">
        <v>14</v>
      </c>
      <c r="B14" s="17">
        <f>IFERROR(SUMIFS('Full List'!B:B,'Full List'!A:A,RI!$A14,'Full List'!E:E,RI!$A$1),"")</f>
        <v>119614</v>
      </c>
      <c r="C14" s="18">
        <f t="shared" si="0"/>
        <v>9.4983911799178602E-2</v>
      </c>
    </row>
    <row r="15" spans="1:3" x14ac:dyDescent="0.15">
      <c r="A15" t="s">
        <v>15</v>
      </c>
      <c r="B15" s="17">
        <f>IFERROR(SUMIFS('Full List'!B:B,'Full List'!A:A,RI!$A15,'Full List'!E:E,RI!$A$1),"")</f>
        <v>42209</v>
      </c>
      <c r="C15" s="18">
        <f t="shared" si="0"/>
        <v>3.3517614435864776E-2</v>
      </c>
    </row>
    <row r="16" spans="1:3" x14ac:dyDescent="0.15">
      <c r="A16" t="s">
        <v>16</v>
      </c>
      <c r="B16" s="17">
        <f>IFERROR(SUMIFS('Full List'!B:B,'Full List'!A:A,RI!$A16,'Full List'!E:E,RI!$A$1),"")</f>
        <v>45316</v>
      </c>
      <c r="C16" s="18">
        <f t="shared" si="0"/>
        <v>3.5984842469038554E-2</v>
      </c>
    </row>
    <row r="17" spans="1:3" x14ac:dyDescent="0.15">
      <c r="A17" t="s">
        <v>17</v>
      </c>
      <c r="B17" s="17">
        <f>IFERROR(SUMIFS('Full List'!B:B,'Full List'!A:A,RI!$A17,'Full List'!E:E,RI!$A$1),"")</f>
        <v>13151</v>
      </c>
      <c r="C17" s="18">
        <f t="shared" si="0"/>
        <v>1.0443036969510239E-2</v>
      </c>
    </row>
    <row r="18" spans="1:3" x14ac:dyDescent="0.15">
      <c r="A18" t="s">
        <v>18</v>
      </c>
      <c r="B18" s="17">
        <f>IFERROR(SUMIFS('Full List'!B:B,'Full List'!A:A,RI!$A18,'Full List'!E:E,RI!$A$1),"")</f>
        <v>19934</v>
      </c>
      <c r="C18" s="18">
        <f t="shared" si="0"/>
        <v>1.5829328488344393E-2</v>
      </c>
    </row>
    <row r="19" spans="1:3" x14ac:dyDescent="0.15">
      <c r="A19" t="s">
        <v>19</v>
      </c>
      <c r="B19" s="17">
        <f>IFERROR(SUMIFS('Full List'!B:B,'Full List'!A:A,RI!$A19,'Full List'!E:E,RI!$A$1),"")</f>
        <v>246034</v>
      </c>
      <c r="C19" s="18">
        <f t="shared" si="0"/>
        <v>0.19537237911614949</v>
      </c>
    </row>
    <row r="20" spans="1:3" x14ac:dyDescent="0.15">
      <c r="A20" t="s">
        <v>20</v>
      </c>
      <c r="B20" s="17">
        <f>IFERROR(SUMIFS('Full List'!B:B,'Full List'!A:A,RI!$A20,'Full List'!E:E,RI!$A$1),"")</f>
        <v>35549</v>
      </c>
      <c r="C20" s="18">
        <f t="shared" si="0"/>
        <v>2.8228995607111208E-2</v>
      </c>
    </row>
    <row r="21" spans="1:3" x14ac:dyDescent="0.15">
      <c r="A21" t="s">
        <v>21</v>
      </c>
      <c r="B21" s="17">
        <f>IFERROR(SUMIFS('Full List'!B:B,'Full List'!A:A,RI!$A21,'Full List'!E:E,RI!$A$1),"")</f>
        <v>23075</v>
      </c>
      <c r="C21" s="18">
        <f t="shared" si="0"/>
        <v>1.8323555476499793E-2</v>
      </c>
    </row>
    <row r="22" spans="1:3" x14ac:dyDescent="0.15">
      <c r="A22" t="s">
        <v>22</v>
      </c>
      <c r="B22" s="17">
        <f>IFERROR(SUMIFS('Full List'!B:B,'Full List'!A:A,RI!$A22,'Full List'!E:E,RI!$A$1),"")</f>
        <v>11719</v>
      </c>
      <c r="C22" s="18">
        <f t="shared" si="0"/>
        <v>9.3059045126370997E-3</v>
      </c>
    </row>
    <row r="23" spans="1:3" x14ac:dyDescent="0.15">
      <c r="A23" t="s">
        <v>23</v>
      </c>
      <c r="B23" s="17">
        <f>IFERROR(SUMIFS('Full List'!B:B,'Full List'!A:A,RI!$A23,'Full List'!E:E,RI!$A$1),"")</f>
        <v>45326</v>
      </c>
      <c r="C23" s="18">
        <f t="shared" si="0"/>
        <v>3.5992783338150793E-2</v>
      </c>
    </row>
    <row r="24" spans="1:3" x14ac:dyDescent="0.15">
      <c r="A24" t="s">
        <v>24</v>
      </c>
      <c r="B24" s="17">
        <f>IFERROR(SUMIFS('Full List'!B:B,'Full List'!A:A,RI!$A24,'Full List'!E:E,RI!$A$1),"")</f>
        <v>26569</v>
      </c>
      <c r="C24" s="18">
        <f t="shared" si="0"/>
        <v>2.1098095144317354E-2</v>
      </c>
    </row>
    <row r="25" spans="1:3" x14ac:dyDescent="0.15">
      <c r="A25" t="s">
        <v>25</v>
      </c>
      <c r="B25" s="17">
        <f>IFERROR(SUMIFS('Full List'!B:B,'Full List'!A:A,RI!$A25,'Full List'!E:E,RI!$A$1),"")</f>
        <v>19254</v>
      </c>
      <c r="C25" s="18">
        <f t="shared" si="0"/>
        <v>1.5289349388711895E-2</v>
      </c>
    </row>
    <row r="26" spans="1:3" x14ac:dyDescent="0.15">
      <c r="A26" t="s">
        <v>26</v>
      </c>
      <c r="B26" s="17">
        <f>IFERROR(SUMIFS('Full List'!B:B,'Full List'!A:A,RI!$A26,'Full List'!E:E,RI!$A$1),"")</f>
        <v>9520</v>
      </c>
      <c r="C26" s="18">
        <f t="shared" si="0"/>
        <v>7.5597073948549523E-3</v>
      </c>
    </row>
    <row r="27" spans="1:3" x14ac:dyDescent="0.15">
      <c r="A27" t="s">
        <v>27</v>
      </c>
      <c r="B27" s="17">
        <f>IFERROR(SUMIFS('Full List'!B:B,'Full List'!A:A,RI!$A27,'Full List'!E:E,RI!$A$1),"")</f>
        <v>37036</v>
      </c>
      <c r="C27" s="18">
        <f t="shared" si="0"/>
        <v>2.940980284410168E-2</v>
      </c>
    </row>
    <row r="28" spans="1:3" x14ac:dyDescent="0.15">
      <c r="A28" t="s">
        <v>28</v>
      </c>
      <c r="B28" s="17">
        <f>IFERROR(SUMIFS('Full List'!B:B,'Full List'!A:A,RI!$A28,'Full List'!E:E,RI!$A$1),"")</f>
        <v>107275</v>
      </c>
      <c r="C28" s="18">
        <f t="shared" si="0"/>
        <v>8.5185673401582451E-2</v>
      </c>
    </row>
    <row r="29" spans="1:3" x14ac:dyDescent="0.15">
      <c r="A29" t="s">
        <v>29</v>
      </c>
      <c r="B29" s="17">
        <f>IFERROR(SUMIFS('Full List'!B:B,'Full List'!A:A,RI!$A29,'Full List'!E:E,RI!$A$1),"")</f>
        <v>455172</v>
      </c>
      <c r="C29" s="18">
        <f t="shared" si="0"/>
        <v>0.36144612755576871</v>
      </c>
    </row>
    <row r="30" spans="1:3" x14ac:dyDescent="0.15">
      <c r="A30" t="s">
        <v>30</v>
      </c>
      <c r="B30" s="17">
        <f>IFERROR(SUMIFS('Full List'!B:B,'Full List'!A:A,RI!$A30,'Full List'!E:E,RI!$A$1),"")</f>
        <v>102193</v>
      </c>
      <c r="C30" s="18">
        <f t="shared" si="0"/>
        <v>8.1150123718740766E-2</v>
      </c>
    </row>
    <row r="31" spans="1:3" x14ac:dyDescent="0.15">
      <c r="A31" t="s">
        <v>31</v>
      </c>
      <c r="B31" s="17">
        <f>IFERROR(SUMIFS('Full List'!B:B,'Full List'!A:A,RI!$A31,'Full List'!E:E,RI!$A$1),"")</f>
        <v>5837</v>
      </c>
      <c r="C31" s="18">
        <f t="shared" si="0"/>
        <v>4.6350853008160038E-3</v>
      </c>
    </row>
    <row r="32" spans="1:3" x14ac:dyDescent="0.15">
      <c r="A32" t="s">
        <v>32</v>
      </c>
      <c r="B32" s="17">
        <f>IFERROR(SUMIFS('Full List'!B:B,'Full List'!A:A,RI!$A32,'Full List'!E:E,RI!$A$1),"")</f>
        <v>26028</v>
      </c>
      <c r="C32" s="18">
        <f t="shared" si="0"/>
        <v>2.0668494125345032E-2</v>
      </c>
    </row>
    <row r="33" spans="1:3" x14ac:dyDescent="0.15">
      <c r="A33" t="s">
        <v>33</v>
      </c>
      <c r="B33" s="17">
        <f>IFERROR(SUMIFS('Full List'!B:B,'Full List'!A:A,RI!$A33,'Full List'!E:E,RI!$A$1),"")</f>
        <v>314112</v>
      </c>
      <c r="C33" s="18">
        <f t="shared" si="0"/>
        <v>0.24943222785847466</v>
      </c>
    </row>
    <row r="34" spans="1:3" x14ac:dyDescent="0.15">
      <c r="A34" t="s">
        <v>34</v>
      </c>
      <c r="B34" s="17">
        <f>IFERROR(SUMIFS('Full List'!B:B,'Full List'!A:A,RI!$A34,'Full List'!E:E,RI!$A$1),"")</f>
        <v>91422</v>
      </c>
      <c r="C34" s="18">
        <f t="shared" si="0"/>
        <v>7.2597013597944265E-2</v>
      </c>
    </row>
    <row r="35" spans="1:3" x14ac:dyDescent="0.15">
      <c r="A35" t="s">
        <v>35</v>
      </c>
      <c r="B35" s="17">
        <f>IFERROR(SUMIFS('Full List'!B:B,'Full List'!A:A,RI!$A35,'Full List'!E:E,RI!$A$1),"")</f>
        <v>61628</v>
      </c>
      <c r="C35" s="18">
        <f t="shared" si="0"/>
        <v>4.8937988164928677E-2</v>
      </c>
    </row>
    <row r="36" spans="1:3" x14ac:dyDescent="0.15">
      <c r="A36" t="s">
        <v>36</v>
      </c>
      <c r="B36" s="17">
        <f>IFERROR(SUMIFS('Full List'!B:B,'Full List'!A:A,RI!$A36,'Full List'!E:E,RI!$A$1),"")</f>
        <v>16298</v>
      </c>
      <c r="C36" s="18">
        <f t="shared" si="0"/>
        <v>1.2942028479132985E-2</v>
      </c>
    </row>
    <row r="37" spans="1:3" x14ac:dyDescent="0.15">
      <c r="A37" t="s">
        <v>37</v>
      </c>
      <c r="B37" s="17">
        <f>IFERROR(SUMIFS('Full List'!B:B,'Full List'!A:A,RI!$A37,'Full List'!E:E,RI!$A$1),"")</f>
        <v>11342</v>
      </c>
      <c r="C37" s="18">
        <f t="shared" si="0"/>
        <v>9.0065337471055534E-3</v>
      </c>
    </row>
    <row r="38" spans="1:3" x14ac:dyDescent="0.15">
      <c r="A38" t="s">
        <v>38</v>
      </c>
      <c r="B38" s="17">
        <f>IFERROR(SUMIFS('Full List'!B:B,'Full List'!A:A,RI!$A38,'Full List'!E:E,RI!$A$1),"")</f>
        <v>15108</v>
      </c>
      <c r="C38" s="18">
        <f t="shared" si="0"/>
        <v>1.1997065054776115E-2</v>
      </c>
    </row>
    <row r="39" spans="1:3" x14ac:dyDescent="0.15">
      <c r="A39" t="s">
        <v>39</v>
      </c>
      <c r="B39" s="17">
        <f>IFERROR(SUMIFS('Full List'!B:B,'Full List'!A:A,RI!$A39,'Full List'!E:E,RI!$A$1),"")</f>
        <v>69709</v>
      </c>
      <c r="C39" s="18">
        <f t="shared" si="0"/>
        <v>5.5355004494531915E-2</v>
      </c>
    </row>
    <row r="40" spans="1:3" x14ac:dyDescent="0.15">
      <c r="A40" t="s">
        <v>40</v>
      </c>
      <c r="B40" s="17">
        <f>IFERROR(SUMIFS('Full List'!B:B,'Full List'!A:A,RI!$A40,'Full List'!E:E,RI!$A$1),"")</f>
        <v>7021</v>
      </c>
      <c r="C40" s="18">
        <f t="shared" si="0"/>
        <v>5.5752842037055271E-3</v>
      </c>
    </row>
    <row r="41" spans="1:3" x14ac:dyDescent="0.15">
      <c r="A41" t="s">
        <v>41</v>
      </c>
      <c r="B41" s="17">
        <f>IFERROR(SUMIFS('Full List'!B:B,'Full List'!A:A,RI!$A41,'Full List'!E:E,RI!$A$1),"")</f>
        <v>17161</v>
      </c>
      <c r="C41" s="18">
        <f t="shared" si="0"/>
        <v>1.362732548351952E-2</v>
      </c>
    </row>
    <row r="42" spans="1:3" x14ac:dyDescent="0.15">
      <c r="A42" t="s">
        <v>42</v>
      </c>
      <c r="B42" s="17">
        <f>IFERROR(SUMIFS('Full List'!B:B,'Full List'!A:A,RI!$A42,'Full List'!E:E,RI!$A$1),"")</f>
        <v>36551</v>
      </c>
      <c r="C42" s="18">
        <f t="shared" si="0"/>
        <v>2.9024670692157917E-2</v>
      </c>
    </row>
    <row r="43" spans="1:3" x14ac:dyDescent="0.15">
      <c r="A43" t="s">
        <v>43</v>
      </c>
      <c r="B43" s="17">
        <f>IFERROR(SUMIFS('Full List'!B:B,'Full List'!A:A,RI!$A43,'Full List'!E:E,RI!$A$1),"")</f>
        <v>95222</v>
      </c>
      <c r="C43" s="18">
        <f t="shared" si="0"/>
        <v>7.5614543860596461E-2</v>
      </c>
    </row>
    <row r="44" spans="1:3" x14ac:dyDescent="0.15">
      <c r="A44" t="s">
        <v>44</v>
      </c>
      <c r="B44" s="17">
        <f>IFERROR(SUMIFS('Full List'!B:B,'Full List'!A:A,RI!$A44,'Full List'!E:E,RI!$A$1),"")</f>
        <v>92836</v>
      </c>
      <c r="C44" s="18">
        <f t="shared" si="0"/>
        <v>7.3719852490415377E-2</v>
      </c>
    </row>
    <row r="45" spans="1:3" x14ac:dyDescent="0.15">
      <c r="A45" t="s">
        <v>45</v>
      </c>
      <c r="B45" s="17">
        <f>IFERROR(SUMIFS('Full List'!B:B,'Full List'!A:A,RI!$A45,'Full List'!E:E,RI!$A$1),"")</f>
        <v>157140</v>
      </c>
      <c r="C45" s="18">
        <f t="shared" si="0"/>
        <v>0.12478281722978017</v>
      </c>
    </row>
    <row r="46" spans="1:3" x14ac:dyDescent="0.15">
      <c r="A46" t="s">
        <v>46</v>
      </c>
      <c r="B46" s="17">
        <f>IFERROR(SUMIFS('Full List'!B:B,'Full List'!A:A,RI!$A46,'Full List'!E:E,RI!$A$1),"")</f>
        <v>327221</v>
      </c>
      <c r="C46" s="18">
        <f t="shared" si="0"/>
        <v>0.25984191317771349</v>
      </c>
    </row>
    <row r="47" spans="1:3" x14ac:dyDescent="0.15">
      <c r="A47" t="s">
        <v>47</v>
      </c>
      <c r="B47" s="17">
        <f>IFERROR(SUMIFS('Full List'!B:B,'Full List'!A:A,RI!$A47,'Full List'!E:E,RI!$A$1),"")</f>
        <v>343175</v>
      </c>
      <c r="C47" s="18">
        <f t="shared" si="0"/>
        <v>0.27251077575938532</v>
      </c>
    </row>
    <row r="48" spans="1:3" x14ac:dyDescent="0.15">
      <c r="A48" t="s">
        <v>48</v>
      </c>
      <c r="B48" s="17">
        <f>IFERROR(SUMIFS('Full List'!B:B,'Full List'!A:A,RI!$A48,'Full List'!E:E,RI!$A$1),"")</f>
        <v>194346</v>
      </c>
      <c r="C48" s="18">
        <f t="shared" si="0"/>
        <v>0.15432761484878996</v>
      </c>
    </row>
    <row r="49" spans="1:3" x14ac:dyDescent="0.15">
      <c r="A49" t="s">
        <v>49</v>
      </c>
      <c r="B49" s="17">
        <f>IFERROR(SUMIFS('Full List'!B:B,'Full List'!A:A,RI!$A49,'Full List'!E:E,RI!$A$1),"")</f>
        <v>188034</v>
      </c>
      <c r="C49" s="18">
        <f t="shared" si="0"/>
        <v>0.14931533826514246</v>
      </c>
    </row>
    <row r="50" spans="1:3" x14ac:dyDescent="0.15">
      <c r="A50" t="s">
        <v>50</v>
      </c>
      <c r="B50" s="17">
        <f>IFERROR(SUMIFS('Full List'!B:B,'Full List'!A:A,RI!$A50,'Full List'!E:E,RI!$A$1),"")</f>
        <v>186344</v>
      </c>
      <c r="C50" s="18">
        <f t="shared" si="0"/>
        <v>0.14797333138517343</v>
      </c>
    </row>
    <row r="51" spans="1:3" x14ac:dyDescent="0.15">
      <c r="A51" t="s">
        <v>51</v>
      </c>
      <c r="B51" s="17">
        <f>IFERROR(SUMIFS('Full List'!B:B,'Full List'!A:A,RI!$A51,'Full List'!E:E,RI!$A$1),"")</f>
        <v>383889</v>
      </c>
      <c r="C51" s="18">
        <f t="shared" si="0"/>
        <v>0.30484123026296983</v>
      </c>
    </row>
    <row r="52" spans="1:3" x14ac:dyDescent="0.15">
      <c r="A52" t="s">
        <v>52</v>
      </c>
      <c r="B52" s="17">
        <f>IFERROR(SUMIFS('Full List'!B:B,'Full List'!A:A,RI!$A52,'Full List'!E:E,RI!$A$1),"")</f>
        <v>147845</v>
      </c>
      <c r="C52" s="18">
        <f t="shared" si="0"/>
        <v>0.11740177938995067</v>
      </c>
    </row>
    <row r="53" spans="1:3" x14ac:dyDescent="0.15">
      <c r="A53" t="s">
        <v>53</v>
      </c>
      <c r="B53" s="17">
        <f>IFERROR(SUMIFS('Full List'!B:B,'Full List'!A:A,RI!$A53,'Full List'!E:E,RI!$A$1),"")</f>
        <v>89829</v>
      </c>
      <c r="C53" s="18">
        <f t="shared" si="0"/>
        <v>7.1332033148364019E-2</v>
      </c>
    </row>
    <row r="54" spans="1:3" x14ac:dyDescent="0.15">
      <c r="A54" t="s">
        <v>54</v>
      </c>
      <c r="B54" s="17">
        <f>IFERROR(SUMIFS('Full List'!B:B,'Full List'!A:A,RI!$A54,'Full List'!E:E,RI!$A$1),"")</f>
        <v>427908</v>
      </c>
      <c r="C54" s="18">
        <f t="shared" si="0"/>
        <v>0.3397961420081505</v>
      </c>
    </row>
    <row r="55" spans="1:3" x14ac:dyDescent="0.15">
      <c r="A55" t="s">
        <v>55</v>
      </c>
      <c r="B55" s="17">
        <f>IFERROR(SUMIFS('Full List'!B:B,'Full List'!A:A,RI!$A55,'Full List'!E:E,RI!$A$1),"")</f>
        <v>289372</v>
      </c>
      <c r="C55" s="18">
        <f t="shared" si="0"/>
        <v>0.22978651767478647</v>
      </c>
    </row>
    <row r="56" spans="1:3" x14ac:dyDescent="0.15">
      <c r="A56" t="s">
        <v>56</v>
      </c>
      <c r="B56" s="17">
        <f>IFERROR(SUMIFS('Full List'!B:B,'Full List'!A:A,RI!$A56,'Full List'!E:E,RI!$A$1),"")</f>
        <v>260871</v>
      </c>
      <c r="C56" s="18">
        <f t="shared" si="0"/>
        <v>0.20715424661798384</v>
      </c>
    </row>
    <row r="57" spans="1:3" x14ac:dyDescent="0.15">
      <c r="A57" t="s">
        <v>57</v>
      </c>
      <c r="B57" s="17">
        <f>IFERROR(SUMIFS('Full List'!B:B,'Full List'!A:A,RI!$A57,'Full List'!E:E,RI!$A$1),"")</f>
        <v>147715</v>
      </c>
      <c r="C57" s="18">
        <f t="shared" si="0"/>
        <v>0.11729854809149151</v>
      </c>
    </row>
    <row r="58" spans="1:3" x14ac:dyDescent="0.15">
      <c r="A58" t="s">
        <v>58</v>
      </c>
      <c r="B58" s="17">
        <f>IFERROR(SUMIFS('Full List'!B:B,'Full List'!A:A,RI!$A58,'Full List'!E:E,RI!$A$1),"")</f>
        <v>169897</v>
      </c>
      <c r="C58" s="18">
        <f t="shared" si="0"/>
        <v>0.13491298395626805</v>
      </c>
    </row>
    <row r="59" spans="1:3" x14ac:dyDescent="0.15">
      <c r="A59" t="s">
        <v>59</v>
      </c>
      <c r="B59" s="17">
        <f>IFERROR(SUMIFS('Full List'!B:B,'Full List'!A:A,RI!$A59,'Full List'!E:E,RI!$A$1),"")</f>
        <v>716058</v>
      </c>
      <c r="C59" s="18">
        <f t="shared" si="0"/>
        <v>0.56861228547742093</v>
      </c>
    </row>
    <row r="60" spans="1:3" x14ac:dyDescent="0.15">
      <c r="A60" t="s">
        <v>60</v>
      </c>
      <c r="B60" s="17">
        <f>IFERROR(SUMIFS('Full List'!B:B,'Full List'!A:A,RI!$A60,'Full List'!E:E,RI!$A$1),"")</f>
        <v>194361</v>
      </c>
      <c r="C60" s="18">
        <f t="shared" si="0"/>
        <v>0.15433952615245833</v>
      </c>
    </row>
    <row r="61" spans="1:3" x14ac:dyDescent="0.15">
      <c r="A61" t="s">
        <v>61</v>
      </c>
      <c r="B61" s="17">
        <f>IFERROR(SUMIFS('Full List'!B:B,'Full List'!A:A,RI!$A61,'Full List'!E:E,RI!$A$1),"")</f>
        <v>226199</v>
      </c>
      <c r="C61" s="18">
        <f t="shared" si="0"/>
        <v>0.17962166523201631</v>
      </c>
    </row>
    <row r="62" spans="1:3" x14ac:dyDescent="0.15">
      <c r="A62" t="s">
        <v>62</v>
      </c>
      <c r="B62" s="17">
        <f>IFERROR(SUMIFS('Full List'!B:B,'Full List'!A:A,RI!$A62,'Full List'!E:E,RI!$A$1),"")</f>
        <v>80510</v>
      </c>
      <c r="C62" s="18">
        <f t="shared" si="0"/>
        <v>6.3931937222665144E-2</v>
      </c>
    </row>
    <row r="63" spans="1:3" x14ac:dyDescent="0.15">
      <c r="A63" t="s">
        <v>63</v>
      </c>
      <c r="B63" s="17">
        <f>IFERROR(SUMIFS('Full List'!B:B,'Full List'!A:A,RI!$A63,'Full List'!E:E,RI!$A$1),"")</f>
        <v>229593</v>
      </c>
      <c r="C63" s="18">
        <f t="shared" si="0"/>
        <v>0.18231679620871144</v>
      </c>
    </row>
    <row r="64" spans="1:3" x14ac:dyDescent="0.15">
      <c r="A64" t="s">
        <v>64</v>
      </c>
      <c r="B64" s="17">
        <f>IFERROR(SUMIFS('Full List'!B:B,'Full List'!A:A,RI!$A64,'Full List'!E:E,RI!$A$1),"")</f>
        <v>156975</v>
      </c>
      <c r="C64" s="18">
        <f t="shared" si="0"/>
        <v>0.12465179288942817</v>
      </c>
    </row>
    <row r="65" spans="1:3" x14ac:dyDescent="0.15">
      <c r="A65" t="s">
        <v>65</v>
      </c>
      <c r="B65" s="17">
        <f>IFERROR(SUMIFS('Full List'!B:B,'Full List'!A:A,RI!$A65,'Full List'!E:E,RI!$A$1),"")</f>
        <v>161237</v>
      </c>
      <c r="C65" s="18">
        <f t="shared" si="0"/>
        <v>0.12803619130506597</v>
      </c>
    </row>
    <row r="66" spans="1:3" x14ac:dyDescent="0.15">
      <c r="A66" t="s">
        <v>66</v>
      </c>
      <c r="B66" s="17">
        <f>IFERROR(SUMIFS('Full List'!B:B,'Full List'!A:A,RI!$A66,'Full List'!E:E,RI!$A$1),"")</f>
        <v>81912</v>
      </c>
      <c r="C66" s="18">
        <f t="shared" si="0"/>
        <v>6.5045247072201565E-2</v>
      </c>
    </row>
    <row r="67" spans="1:3" x14ac:dyDescent="0.15">
      <c r="A67" t="s">
        <v>67</v>
      </c>
      <c r="B67" s="17">
        <f>IFERROR(SUMIFS('Full List'!B:B,'Full List'!A:A,RI!$A67,'Full List'!E:E,RI!$A$1),"")</f>
        <v>241665</v>
      </c>
      <c r="C67" s="18">
        <f t="shared" ref="C67:C82" si="1">IFERROR(B67/$B$2,"")</f>
        <v>0.19190301340101071</v>
      </c>
    </row>
    <row r="68" spans="1:3" x14ac:dyDescent="0.15">
      <c r="A68" t="s">
        <v>68</v>
      </c>
      <c r="B68" s="17">
        <f>IFERROR(SUMIFS('Full List'!B:B,'Full List'!A:A,RI!$A68,'Full List'!E:E,RI!$A$1),"")</f>
        <v>473554</v>
      </c>
      <c r="C68" s="18">
        <f t="shared" si="1"/>
        <v>0.37604303315789306</v>
      </c>
    </row>
    <row r="69" spans="1:3" x14ac:dyDescent="0.15">
      <c r="A69" t="s">
        <v>69</v>
      </c>
      <c r="B69" s="17">
        <f>IFERROR(SUMIFS('Full List'!B:B,'Full List'!A:A,RI!$A69,'Full List'!E:E,RI!$A$1),"")</f>
        <v>834211</v>
      </c>
      <c r="C69" s="18">
        <f t="shared" si="1"/>
        <v>0.66243603629930092</v>
      </c>
    </row>
    <row r="70" spans="1:3" x14ac:dyDescent="0.15">
      <c r="A70" t="s">
        <v>70</v>
      </c>
      <c r="B70" s="17">
        <f>IFERROR(SUMIFS('Full List'!B:B,'Full List'!A:A,RI!$A70,'Full List'!E:E,RI!$A$1),"")</f>
        <v>465982</v>
      </c>
      <c r="C70" s="18">
        <f t="shared" si="1"/>
        <v>0.37003020706610296</v>
      </c>
    </row>
    <row r="71" spans="1:3" x14ac:dyDescent="0.15">
      <c r="A71" t="s">
        <v>71</v>
      </c>
      <c r="B71" s="17">
        <f>IFERROR(SUMIFS('Full List'!B:B,'Full List'!A:A,RI!$A71,'Full List'!E:E,RI!$A$1),"")</f>
        <v>56713</v>
      </c>
      <c r="C71" s="18">
        <f t="shared" si="1"/>
        <v>4.5035050996261441E-2</v>
      </c>
    </row>
    <row r="72" spans="1:3" x14ac:dyDescent="0.15">
      <c r="A72" t="s">
        <v>72</v>
      </c>
      <c r="B72" s="17">
        <f>IFERROR(SUMIFS('Full List'!B:B,'Full List'!A:A,RI!$A72,'Full List'!E:E,RI!$A$1),"")</f>
        <v>118935</v>
      </c>
      <c r="C72" s="18">
        <f t="shared" si="1"/>
        <v>9.4444726786457323E-2</v>
      </c>
    </row>
    <row r="73" spans="1:3" x14ac:dyDescent="0.15">
      <c r="A73" t="s">
        <v>73</v>
      </c>
      <c r="B73" s="17">
        <f>IFERROR(SUMIFS('Full List'!B:B,'Full List'!A:A,RI!$A73,'Full List'!E:E,RI!$A$1),"")</f>
        <v>756802</v>
      </c>
      <c r="C73" s="18">
        <f t="shared" si="1"/>
        <v>0.60096656258834213</v>
      </c>
    </row>
    <row r="74" spans="1:3" x14ac:dyDescent="0.15">
      <c r="A74" t="s">
        <v>74</v>
      </c>
      <c r="B74" s="17">
        <f>IFERROR(SUMIFS('Full List'!B:B,'Full List'!A:A,RI!$A74,'Full List'!E:E,RI!$A$1),"")</f>
        <v>335127</v>
      </c>
      <c r="C74" s="18">
        <f t="shared" si="1"/>
        <v>0.26611996429785245</v>
      </c>
    </row>
    <row r="75" spans="1:3" x14ac:dyDescent="0.15">
      <c r="A75" t="s">
        <v>75</v>
      </c>
      <c r="B75" s="17">
        <f>IFERROR(SUMIFS('Full List'!B:B,'Full List'!A:A,RI!$A75,'Full List'!E:E,RI!$A$1),"")</f>
        <v>228719</v>
      </c>
      <c r="C75" s="18">
        <f t="shared" si="1"/>
        <v>0.18162276424830145</v>
      </c>
    </row>
    <row r="76" spans="1:3" x14ac:dyDescent="0.15">
      <c r="A76" t="s">
        <v>76</v>
      </c>
      <c r="B76" s="17">
        <f>IFERROR(SUMIFS('Full List'!B:B,'Full List'!A:A,RI!$A76,'Full List'!E:E,RI!$A$1),"")</f>
        <v>113615</v>
      </c>
      <c r="C76" s="18">
        <f t="shared" si="1"/>
        <v>9.0220184418744256E-2</v>
      </c>
    </row>
    <row r="77" spans="1:3" x14ac:dyDescent="0.15">
      <c r="A77" t="s">
        <v>77</v>
      </c>
      <c r="B77" s="17">
        <f>IFERROR(SUMIFS('Full List'!B:B,'Full List'!A:A,RI!$A77,'Full List'!E:E,RI!$A$1),"")</f>
        <v>80840</v>
      </c>
      <c r="C77" s="18">
        <f t="shared" si="1"/>
        <v>6.4193985903369152E-2</v>
      </c>
    </row>
    <row r="78" spans="1:3" x14ac:dyDescent="0.15">
      <c r="A78" t="s">
        <v>78</v>
      </c>
      <c r="B78" s="17">
        <f>IFERROR(SUMIFS('Full List'!B:B,'Full List'!A:A,RI!$A78,'Full List'!E:E,RI!$A$1),"")</f>
        <v>127065</v>
      </c>
      <c r="C78" s="18">
        <f t="shared" si="1"/>
        <v>0.10090065337471056</v>
      </c>
    </row>
    <row r="79" spans="1:3" x14ac:dyDescent="0.15">
      <c r="A79" t="s">
        <v>79</v>
      </c>
      <c r="B79" s="17">
        <f>IFERROR(SUMIFS('Full List'!B:B,'Full List'!A:A,RI!$A79,'Full List'!E:E,RI!$A$1),"")</f>
        <v>194234</v>
      </c>
      <c r="C79" s="18">
        <f t="shared" si="1"/>
        <v>0.15423867711473285</v>
      </c>
    </row>
    <row r="80" spans="1:3" x14ac:dyDescent="0.15">
      <c r="A80" t="s">
        <v>80</v>
      </c>
      <c r="B80" s="17">
        <f>IFERROR(SUMIFS('Full List'!B:B,'Full List'!A:A,RI!$A80,'Full List'!E:E,RI!$A$1),"")</f>
        <v>120815</v>
      </c>
      <c r="C80" s="18">
        <f t="shared" si="1"/>
        <v>9.593761017955893E-2</v>
      </c>
    </row>
    <row r="81" spans="1:6" x14ac:dyDescent="0.15">
      <c r="A81" t="s">
        <v>81</v>
      </c>
      <c r="B81" s="17">
        <f>IFERROR(SUMIFS('Full List'!B:B,'Full List'!A:A,RI!$A81,'Full List'!E:E,RI!$A$1),"")</f>
        <v>234137</v>
      </c>
      <c r="C81" s="18">
        <f t="shared" si="1"/>
        <v>0.18592512713331449</v>
      </c>
    </row>
    <row r="82" spans="1:6" x14ac:dyDescent="0.15">
      <c r="A82" t="s">
        <v>82</v>
      </c>
      <c r="B82" s="17">
        <f>IFERROR(SUMIFS('Full List'!B:B,'Full List'!A:A,RI!$A82,'Full List'!E:E,RI!$A$1),"")</f>
        <v>153047</v>
      </c>
      <c r="C82" s="18">
        <f t="shared" si="1"/>
        <v>0.12153261950213927</v>
      </c>
    </row>
    <row r="83" spans="1:6" x14ac:dyDescent="0.15">
      <c r="B83" s="17"/>
      <c r="C83" s="18"/>
      <c r="D83" t="s">
        <v>812</v>
      </c>
      <c r="E83" t="s">
        <v>860</v>
      </c>
    </row>
    <row r="84" spans="1:6" x14ac:dyDescent="0.15">
      <c r="A84" t="s">
        <v>924</v>
      </c>
      <c r="B84" s="17">
        <v>799992</v>
      </c>
      <c r="C84" s="18">
        <f t="shared" ref="C84:C92" si="2">IFERROR(B84/$B$2,"")</f>
        <v>0.63526317628411799</v>
      </c>
      <c r="D84">
        <v>27</v>
      </c>
      <c r="E84" t="str">
        <f>VLOOKUP(D84,Validation!$A$2:$C$41,3,FALSE)</f>
        <v xml:space="preserve">NFL </v>
      </c>
      <c r="F84" t="s">
        <v>1351</v>
      </c>
    </row>
    <row r="85" spans="1:6" x14ac:dyDescent="0.15">
      <c r="A85" t="s">
        <v>923</v>
      </c>
      <c r="B85" s="17">
        <v>715867</v>
      </c>
      <c r="C85" s="18">
        <f t="shared" si="2"/>
        <v>0.56846061487737709</v>
      </c>
      <c r="D85">
        <v>17</v>
      </c>
      <c r="E85" t="str">
        <f>VLOOKUP(D85,Validation!$A$2:$C$41,3,FALSE)</f>
        <v>MLB</v>
      </c>
      <c r="F85" t="s">
        <v>1350</v>
      </c>
    </row>
    <row r="86" spans="1:6" x14ac:dyDescent="0.15">
      <c r="A86" t="s">
        <v>922</v>
      </c>
      <c r="B86" s="17">
        <v>421929</v>
      </c>
      <c r="C86" s="18">
        <f t="shared" si="2"/>
        <v>0.33504829636594063</v>
      </c>
      <c r="D86">
        <v>26</v>
      </c>
      <c r="E86" t="str">
        <f>VLOOKUP(D86,Validation!$A$2:$C$41,3,FALSE)</f>
        <v xml:space="preserve">NBA </v>
      </c>
    </row>
    <row r="87" spans="1:6" x14ac:dyDescent="0.15">
      <c r="A87" t="s">
        <v>1031</v>
      </c>
      <c r="B87" s="17">
        <v>377119</v>
      </c>
      <c r="C87" s="18">
        <f t="shared" si="2"/>
        <v>0.29946526187398159</v>
      </c>
      <c r="D87">
        <v>28</v>
      </c>
      <c r="E87" t="str">
        <f>VLOOKUP(D87,Validation!$A$2:$C$41,3,FALSE)</f>
        <v xml:space="preserve">NHL </v>
      </c>
      <c r="F87" t="s">
        <v>1350</v>
      </c>
    </row>
    <row r="88" spans="1:6" x14ac:dyDescent="0.15">
      <c r="A88" t="s">
        <v>933</v>
      </c>
      <c r="B88" s="17">
        <v>198920</v>
      </c>
      <c r="C88" s="18">
        <f t="shared" si="2"/>
        <v>0.15795976838072973</v>
      </c>
      <c r="D88">
        <v>17</v>
      </c>
      <c r="E88" t="str">
        <f>VLOOKUP(D88,Validation!$A$2:$C$41,3,FALSE)</f>
        <v>MLB</v>
      </c>
      <c r="F88" t="s">
        <v>1351</v>
      </c>
    </row>
    <row r="89" spans="1:6" x14ac:dyDescent="0.15">
      <c r="A89" t="s">
        <v>1188</v>
      </c>
      <c r="B89" s="17">
        <v>197045</v>
      </c>
      <c r="C89" s="18">
        <f t="shared" si="2"/>
        <v>0.15647085542218425</v>
      </c>
      <c r="D89">
        <v>4</v>
      </c>
      <c r="E89" t="str">
        <f>VLOOKUP(D89,Validation!$A$2:$C$41,3,FALSE)</f>
        <v>MCB</v>
      </c>
      <c r="F89" t="s">
        <v>1350</v>
      </c>
    </row>
    <row r="90" spans="1:6" x14ac:dyDescent="0.15">
      <c r="A90" t="s">
        <v>1189</v>
      </c>
      <c r="B90" s="17">
        <v>96733</v>
      </c>
      <c r="C90" s="18">
        <f t="shared" si="2"/>
        <v>7.6814409183456306E-2</v>
      </c>
      <c r="D90">
        <v>4</v>
      </c>
      <c r="E90" t="str">
        <f>VLOOKUP(D90,Validation!$A$2:$C$41,3,FALSE)</f>
        <v>MCB</v>
      </c>
      <c r="F90" t="s">
        <v>1350</v>
      </c>
    </row>
    <row r="91" spans="1:6" x14ac:dyDescent="0.15">
      <c r="A91" t="s">
        <v>1190</v>
      </c>
      <c r="B91" s="17">
        <v>54229</v>
      </c>
      <c r="C91" s="18">
        <f t="shared" si="2"/>
        <v>4.3062539108780377E-2</v>
      </c>
      <c r="D91">
        <v>4</v>
      </c>
      <c r="E91" t="str">
        <f>VLOOKUP(D91,Validation!$A$2:$C$41,3,FALSE)</f>
        <v>MCB</v>
      </c>
      <c r="F91" t="s">
        <v>1350</v>
      </c>
    </row>
    <row r="92" spans="1:6" x14ac:dyDescent="0.15">
      <c r="A92" t="s">
        <v>1030</v>
      </c>
      <c r="B92" s="17">
        <v>18017</v>
      </c>
      <c r="C92" s="18">
        <f t="shared" si="2"/>
        <v>1.4307063879527487E-2</v>
      </c>
      <c r="D92">
        <v>18</v>
      </c>
      <c r="E92" t="str">
        <f>VLOOKUP(D92,Validation!$A$2:$C$41,3,FALSE)</f>
        <v>MLS</v>
      </c>
    </row>
    <row r="93" spans="1:6" x14ac:dyDescent="0.15">
      <c r="B93" s="17"/>
      <c r="C93" s="18"/>
    </row>
    <row r="94" spans="1:6" x14ac:dyDescent="0.15">
      <c r="B94" s="17"/>
      <c r="C94" s="18"/>
    </row>
    <row r="95" spans="1:6" x14ac:dyDescent="0.15">
      <c r="B95" s="17"/>
      <c r="C95" s="18"/>
    </row>
    <row r="96" spans="1:6" x14ac:dyDescent="0.15">
      <c r="B96" s="17"/>
      <c r="C96" s="18"/>
    </row>
    <row r="97" spans="2:3" x14ac:dyDescent="0.15">
      <c r="B97" s="17"/>
      <c r="C97" s="18"/>
    </row>
    <row r="98" spans="2:3" x14ac:dyDescent="0.15">
      <c r="B98" s="17"/>
      <c r="C98" s="18"/>
    </row>
  </sheetData>
  <pageMargins left="0.7" right="0.7" top="0.75" bottom="0.75" header="0.3" footer="0.3"/>
  <pageSetup orientation="portrait" verticalDpi="0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 enableFormatConditionsCalculation="0"/>
  <dimension ref="A1:F97"/>
  <sheetViews>
    <sheetView topLeftCell="A67" zoomScale="85" zoomScaleNormal="85" zoomScalePageLayoutView="85" workbookViewId="0">
      <selection activeCell="A94" sqref="A94"/>
    </sheetView>
  </sheetViews>
  <sheetFormatPr baseColWidth="10" defaultColWidth="8.83203125" defaultRowHeight="13" x14ac:dyDescent="0.15"/>
  <cols>
    <col min="1" max="1" width="33.33203125" bestFit="1" customWidth="1"/>
    <col min="2" max="2" width="10.5" bestFit="1" customWidth="1"/>
  </cols>
  <sheetData>
    <row r="1" spans="1:3" x14ac:dyDescent="0.15">
      <c r="A1" t="s">
        <v>583</v>
      </c>
      <c r="B1" t="s">
        <v>807</v>
      </c>
      <c r="C1" t="s">
        <v>811</v>
      </c>
    </row>
    <row r="2" spans="1:3" x14ac:dyDescent="0.15">
      <c r="A2" t="s">
        <v>0</v>
      </c>
      <c r="B2" s="17">
        <f>IFERROR(SUMIFS('Full List'!B:B,'Full List'!A:A,SC!$A2,'Full List'!E:E,SC!$A$1),"")</f>
        <v>1715831</v>
      </c>
      <c r="C2" s="18">
        <f>IFERROR(B2/$B$2,"")</f>
        <v>1</v>
      </c>
    </row>
    <row r="3" spans="1:3" x14ac:dyDescent="0.15">
      <c r="A3" t="s">
        <v>3</v>
      </c>
      <c r="B3" s="17">
        <f>IFERROR(SUMIFS('Full List'!B:B,'Full List'!A:A,SC!$A3,'Full List'!E:E,SC!$A$1),"")</f>
        <v>13086</v>
      </c>
      <c r="C3" s="18">
        <f t="shared" ref="C3:C66" si="0">IFERROR(B3/$B$2,"")</f>
        <v>7.6266252329046389E-3</v>
      </c>
    </row>
    <row r="4" spans="1:3" x14ac:dyDescent="0.15">
      <c r="A4" t="s">
        <v>4</v>
      </c>
      <c r="B4" s="17">
        <f>IFERROR(SUMIFS('Full List'!B:B,'Full List'!A:A,SC!$A4,'Full List'!E:E,SC!$A$1),"")</f>
        <v>8639</v>
      </c>
      <c r="C4" s="18">
        <f t="shared" si="0"/>
        <v>5.0348781435933954E-3</v>
      </c>
    </row>
    <row r="5" spans="1:3" x14ac:dyDescent="0.15">
      <c r="A5" t="s">
        <v>5</v>
      </c>
      <c r="B5" s="17">
        <f>IFERROR(SUMIFS('Full List'!B:B,'Full List'!A:A,SC!$A5,'Full List'!E:E,SC!$A$1),"")</f>
        <v>146067</v>
      </c>
      <c r="C5" s="18">
        <f t="shared" si="0"/>
        <v>8.5129013288604768E-2</v>
      </c>
    </row>
    <row r="6" spans="1:3" x14ac:dyDescent="0.15">
      <c r="A6" t="s">
        <v>6</v>
      </c>
      <c r="B6" s="17">
        <f>IFERROR(SUMIFS('Full List'!B:B,'Full List'!A:A,SC!$A6,'Full List'!E:E,SC!$A$1),"")</f>
        <v>228845</v>
      </c>
      <c r="C6" s="18">
        <f t="shared" si="0"/>
        <v>0.13337269229895019</v>
      </c>
    </row>
    <row r="7" spans="1:3" x14ac:dyDescent="0.15">
      <c r="A7" t="s">
        <v>7</v>
      </c>
      <c r="B7" s="17">
        <f>IFERROR(SUMIFS('Full List'!B:B,'Full List'!A:A,SC!$A7,'Full List'!E:E,SC!$A$1),"")</f>
        <v>497268</v>
      </c>
      <c r="C7" s="18">
        <f t="shared" si="0"/>
        <v>0.2898117588503763</v>
      </c>
    </row>
    <row r="8" spans="1:3" x14ac:dyDescent="0.15">
      <c r="A8" t="s">
        <v>8</v>
      </c>
      <c r="B8" s="17">
        <f>IFERROR(SUMIFS('Full List'!B:B,'Full List'!A:A,SC!$A8,'Full List'!E:E,SC!$A$1),"")</f>
        <v>7169</v>
      </c>
      <c r="C8" s="18">
        <f t="shared" si="0"/>
        <v>4.1781504122492246E-3</v>
      </c>
    </row>
    <row r="9" spans="1:3" x14ac:dyDescent="0.15">
      <c r="A9" t="s">
        <v>9</v>
      </c>
      <c r="B9" s="17">
        <f>IFERROR(SUMIFS('Full List'!B:B,'Full List'!A:A,SC!$A9,'Full List'!E:E,SC!$A$1),"")</f>
        <v>22335</v>
      </c>
      <c r="C9" s="18">
        <f t="shared" si="0"/>
        <v>1.3017016244606841E-2</v>
      </c>
    </row>
    <row r="10" spans="1:3" x14ac:dyDescent="0.15">
      <c r="A10" t="s">
        <v>10</v>
      </c>
      <c r="B10" s="17">
        <f>IFERROR(SUMIFS('Full List'!B:B,'Full List'!A:A,SC!$A10,'Full List'!E:E,SC!$A$1),"")</f>
        <v>56985</v>
      </c>
      <c r="C10" s="18">
        <f t="shared" si="0"/>
        <v>3.3211312769148009E-2</v>
      </c>
    </row>
    <row r="11" spans="1:3" x14ac:dyDescent="0.15">
      <c r="A11" t="s">
        <v>11</v>
      </c>
      <c r="B11" s="17">
        <f>IFERROR(SUMIFS('Full List'!B:B,'Full List'!A:A,SC!$A11,'Full List'!E:E,SC!$A$1),"")</f>
        <v>97458</v>
      </c>
      <c r="C11" s="18">
        <f t="shared" si="0"/>
        <v>5.6799300164177009E-2</v>
      </c>
    </row>
    <row r="12" spans="1:3" x14ac:dyDescent="0.15">
      <c r="A12" t="s">
        <v>12</v>
      </c>
      <c r="B12" s="17">
        <f>IFERROR(SUMIFS('Full List'!B:B,'Full List'!A:A,SC!$A12,'Full List'!E:E,SC!$A$1),"")</f>
        <v>19780</v>
      </c>
      <c r="C12" s="18">
        <f t="shared" si="0"/>
        <v>1.1527941854413401E-2</v>
      </c>
    </row>
    <row r="13" spans="1:3" x14ac:dyDescent="0.15">
      <c r="A13" t="s">
        <v>13</v>
      </c>
      <c r="B13" s="17">
        <f>IFERROR(SUMIFS('Full List'!B:B,'Full List'!A:A,SC!$A13,'Full List'!E:E,SC!$A$1),"")</f>
        <v>11057</v>
      </c>
      <c r="C13" s="18">
        <f t="shared" si="0"/>
        <v>6.4441078404574807E-3</v>
      </c>
    </row>
    <row r="14" spans="1:3" x14ac:dyDescent="0.15">
      <c r="A14" t="s">
        <v>14</v>
      </c>
      <c r="B14" s="17">
        <f>IFERROR(SUMIFS('Full List'!B:B,'Full List'!A:A,SC!$A14,'Full List'!E:E,SC!$A$1),"")</f>
        <v>107968</v>
      </c>
      <c r="C14" s="18">
        <f t="shared" si="0"/>
        <v>6.292461203929757E-2</v>
      </c>
    </row>
    <row r="15" spans="1:3" x14ac:dyDescent="0.15">
      <c r="A15" t="s">
        <v>15</v>
      </c>
      <c r="B15" s="17">
        <f>IFERROR(SUMIFS('Full List'!B:B,'Full List'!A:A,SC!$A15,'Full List'!E:E,SC!$A$1),"")</f>
        <v>187966</v>
      </c>
      <c r="C15" s="18">
        <f t="shared" si="0"/>
        <v>0.10954808486383566</v>
      </c>
    </row>
    <row r="16" spans="1:3" x14ac:dyDescent="0.15">
      <c r="A16" t="s">
        <v>16</v>
      </c>
      <c r="B16" s="17">
        <f>IFERROR(SUMIFS('Full List'!B:B,'Full List'!A:A,SC!$A16,'Full List'!E:E,SC!$A$1),"")</f>
        <v>64075</v>
      </c>
      <c r="C16" s="18">
        <f t="shared" si="0"/>
        <v>3.7343421350937239E-2</v>
      </c>
    </row>
    <row r="17" spans="1:3" x14ac:dyDescent="0.15">
      <c r="A17" t="s">
        <v>17</v>
      </c>
      <c r="B17" s="17">
        <f>IFERROR(SUMIFS('Full List'!B:B,'Full List'!A:A,SC!$A17,'Full List'!E:E,SC!$A$1),"")</f>
        <v>22731</v>
      </c>
      <c r="C17" s="18">
        <f t="shared" si="0"/>
        <v>1.3247808204887312E-2</v>
      </c>
    </row>
    <row r="18" spans="1:3" x14ac:dyDescent="0.15">
      <c r="A18" t="s">
        <v>18</v>
      </c>
      <c r="B18" s="17">
        <f>IFERROR(SUMIFS('Full List'!B:B,'Full List'!A:A,SC!$A18,'Full List'!E:E,SC!$A$1),"")</f>
        <v>30268</v>
      </c>
      <c r="C18" s="18">
        <f t="shared" si="0"/>
        <v>1.764043195396283E-2</v>
      </c>
    </row>
    <row r="19" spans="1:3" x14ac:dyDescent="0.15">
      <c r="A19" t="s">
        <v>19</v>
      </c>
      <c r="B19" s="17">
        <f>IFERROR(SUMIFS('Full List'!B:B,'Full List'!A:A,SC!$A19,'Full List'!E:E,SC!$A$1),"")</f>
        <v>180111</v>
      </c>
      <c r="C19" s="18">
        <f t="shared" si="0"/>
        <v>0.10497012817695915</v>
      </c>
    </row>
    <row r="20" spans="1:3" x14ac:dyDescent="0.15">
      <c r="A20" t="s">
        <v>20</v>
      </c>
      <c r="B20" s="17">
        <f>IFERROR(SUMIFS('Full List'!B:B,'Full List'!A:A,SC!$A20,'Full List'!E:E,SC!$A$1),"")</f>
        <v>15362</v>
      </c>
      <c r="C20" s="18">
        <f t="shared" si="0"/>
        <v>8.9530961965368378E-3</v>
      </c>
    </row>
    <row r="21" spans="1:3" x14ac:dyDescent="0.15">
      <c r="A21" t="s">
        <v>21</v>
      </c>
      <c r="B21" s="17">
        <f>IFERROR(SUMIFS('Full List'!B:B,'Full List'!A:A,SC!$A21,'Full List'!E:E,SC!$A$1),"")</f>
        <v>38474</v>
      </c>
      <c r="C21" s="18">
        <f t="shared" si="0"/>
        <v>2.2422954241997025E-2</v>
      </c>
    </row>
    <row r="22" spans="1:3" x14ac:dyDescent="0.15">
      <c r="A22" t="s">
        <v>22</v>
      </c>
      <c r="B22" s="17">
        <f>IFERROR(SUMIFS('Full List'!B:B,'Full List'!A:A,SC!$A22,'Full List'!E:E,SC!$A$1),"")</f>
        <v>6647</v>
      </c>
      <c r="C22" s="18">
        <f t="shared" si="0"/>
        <v>3.8739246464249686E-3</v>
      </c>
    </row>
    <row r="23" spans="1:3" x14ac:dyDescent="0.15">
      <c r="A23" t="s">
        <v>23</v>
      </c>
      <c r="B23" s="17">
        <f>IFERROR(SUMIFS('Full List'!B:B,'Full List'!A:A,SC!$A23,'Full List'!E:E,SC!$A$1),"")</f>
        <v>38466</v>
      </c>
      <c r="C23" s="18">
        <f t="shared" si="0"/>
        <v>2.2418291778152976E-2</v>
      </c>
    </row>
    <row r="24" spans="1:3" x14ac:dyDescent="0.15">
      <c r="A24" t="s">
        <v>24</v>
      </c>
      <c r="B24" s="17">
        <f>IFERROR(SUMIFS('Full List'!B:B,'Full List'!A:A,SC!$A24,'Full List'!E:E,SC!$A$1),"")</f>
        <v>4223</v>
      </c>
      <c r="C24" s="18">
        <f t="shared" si="0"/>
        <v>2.4611981016778458E-3</v>
      </c>
    </row>
    <row r="25" spans="1:3" x14ac:dyDescent="0.15">
      <c r="A25" t="s">
        <v>25</v>
      </c>
      <c r="B25" s="17">
        <f>IFERROR(SUMIFS('Full List'!B:B,'Full List'!A:A,SC!$A25,'Full List'!E:E,SC!$A$1),"")</f>
        <v>47397</v>
      </c>
      <c r="C25" s="18">
        <f t="shared" si="0"/>
        <v>2.7623349852054193E-2</v>
      </c>
    </row>
    <row r="26" spans="1:3" x14ac:dyDescent="0.15">
      <c r="A26" t="s">
        <v>26</v>
      </c>
      <c r="B26" s="17">
        <f>IFERROR(SUMIFS('Full List'!B:B,'Full List'!A:A,SC!$A26,'Full List'!E:E,SC!$A$1),"")</f>
        <v>10260</v>
      </c>
      <c r="C26" s="18">
        <f t="shared" si="0"/>
        <v>5.9796098799940085E-3</v>
      </c>
    </row>
    <row r="27" spans="1:3" x14ac:dyDescent="0.15">
      <c r="A27" t="s">
        <v>27</v>
      </c>
      <c r="B27" s="17">
        <f>IFERROR(SUMIFS('Full List'!B:B,'Full List'!A:A,SC!$A27,'Full List'!E:E,SC!$A$1),"")</f>
        <v>235043</v>
      </c>
      <c r="C27" s="18">
        <f t="shared" si="0"/>
        <v>0.13698493616212787</v>
      </c>
    </row>
    <row r="28" spans="1:3" x14ac:dyDescent="0.15">
      <c r="A28" t="s">
        <v>28</v>
      </c>
      <c r="B28" s="17">
        <f>IFERROR(SUMIFS('Full List'!B:B,'Full List'!A:A,SC!$A28,'Full List'!E:E,SC!$A$1),"")</f>
        <v>107101</v>
      </c>
      <c r="C28" s="18">
        <f t="shared" si="0"/>
        <v>6.2419317520198671E-2</v>
      </c>
    </row>
    <row r="29" spans="1:3" x14ac:dyDescent="0.15">
      <c r="A29" t="s">
        <v>29</v>
      </c>
      <c r="B29" s="17">
        <f>IFERROR(SUMIFS('Full List'!B:B,'Full List'!A:A,SC!$A29,'Full List'!E:E,SC!$A$1),"")</f>
        <v>372145</v>
      </c>
      <c r="C29" s="18">
        <f t="shared" si="0"/>
        <v>0.21688907590549419</v>
      </c>
    </row>
    <row r="30" spans="1:3" x14ac:dyDescent="0.15">
      <c r="A30" t="s">
        <v>30</v>
      </c>
      <c r="B30" s="17">
        <f>IFERROR(SUMIFS('Full List'!B:B,'Full List'!A:A,SC!$A30,'Full List'!E:E,SC!$A$1),"")</f>
        <v>18451</v>
      </c>
      <c r="C30" s="18">
        <f t="shared" si="0"/>
        <v>1.0753390048320609E-2</v>
      </c>
    </row>
    <row r="31" spans="1:3" x14ac:dyDescent="0.15">
      <c r="A31" t="s">
        <v>31</v>
      </c>
      <c r="B31" s="17">
        <f>IFERROR(SUMIFS('Full List'!B:B,'Full List'!A:A,SC!$A31,'Full List'!E:E,SC!$A$1),"")</f>
        <v>8960</v>
      </c>
      <c r="C31" s="18">
        <f t="shared" si="0"/>
        <v>5.2219595053358981E-3</v>
      </c>
    </row>
    <row r="32" spans="1:3" x14ac:dyDescent="0.15">
      <c r="A32" t="s">
        <v>32</v>
      </c>
      <c r="B32" s="17">
        <f>IFERROR(SUMIFS('Full List'!B:B,'Full List'!A:A,SC!$A32,'Full List'!E:E,SC!$A$1),"")</f>
        <v>55856</v>
      </c>
      <c r="C32" s="18">
        <f t="shared" si="0"/>
        <v>3.2553322559156467E-2</v>
      </c>
    </row>
    <row r="33" spans="1:3" x14ac:dyDescent="0.15">
      <c r="A33" t="s">
        <v>33</v>
      </c>
      <c r="B33" s="17">
        <f>IFERROR(SUMIFS('Full List'!B:B,'Full List'!A:A,SC!$A33,'Full List'!E:E,SC!$A$1),"")</f>
        <v>388221</v>
      </c>
      <c r="C33" s="18">
        <f t="shared" si="0"/>
        <v>0.22625829700011249</v>
      </c>
    </row>
    <row r="34" spans="1:3" x14ac:dyDescent="0.15">
      <c r="A34" t="s">
        <v>34</v>
      </c>
      <c r="B34" s="17">
        <f>IFERROR(SUMIFS('Full List'!B:B,'Full List'!A:A,SC!$A34,'Full List'!E:E,SC!$A$1),"")</f>
        <v>130303</v>
      </c>
      <c r="C34" s="18">
        <f t="shared" si="0"/>
        <v>7.5941628283904411E-2</v>
      </c>
    </row>
    <row r="35" spans="1:3" x14ac:dyDescent="0.15">
      <c r="A35" t="s">
        <v>35</v>
      </c>
      <c r="B35" s="17">
        <f>IFERROR(SUMIFS('Full List'!B:B,'Full List'!A:A,SC!$A35,'Full List'!E:E,SC!$A$1),"")</f>
        <v>46447</v>
      </c>
      <c r="C35" s="18">
        <f t="shared" si="0"/>
        <v>2.7069682270573266E-2</v>
      </c>
    </row>
    <row r="36" spans="1:3" x14ac:dyDescent="0.15">
      <c r="A36" t="s">
        <v>36</v>
      </c>
      <c r="B36" s="17">
        <f>IFERROR(SUMIFS('Full List'!B:B,'Full List'!A:A,SC!$A36,'Full List'!E:E,SC!$A$1),"")</f>
        <v>46216</v>
      </c>
      <c r="C36" s="18">
        <f t="shared" si="0"/>
        <v>2.6935053627076325E-2</v>
      </c>
    </row>
    <row r="37" spans="1:3" x14ac:dyDescent="0.15">
      <c r="A37" t="s">
        <v>37</v>
      </c>
      <c r="B37" s="17">
        <f>IFERROR(SUMIFS('Full List'!B:B,'Full List'!A:A,SC!$A37,'Full List'!E:E,SC!$A$1),"")</f>
        <v>29452</v>
      </c>
      <c r="C37" s="18">
        <f t="shared" si="0"/>
        <v>1.7164860641869742E-2</v>
      </c>
    </row>
    <row r="38" spans="1:3" x14ac:dyDescent="0.15">
      <c r="A38" t="s">
        <v>38</v>
      </c>
      <c r="B38" s="17">
        <f>IFERROR(SUMIFS('Full List'!B:B,'Full List'!A:A,SC!$A38,'Full List'!E:E,SC!$A$1),"")</f>
        <v>29777</v>
      </c>
      <c r="C38" s="18">
        <f t="shared" si="0"/>
        <v>1.7354273235534269E-2</v>
      </c>
    </row>
    <row r="39" spans="1:3" x14ac:dyDescent="0.15">
      <c r="A39" t="s">
        <v>39</v>
      </c>
      <c r="B39" s="17">
        <f>IFERROR(SUMIFS('Full List'!B:B,'Full List'!A:A,SC!$A39,'Full List'!E:E,SC!$A$1),"")</f>
        <v>79188</v>
      </c>
      <c r="C39" s="18">
        <f t="shared" si="0"/>
        <v>4.6151398360328028E-2</v>
      </c>
    </row>
    <row r="40" spans="1:3" x14ac:dyDescent="0.15">
      <c r="A40" t="s">
        <v>40</v>
      </c>
      <c r="B40" s="17">
        <f>IFERROR(SUMIFS('Full List'!B:B,'Full List'!A:A,SC!$A40,'Full List'!E:E,SC!$A$1),"")</f>
        <v>23816</v>
      </c>
      <c r="C40" s="18">
        <f t="shared" si="0"/>
        <v>1.3880154863736581E-2</v>
      </c>
    </row>
    <row r="41" spans="1:3" x14ac:dyDescent="0.15">
      <c r="A41" t="s">
        <v>41</v>
      </c>
      <c r="B41" s="17">
        <f>IFERROR(SUMIFS('Full List'!B:B,'Full List'!A:A,SC!$A41,'Full List'!E:E,SC!$A$1),"")</f>
        <v>45693</v>
      </c>
      <c r="C41" s="18">
        <f t="shared" si="0"/>
        <v>2.6630245053271565E-2</v>
      </c>
    </row>
    <row r="42" spans="1:3" x14ac:dyDescent="0.15">
      <c r="A42" t="s">
        <v>42</v>
      </c>
      <c r="B42" s="17">
        <f>IFERROR(SUMIFS('Full List'!B:B,'Full List'!A:A,SC!$A42,'Full List'!E:E,SC!$A$1),"")</f>
        <v>67484</v>
      </c>
      <c r="C42" s="18">
        <f t="shared" si="0"/>
        <v>3.9330213756483011E-2</v>
      </c>
    </row>
    <row r="43" spans="1:3" x14ac:dyDescent="0.15">
      <c r="A43" t="s">
        <v>43</v>
      </c>
      <c r="B43" s="17">
        <f>IFERROR(SUMIFS('Full List'!B:B,'Full List'!A:A,SC!$A43,'Full List'!E:E,SC!$A$1),"")</f>
        <v>163210</v>
      </c>
      <c r="C43" s="18">
        <f t="shared" si="0"/>
        <v>9.512009049842321E-2</v>
      </c>
    </row>
    <row r="44" spans="1:3" x14ac:dyDescent="0.15">
      <c r="A44" t="s">
        <v>44</v>
      </c>
      <c r="B44" s="17">
        <f>IFERROR(SUMIFS('Full List'!B:B,'Full List'!A:A,SC!$A44,'Full List'!E:E,SC!$A$1),"")</f>
        <v>156466</v>
      </c>
      <c r="C44" s="18">
        <f t="shared" si="0"/>
        <v>9.1189633477889137E-2</v>
      </c>
    </row>
    <row r="45" spans="1:3" x14ac:dyDescent="0.15">
      <c r="A45" t="s">
        <v>45</v>
      </c>
      <c r="B45" s="17">
        <f>IFERROR(SUMIFS('Full List'!B:B,'Full List'!A:A,SC!$A45,'Full List'!E:E,SC!$A$1),"")</f>
        <v>502160</v>
      </c>
      <c r="C45" s="18">
        <f t="shared" si="0"/>
        <v>0.29266285549101279</v>
      </c>
    </row>
    <row r="46" spans="1:3" x14ac:dyDescent="0.15">
      <c r="A46" t="s">
        <v>46</v>
      </c>
      <c r="B46" s="17">
        <f>IFERROR(SUMIFS('Full List'!B:B,'Full List'!A:A,SC!$A46,'Full List'!E:E,SC!$A$1),"")</f>
        <v>661276</v>
      </c>
      <c r="C46" s="18">
        <f t="shared" si="0"/>
        <v>0.38539693011724346</v>
      </c>
    </row>
    <row r="47" spans="1:3" x14ac:dyDescent="0.15">
      <c r="A47" t="s">
        <v>47</v>
      </c>
      <c r="B47" s="17">
        <f>IFERROR(SUMIFS('Full List'!B:B,'Full List'!A:A,SC!$A47,'Full List'!E:E,SC!$A$1),"")</f>
        <v>944562</v>
      </c>
      <c r="C47" s="18">
        <f t="shared" si="0"/>
        <v>0.55049827168293386</v>
      </c>
    </row>
    <row r="48" spans="1:3" x14ac:dyDescent="0.15">
      <c r="A48" t="s">
        <v>48</v>
      </c>
      <c r="B48" s="17">
        <f>IFERROR(SUMIFS('Full List'!B:B,'Full List'!A:A,SC!$A48,'Full List'!E:E,SC!$A$1),"")</f>
        <v>109454</v>
      </c>
      <c r="C48" s="18">
        <f t="shared" si="0"/>
        <v>6.3790664698329849E-2</v>
      </c>
    </row>
    <row r="49" spans="1:3" x14ac:dyDescent="0.15">
      <c r="A49" t="s">
        <v>49</v>
      </c>
      <c r="B49" s="17">
        <f>IFERROR(SUMIFS('Full List'!B:B,'Full List'!A:A,SC!$A49,'Full List'!E:E,SC!$A$1),"")</f>
        <v>132396</v>
      </c>
      <c r="C49" s="18">
        <f t="shared" si="0"/>
        <v>7.7161445387103969E-2</v>
      </c>
    </row>
    <row r="50" spans="1:3" x14ac:dyDescent="0.15">
      <c r="A50" t="s">
        <v>50</v>
      </c>
      <c r="B50" s="17">
        <f>IFERROR(SUMIFS('Full List'!B:B,'Full List'!A:A,SC!$A50,'Full List'!E:E,SC!$A$1),"")</f>
        <v>244840</v>
      </c>
      <c r="C50" s="18">
        <f t="shared" si="0"/>
        <v>0.14269470594714748</v>
      </c>
    </row>
    <row r="51" spans="1:3" x14ac:dyDescent="0.15">
      <c r="A51" t="s">
        <v>51</v>
      </c>
      <c r="B51" s="17">
        <f>IFERROR(SUMIFS('Full List'!B:B,'Full List'!A:A,SC!$A51,'Full List'!E:E,SC!$A$1),"")</f>
        <v>525880</v>
      </c>
      <c r="C51" s="18">
        <f t="shared" si="0"/>
        <v>0.30648706078862081</v>
      </c>
    </row>
    <row r="52" spans="1:3" x14ac:dyDescent="0.15">
      <c r="A52" t="s">
        <v>52</v>
      </c>
      <c r="B52" s="17">
        <f>IFERROR(SUMIFS('Full List'!B:B,'Full List'!A:A,SC!$A52,'Full List'!E:E,SC!$A$1),"")</f>
        <v>249784</v>
      </c>
      <c r="C52" s="18">
        <f t="shared" si="0"/>
        <v>0.14557610860277032</v>
      </c>
    </row>
    <row r="53" spans="1:3" x14ac:dyDescent="0.15">
      <c r="A53" t="s">
        <v>53</v>
      </c>
      <c r="B53" s="17">
        <f>IFERROR(SUMIFS('Full List'!B:B,'Full List'!A:A,SC!$A53,'Full List'!E:E,SC!$A$1),"")</f>
        <v>185239</v>
      </c>
      <c r="C53" s="18">
        <f t="shared" si="0"/>
        <v>0.10795876750099515</v>
      </c>
    </row>
    <row r="54" spans="1:3" x14ac:dyDescent="0.15">
      <c r="A54" t="s">
        <v>54</v>
      </c>
      <c r="B54" s="17">
        <f>IFERROR(SUMIFS('Full List'!B:B,'Full List'!A:A,SC!$A54,'Full List'!E:E,SC!$A$1),"")</f>
        <v>646992</v>
      </c>
      <c r="C54" s="18">
        <f t="shared" si="0"/>
        <v>0.37707210092369237</v>
      </c>
    </row>
    <row r="55" spans="1:3" x14ac:dyDescent="0.15">
      <c r="A55" t="s">
        <v>55</v>
      </c>
      <c r="B55" s="17">
        <f>IFERROR(SUMIFS('Full List'!B:B,'Full List'!A:A,SC!$A55,'Full List'!E:E,SC!$A$1),"")</f>
        <v>570509</v>
      </c>
      <c r="C55" s="18">
        <f t="shared" si="0"/>
        <v>0.33249719815063372</v>
      </c>
    </row>
    <row r="56" spans="1:3" x14ac:dyDescent="0.15">
      <c r="A56" t="s">
        <v>56</v>
      </c>
      <c r="B56" s="17">
        <f>IFERROR(SUMIFS('Full List'!B:B,'Full List'!A:A,SC!$A56,'Full List'!E:E,SC!$A$1),"")</f>
        <v>391034</v>
      </c>
      <c r="C56" s="18">
        <f t="shared" si="0"/>
        <v>0.22789773584927653</v>
      </c>
    </row>
    <row r="57" spans="1:3" x14ac:dyDescent="0.15">
      <c r="A57" t="s">
        <v>57</v>
      </c>
      <c r="B57" s="17">
        <f>IFERROR(SUMIFS('Full List'!B:B,'Full List'!A:A,SC!$A57,'Full List'!E:E,SC!$A$1),"")</f>
        <v>282355</v>
      </c>
      <c r="C57" s="18">
        <f t="shared" si="0"/>
        <v>0.16455874733583903</v>
      </c>
    </row>
    <row r="58" spans="1:3" x14ac:dyDescent="0.15">
      <c r="A58" t="s">
        <v>58</v>
      </c>
      <c r="B58" s="17">
        <f>IFERROR(SUMIFS('Full List'!B:B,'Full List'!A:A,SC!$A58,'Full List'!E:E,SC!$A$1),"")</f>
        <v>203535</v>
      </c>
      <c r="C58" s="18">
        <f t="shared" si="0"/>
        <v>0.11862182231233728</v>
      </c>
    </row>
    <row r="59" spans="1:3" x14ac:dyDescent="0.15">
      <c r="A59" t="s">
        <v>59</v>
      </c>
      <c r="B59" s="17">
        <f>IFERROR(SUMIFS('Full List'!B:B,'Full List'!A:A,SC!$A59,'Full List'!E:E,SC!$A$1),"")</f>
        <v>716058</v>
      </c>
      <c r="C59" s="18">
        <f t="shared" si="0"/>
        <v>0.41732431690533622</v>
      </c>
    </row>
    <row r="60" spans="1:3" x14ac:dyDescent="0.15">
      <c r="A60" t="s">
        <v>60</v>
      </c>
      <c r="B60" s="17">
        <f>IFERROR(SUMIFS('Full List'!B:B,'Full List'!A:A,SC!$A60,'Full List'!E:E,SC!$A$1),"")</f>
        <v>186586</v>
      </c>
      <c r="C60" s="18">
        <f t="shared" si="0"/>
        <v>0.10874380985073705</v>
      </c>
    </row>
    <row r="61" spans="1:3" x14ac:dyDescent="0.15">
      <c r="A61" t="s">
        <v>61</v>
      </c>
      <c r="B61" s="17">
        <f>IFERROR(SUMIFS('Full List'!B:B,'Full List'!A:A,SC!$A61,'Full List'!E:E,SC!$A$1),"")</f>
        <v>278995</v>
      </c>
      <c r="C61" s="18">
        <f t="shared" si="0"/>
        <v>0.16260051252133806</v>
      </c>
    </row>
    <row r="62" spans="1:3" x14ac:dyDescent="0.15">
      <c r="A62" t="s">
        <v>62</v>
      </c>
      <c r="B62" s="17">
        <f>IFERROR(SUMIFS('Full List'!B:B,'Full List'!A:A,SC!$A62,'Full List'!E:E,SC!$A$1),"")</f>
        <v>73068</v>
      </c>
      <c r="C62" s="18">
        <f t="shared" si="0"/>
        <v>4.2584613519629846E-2</v>
      </c>
    </row>
    <row r="63" spans="1:3" x14ac:dyDescent="0.15">
      <c r="A63" t="s">
        <v>63</v>
      </c>
      <c r="B63" s="17">
        <f>IFERROR(SUMIFS('Full List'!B:B,'Full List'!A:A,SC!$A63,'Full List'!E:E,SC!$A$1),"")</f>
        <v>323350</v>
      </c>
      <c r="C63" s="18">
        <f t="shared" si="0"/>
        <v>0.18845096049669227</v>
      </c>
    </row>
    <row r="64" spans="1:3" x14ac:dyDescent="0.15">
      <c r="A64" t="s">
        <v>64</v>
      </c>
      <c r="B64" s="17">
        <f>IFERROR(SUMIFS('Full List'!B:B,'Full List'!A:A,SC!$A64,'Full List'!E:E,SC!$A$1),"")</f>
        <v>64407</v>
      </c>
      <c r="C64" s="18">
        <f t="shared" si="0"/>
        <v>3.7536913600465315E-2</v>
      </c>
    </row>
    <row r="65" spans="1:3" x14ac:dyDescent="0.15">
      <c r="A65" t="s">
        <v>65</v>
      </c>
      <c r="B65" s="17">
        <f>IFERROR(SUMIFS('Full List'!B:B,'Full List'!A:A,SC!$A65,'Full List'!E:E,SC!$A$1),"")</f>
        <v>313912</v>
      </c>
      <c r="C65" s="18">
        <f t="shared" si="0"/>
        <v>0.1829504187766744</v>
      </c>
    </row>
    <row r="66" spans="1:3" x14ac:dyDescent="0.15">
      <c r="A66" t="s">
        <v>66</v>
      </c>
      <c r="B66" s="17">
        <f>IFERROR(SUMIFS('Full List'!B:B,'Full List'!A:A,SC!$A66,'Full List'!E:E,SC!$A$1),"")</f>
        <v>124704</v>
      </c>
      <c r="C66" s="18">
        <f t="shared" si="0"/>
        <v>7.2678486401049985E-2</v>
      </c>
    </row>
    <row r="67" spans="1:3" x14ac:dyDescent="0.15">
      <c r="A67" t="s">
        <v>67</v>
      </c>
      <c r="B67" s="17">
        <f>IFERROR(SUMIFS('Full List'!B:B,'Full List'!A:A,SC!$A67,'Full List'!E:E,SC!$A$1),"")</f>
        <v>677348</v>
      </c>
      <c r="C67" s="18">
        <f t="shared" ref="C67:C82" si="1">IFERROR(B67/$B$2,"")</f>
        <v>0.39476381997993976</v>
      </c>
    </row>
    <row r="68" spans="1:3" x14ac:dyDescent="0.15">
      <c r="A68" t="s">
        <v>68</v>
      </c>
      <c r="B68" s="17">
        <f>IFERROR(SUMIFS('Full List'!B:B,'Full List'!A:A,SC!$A68,'Full List'!E:E,SC!$A$1),"")</f>
        <v>487919</v>
      </c>
      <c r="C68" s="18">
        <f t="shared" si="1"/>
        <v>0.28436308704062346</v>
      </c>
    </row>
    <row r="69" spans="1:3" x14ac:dyDescent="0.15">
      <c r="A69" t="s">
        <v>69</v>
      </c>
      <c r="B69" s="17">
        <f>IFERROR(SUMIFS('Full List'!B:B,'Full List'!A:A,SC!$A69,'Full List'!E:E,SC!$A$1),"")</f>
        <v>978797</v>
      </c>
      <c r="C69" s="18">
        <f t="shared" si="1"/>
        <v>0.57045070289556488</v>
      </c>
    </row>
    <row r="70" spans="1:3" x14ac:dyDescent="0.15">
      <c r="A70" t="s">
        <v>70</v>
      </c>
      <c r="B70" s="17">
        <f>IFERROR(SUMIFS('Full List'!B:B,'Full List'!A:A,SC!$A70,'Full List'!E:E,SC!$A$1),"")</f>
        <v>211178</v>
      </c>
      <c r="C70" s="18">
        <f t="shared" si="1"/>
        <v>0.12307622370734647</v>
      </c>
    </row>
    <row r="71" spans="1:3" x14ac:dyDescent="0.15">
      <c r="A71" t="s">
        <v>71</v>
      </c>
      <c r="B71" s="17">
        <f>IFERROR(SUMIFS('Full List'!B:B,'Full List'!A:A,SC!$A71,'Full List'!E:E,SC!$A$1),"")</f>
        <v>77971</v>
      </c>
      <c r="C71" s="18">
        <f t="shared" si="1"/>
        <v>4.5442121048051932E-2</v>
      </c>
    </row>
    <row r="72" spans="1:3" x14ac:dyDescent="0.15">
      <c r="A72" t="s">
        <v>72</v>
      </c>
      <c r="B72" s="17">
        <f>IFERROR(SUMIFS('Full List'!B:B,'Full List'!A:A,SC!$A72,'Full List'!E:E,SC!$A$1),"")</f>
        <v>311554</v>
      </c>
      <c r="C72" s="18">
        <f t="shared" si="1"/>
        <v>0.18157615755864068</v>
      </c>
    </row>
    <row r="73" spans="1:3" x14ac:dyDescent="0.15">
      <c r="A73" t="s">
        <v>73</v>
      </c>
      <c r="B73" s="17">
        <f>IFERROR(SUMIFS('Full List'!B:B,'Full List'!A:A,SC!$A73,'Full List'!E:E,SC!$A$1),"")</f>
        <v>964567</v>
      </c>
      <c r="C73" s="18">
        <f t="shared" si="1"/>
        <v>0.56215734533296113</v>
      </c>
    </row>
    <row r="74" spans="1:3" x14ac:dyDescent="0.15">
      <c r="A74" t="s">
        <v>74</v>
      </c>
      <c r="B74" s="17">
        <f>IFERROR(SUMIFS('Full List'!B:B,'Full List'!A:A,SC!$A74,'Full List'!E:E,SC!$A$1),"")</f>
        <v>478053</v>
      </c>
      <c r="C74" s="18">
        <f t="shared" si="1"/>
        <v>0.27861310350494889</v>
      </c>
    </row>
    <row r="75" spans="1:3" x14ac:dyDescent="0.15">
      <c r="A75" t="s">
        <v>75</v>
      </c>
      <c r="B75" s="17">
        <f>IFERROR(SUMIFS('Full List'!B:B,'Full List'!A:A,SC!$A75,'Full List'!E:E,SC!$A$1),"")</f>
        <v>276446</v>
      </c>
      <c r="C75" s="18">
        <f t="shared" si="1"/>
        <v>0.16111493497902765</v>
      </c>
    </row>
    <row r="76" spans="1:3" x14ac:dyDescent="0.15">
      <c r="A76" t="s">
        <v>76</v>
      </c>
      <c r="B76" s="17">
        <f>IFERROR(SUMIFS('Full List'!B:B,'Full List'!A:A,SC!$A76,'Full List'!E:E,SC!$A$1),"")</f>
        <v>264087</v>
      </c>
      <c r="C76" s="18">
        <f t="shared" si="1"/>
        <v>0.15391201114795106</v>
      </c>
    </row>
    <row r="77" spans="1:3" x14ac:dyDescent="0.15">
      <c r="A77" t="s">
        <v>77</v>
      </c>
      <c r="B77" s="17">
        <f>IFERROR(SUMIFS('Full List'!B:B,'Full List'!A:A,SC!$A77,'Full List'!E:E,SC!$A$1),"")</f>
        <v>213651</v>
      </c>
      <c r="C77" s="18">
        <f t="shared" si="1"/>
        <v>0.12451750784313839</v>
      </c>
    </row>
    <row r="78" spans="1:3" x14ac:dyDescent="0.15">
      <c r="A78" t="s">
        <v>78</v>
      </c>
      <c r="B78" s="17">
        <f>IFERROR(SUMIFS('Full List'!B:B,'Full List'!A:A,SC!$A78,'Full List'!E:E,SC!$A$1),"")</f>
        <v>214783</v>
      </c>
      <c r="C78" s="18">
        <f t="shared" si="1"/>
        <v>0.12517724647707146</v>
      </c>
    </row>
    <row r="79" spans="1:3" x14ac:dyDescent="0.15">
      <c r="A79" t="s">
        <v>79</v>
      </c>
      <c r="B79" s="17">
        <f>IFERROR(SUMIFS('Full List'!B:B,'Full List'!A:A,SC!$A79,'Full List'!E:E,SC!$A$1),"")</f>
        <v>306923</v>
      </c>
      <c r="C79" s="18">
        <f t="shared" si="1"/>
        <v>0.17887717380091628</v>
      </c>
    </row>
    <row r="80" spans="1:3" x14ac:dyDescent="0.15">
      <c r="A80" t="s">
        <v>80</v>
      </c>
      <c r="B80" s="17">
        <f>IFERROR(SUMIFS('Full List'!B:B,'Full List'!A:A,SC!$A80,'Full List'!E:E,SC!$A$1),"")</f>
        <v>174419</v>
      </c>
      <c r="C80" s="18">
        <f t="shared" si="1"/>
        <v>0.10165278515191764</v>
      </c>
    </row>
    <row r="81" spans="1:6" x14ac:dyDescent="0.15">
      <c r="A81" t="s">
        <v>81</v>
      </c>
      <c r="B81" s="17">
        <f>IFERROR(SUMIFS('Full List'!B:B,'Full List'!A:A,SC!$A81,'Full List'!E:E,SC!$A$1),"")</f>
        <v>286726</v>
      </c>
      <c r="C81" s="18">
        <f t="shared" si="1"/>
        <v>0.1671062010186318</v>
      </c>
    </row>
    <row r="82" spans="1:6" x14ac:dyDescent="0.15">
      <c r="A82" t="s">
        <v>82</v>
      </c>
      <c r="B82" s="17">
        <f>IFERROR(SUMIFS('Full List'!B:B,'Full List'!A:A,SC!$A82,'Full List'!E:E,SC!$A$1),"")</f>
        <v>227514</v>
      </c>
      <c r="C82" s="18">
        <f t="shared" si="1"/>
        <v>0.1325969748768964</v>
      </c>
    </row>
    <row r="83" spans="1:6" x14ac:dyDescent="0.15">
      <c r="B83" s="17"/>
      <c r="C83" s="18"/>
      <c r="D83" t="s">
        <v>812</v>
      </c>
      <c r="E83" t="s">
        <v>860</v>
      </c>
    </row>
    <row r="84" spans="1:6" x14ac:dyDescent="0.15">
      <c r="A84" t="s">
        <v>1195</v>
      </c>
      <c r="B84" s="17">
        <v>618779</v>
      </c>
      <c r="C84" s="18">
        <f t="shared" ref="C84:C97" si="2">IFERROR(B84/$B$2,"")</f>
        <v>0.36062933936966984</v>
      </c>
      <c r="D84">
        <v>5</v>
      </c>
      <c r="E84" t="str">
        <f>VLOOKUP(D84,Validation!$A$2:$C$41,3,FALSE)</f>
        <v>CFB</v>
      </c>
      <c r="F84" t="s">
        <v>1350</v>
      </c>
    </row>
    <row r="85" spans="1:6" x14ac:dyDescent="0.15">
      <c r="A85" t="s">
        <v>1084</v>
      </c>
      <c r="B85" s="17">
        <v>541827</v>
      </c>
      <c r="C85" s="18">
        <f t="shared" si="2"/>
        <v>0.31578109965375378</v>
      </c>
      <c r="D85">
        <v>27</v>
      </c>
      <c r="E85" t="str">
        <f>VLOOKUP(D85,Validation!$A$2:$C$41,3,FALSE)</f>
        <v xml:space="preserve">NFL </v>
      </c>
      <c r="F85" t="s">
        <v>1351</v>
      </c>
    </row>
    <row r="86" spans="1:6" x14ac:dyDescent="0.15">
      <c r="A86" t="s">
        <v>861</v>
      </c>
      <c r="B86" s="17">
        <v>514506</v>
      </c>
      <c r="C86" s="18">
        <f t="shared" si="2"/>
        <v>0.29985820281834286</v>
      </c>
      <c r="D86">
        <v>17</v>
      </c>
      <c r="E86" t="str">
        <f>VLOOKUP(D86,Validation!$A$2:$C$41,3,FALSE)</f>
        <v>MLB</v>
      </c>
      <c r="F86" t="s">
        <v>1350</v>
      </c>
    </row>
    <row r="87" spans="1:6" x14ac:dyDescent="0.15">
      <c r="A87" t="s">
        <v>1198</v>
      </c>
      <c r="B87" s="17">
        <v>507151</v>
      </c>
      <c r="C87" s="18">
        <f t="shared" si="2"/>
        <v>0.29557165012171943</v>
      </c>
      <c r="D87">
        <v>5</v>
      </c>
      <c r="E87" t="str">
        <f>VLOOKUP(D87,Validation!$A$2:$C$41,3,FALSE)</f>
        <v>CFB</v>
      </c>
      <c r="F87" t="s">
        <v>1350</v>
      </c>
    </row>
    <row r="88" spans="1:6" x14ac:dyDescent="0.15">
      <c r="A88" t="s">
        <v>1191</v>
      </c>
      <c r="B88" s="17">
        <v>389338</v>
      </c>
      <c r="C88" s="18">
        <f t="shared" si="2"/>
        <v>0.22690929351433795</v>
      </c>
      <c r="D88">
        <v>4</v>
      </c>
      <c r="E88" t="str">
        <f>VLOOKUP(D88,Validation!$A$2:$C$41,3,FALSE)</f>
        <v>MCB</v>
      </c>
      <c r="F88" t="s">
        <v>1350</v>
      </c>
    </row>
    <row r="89" spans="1:6" x14ac:dyDescent="0.15">
      <c r="A89" t="s">
        <v>862</v>
      </c>
      <c r="B89" s="17">
        <v>386296</v>
      </c>
      <c r="C89" s="18">
        <f t="shared" si="2"/>
        <v>0.22513639163763796</v>
      </c>
      <c r="D89">
        <v>27</v>
      </c>
      <c r="E89" t="str">
        <f>VLOOKUP(D89,Validation!$A$2:$C$41,3,FALSE)</f>
        <v xml:space="preserve">NFL </v>
      </c>
      <c r="F89" t="s">
        <v>1350</v>
      </c>
    </row>
    <row r="90" spans="1:6" x14ac:dyDescent="0.15">
      <c r="A90" t="s">
        <v>1193</v>
      </c>
      <c r="B90" s="17">
        <v>287124</v>
      </c>
      <c r="C90" s="18">
        <f t="shared" si="2"/>
        <v>0.16733815859487328</v>
      </c>
      <c r="D90">
        <v>4</v>
      </c>
      <c r="E90" t="str">
        <f>VLOOKUP(D90,Validation!$A$2:$C$41,3,FALSE)</f>
        <v>MCB</v>
      </c>
      <c r="F90" t="s">
        <v>1350</v>
      </c>
    </row>
    <row r="91" spans="1:6" x14ac:dyDescent="0.15">
      <c r="A91" t="s">
        <v>1197</v>
      </c>
      <c r="B91" s="17">
        <v>258787</v>
      </c>
      <c r="C91" s="18">
        <f t="shared" si="2"/>
        <v>0.15082312885126797</v>
      </c>
      <c r="D91">
        <v>5</v>
      </c>
      <c r="E91" t="str">
        <f>VLOOKUP(D91,Validation!$A$2:$C$41,3,FALSE)</f>
        <v>CFB</v>
      </c>
      <c r="F91" t="s">
        <v>1350</v>
      </c>
    </row>
    <row r="92" spans="1:6" x14ac:dyDescent="0.15">
      <c r="A92" t="s">
        <v>1013</v>
      </c>
      <c r="B92" s="17">
        <v>160486</v>
      </c>
      <c r="C92" s="18">
        <f t="shared" si="2"/>
        <v>9.3532521559524212E-2</v>
      </c>
      <c r="D92">
        <v>5</v>
      </c>
      <c r="E92" t="str">
        <f>VLOOKUP(D92,Validation!$A$2:$C$41,3,FALSE)</f>
        <v>CFB</v>
      </c>
      <c r="F92" t="s">
        <v>1350</v>
      </c>
    </row>
    <row r="93" spans="1:6" x14ac:dyDescent="0.15">
      <c r="A93" t="s">
        <v>1196</v>
      </c>
      <c r="B93" s="17">
        <v>64337</v>
      </c>
      <c r="C93" s="18">
        <f t="shared" si="2"/>
        <v>3.7496117041829875E-2</v>
      </c>
      <c r="D93">
        <v>5</v>
      </c>
      <c r="E93" t="str">
        <f>VLOOKUP(D93,Validation!$A$2:$C$41,3,FALSE)</f>
        <v>CFB</v>
      </c>
    </row>
    <row r="94" spans="1:6" x14ac:dyDescent="0.15">
      <c r="A94" t="s">
        <v>1088</v>
      </c>
      <c r="B94" s="17">
        <v>62141</v>
      </c>
      <c r="C94" s="18">
        <f t="shared" si="2"/>
        <v>3.6216270716638174E-2</v>
      </c>
      <c r="D94">
        <v>26</v>
      </c>
      <c r="E94" t="str">
        <f>VLOOKUP(D94,Validation!$A$2:$C$41,3,FALSE)</f>
        <v xml:space="preserve">NBA </v>
      </c>
      <c r="F94" t="s">
        <v>1350</v>
      </c>
    </row>
    <row r="95" spans="1:6" x14ac:dyDescent="0.15">
      <c r="A95" t="s">
        <v>1199</v>
      </c>
      <c r="B95" s="17">
        <v>49569</v>
      </c>
      <c r="C95" s="18">
        <f t="shared" si="2"/>
        <v>2.8889208785713744E-2</v>
      </c>
      <c r="D95">
        <v>5</v>
      </c>
      <c r="E95" t="str">
        <f>VLOOKUP(D95,Validation!$A$2:$C$41,3,FALSE)</f>
        <v>CFB</v>
      </c>
    </row>
    <row r="96" spans="1:6" x14ac:dyDescent="0.15">
      <c r="A96" t="s">
        <v>1192</v>
      </c>
      <c r="B96" s="17">
        <v>48225</v>
      </c>
      <c r="C96" s="18">
        <f t="shared" si="2"/>
        <v>2.8105914859913358E-2</v>
      </c>
      <c r="D96">
        <v>4</v>
      </c>
      <c r="E96" t="str">
        <f>VLOOKUP(D96,Validation!$A$2:$C$41,3,FALSE)</f>
        <v>MCB</v>
      </c>
    </row>
    <row r="97" spans="1:5" x14ac:dyDescent="0.15">
      <c r="A97" t="s">
        <v>1194</v>
      </c>
      <c r="B97" s="17">
        <v>38696</v>
      </c>
      <c r="C97" s="18">
        <f t="shared" si="2"/>
        <v>2.2552337613669413E-2</v>
      </c>
      <c r="D97">
        <v>4</v>
      </c>
      <c r="E97" t="str">
        <f>VLOOKUP(D97,Validation!$A$2:$C$41,3,FALSE)</f>
        <v>MCB</v>
      </c>
    </row>
  </sheetData>
  <pageMargins left="0.7" right="0.7" top="0.75" bottom="0.75" header="0.3" footer="0.3"/>
  <pageSetup orientation="portrait" verticalDpi="0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 enableFormatConditionsCalculation="0"/>
  <dimension ref="A1:F99"/>
  <sheetViews>
    <sheetView topLeftCell="A67" zoomScale="85" zoomScaleNormal="85" zoomScalePageLayoutView="85" workbookViewId="0">
      <selection activeCell="F98" sqref="F98"/>
    </sheetView>
  </sheetViews>
  <sheetFormatPr baseColWidth="10" defaultColWidth="8.83203125" defaultRowHeight="13" x14ac:dyDescent="0.15"/>
  <cols>
    <col min="1" max="1" width="33.33203125" bestFit="1" customWidth="1"/>
    <col min="2" max="2" width="10.5" bestFit="1" customWidth="1"/>
  </cols>
  <sheetData>
    <row r="1" spans="1:3" x14ac:dyDescent="0.15">
      <c r="A1" t="s">
        <v>418</v>
      </c>
      <c r="B1" t="s">
        <v>807</v>
      </c>
      <c r="C1" t="s">
        <v>811</v>
      </c>
    </row>
    <row r="2" spans="1:3" x14ac:dyDescent="0.15">
      <c r="A2" t="s">
        <v>0</v>
      </c>
      <c r="B2" s="17">
        <f>IFERROR(SUMIFS('Full List'!B:B,'Full List'!A:A,TN!$A2,'Full List'!E:E,TN!$A$1),"")</f>
        <v>4431176</v>
      </c>
      <c r="C2" s="18">
        <f>IFERROR(B2/$B$2,"")</f>
        <v>1</v>
      </c>
    </row>
    <row r="3" spans="1:3" x14ac:dyDescent="0.15">
      <c r="A3" t="s">
        <v>3</v>
      </c>
      <c r="B3" s="17">
        <f>IFERROR(SUMIFS('Full List'!B:B,'Full List'!A:A,TN!$A3,'Full List'!E:E,TN!$A$1),"")</f>
        <v>58746</v>
      </c>
      <c r="C3" s="18">
        <f t="shared" ref="C3:C66" si="0">IFERROR(B3/$B$2,"")</f>
        <v>1.3257428727723746E-2</v>
      </c>
    </row>
    <row r="4" spans="1:3" x14ac:dyDescent="0.15">
      <c r="A4" t="s">
        <v>4</v>
      </c>
      <c r="B4" s="17">
        <f>IFERROR(SUMIFS('Full List'!B:B,'Full List'!A:A,TN!$A4,'Full List'!E:E,TN!$A$1),"")</f>
        <v>48100</v>
      </c>
      <c r="C4" s="18">
        <f t="shared" si="0"/>
        <v>1.0854906237080179E-2</v>
      </c>
    </row>
    <row r="5" spans="1:3" x14ac:dyDescent="0.15">
      <c r="A5" t="s">
        <v>5</v>
      </c>
      <c r="B5" s="17">
        <f>IFERROR(SUMIFS('Full List'!B:B,'Full List'!A:A,TN!$A5,'Full List'!E:E,TN!$A$1),"")</f>
        <v>206185</v>
      </c>
      <c r="C5" s="18">
        <f t="shared" si="0"/>
        <v>4.6530537265953777E-2</v>
      </c>
    </row>
    <row r="6" spans="1:3" x14ac:dyDescent="0.15">
      <c r="A6" t="s">
        <v>6</v>
      </c>
      <c r="B6" s="17">
        <f>IFERROR(SUMIFS('Full List'!B:B,'Full List'!A:A,TN!$A6,'Full List'!E:E,TN!$A$1),"")</f>
        <v>863995</v>
      </c>
      <c r="C6" s="18">
        <f t="shared" si="0"/>
        <v>0.19498097119139479</v>
      </c>
    </row>
    <row r="7" spans="1:3" x14ac:dyDescent="0.15">
      <c r="A7" t="s">
        <v>7</v>
      </c>
      <c r="B7" s="17">
        <f>IFERROR(SUMIFS('Full List'!B:B,'Full List'!A:A,TN!$A7,'Full List'!E:E,TN!$A$1),"")</f>
        <v>1293231</v>
      </c>
      <c r="C7" s="18">
        <f t="shared" si="0"/>
        <v>0.29184825879179704</v>
      </c>
    </row>
    <row r="8" spans="1:3" x14ac:dyDescent="0.15">
      <c r="A8" t="s">
        <v>8</v>
      </c>
      <c r="B8" s="17">
        <f>IFERROR(SUMIFS('Full List'!B:B,'Full List'!A:A,TN!$A8,'Full List'!E:E,TN!$A$1),"")</f>
        <v>41930</v>
      </c>
      <c r="C8" s="18">
        <f t="shared" si="0"/>
        <v>9.4624993455461933E-3</v>
      </c>
    </row>
    <row r="9" spans="1:3" x14ac:dyDescent="0.15">
      <c r="A9" t="s">
        <v>9</v>
      </c>
      <c r="B9" s="17">
        <f>IFERROR(SUMIFS('Full List'!B:B,'Full List'!A:A,TN!$A9,'Full List'!E:E,TN!$A$1),"")</f>
        <v>48834</v>
      </c>
      <c r="C9" s="18">
        <f t="shared" si="0"/>
        <v>1.1020550752215665E-2</v>
      </c>
    </row>
    <row r="10" spans="1:3" x14ac:dyDescent="0.15">
      <c r="A10" t="s">
        <v>10</v>
      </c>
      <c r="B10" s="17">
        <f>IFERROR(SUMIFS('Full List'!B:B,'Full List'!A:A,TN!$A10,'Full List'!E:E,TN!$A$1),"")</f>
        <v>100628</v>
      </c>
      <c r="C10" s="18">
        <f t="shared" si="0"/>
        <v>2.2709095734405493E-2</v>
      </c>
    </row>
    <row r="11" spans="1:3" x14ac:dyDescent="0.15">
      <c r="A11" t="s">
        <v>11</v>
      </c>
      <c r="B11" s="17">
        <f>IFERROR(SUMIFS('Full List'!B:B,'Full List'!A:A,TN!$A11,'Full List'!E:E,TN!$A$1),"")</f>
        <v>222790</v>
      </c>
      <c r="C11" s="18">
        <f t="shared" si="0"/>
        <v>5.0277849491873035E-2</v>
      </c>
    </row>
    <row r="12" spans="1:3" x14ac:dyDescent="0.15">
      <c r="A12" t="s">
        <v>12</v>
      </c>
      <c r="B12" s="17">
        <f>IFERROR(SUMIFS('Full List'!B:B,'Full List'!A:A,TN!$A12,'Full List'!E:E,TN!$A$1),"")</f>
        <v>69860</v>
      </c>
      <c r="C12" s="18">
        <f t="shared" si="0"/>
        <v>1.576556652229566E-2</v>
      </c>
    </row>
    <row r="13" spans="1:3" x14ac:dyDescent="0.15">
      <c r="A13" t="s">
        <v>13</v>
      </c>
      <c r="B13" s="17">
        <f>IFERROR(SUMIFS('Full List'!B:B,'Full List'!A:A,TN!$A13,'Full List'!E:E,TN!$A$1),"")</f>
        <v>43982</v>
      </c>
      <c r="C13" s="18">
        <f t="shared" si="0"/>
        <v>9.9255818320012571E-3</v>
      </c>
    </row>
    <row r="14" spans="1:3" x14ac:dyDescent="0.15">
      <c r="A14" t="s">
        <v>14</v>
      </c>
      <c r="B14" s="17">
        <f>IFERROR(SUMIFS('Full List'!B:B,'Full List'!A:A,TN!$A14,'Full List'!E:E,TN!$A$1),"")</f>
        <v>230664</v>
      </c>
      <c r="C14" s="18">
        <f t="shared" si="0"/>
        <v>5.2054804413094853E-2</v>
      </c>
    </row>
    <row r="15" spans="1:3" x14ac:dyDescent="0.15">
      <c r="A15" t="s">
        <v>15</v>
      </c>
      <c r="B15" s="17">
        <f>IFERROR(SUMIFS('Full List'!B:B,'Full List'!A:A,TN!$A15,'Full List'!E:E,TN!$A$1),"")</f>
        <v>320502</v>
      </c>
      <c r="C15" s="18">
        <f t="shared" si="0"/>
        <v>7.2328880640263438E-2</v>
      </c>
    </row>
    <row r="16" spans="1:3" x14ac:dyDescent="0.15">
      <c r="A16" t="s">
        <v>16</v>
      </c>
      <c r="B16" s="17">
        <f>IFERROR(SUMIFS('Full List'!B:B,'Full List'!A:A,TN!$A16,'Full List'!E:E,TN!$A$1),"")</f>
        <v>128657</v>
      </c>
      <c r="C16" s="18">
        <f t="shared" si="0"/>
        <v>2.9034504610062881E-2</v>
      </c>
    </row>
    <row r="17" spans="1:3" x14ac:dyDescent="0.15">
      <c r="A17" t="s">
        <v>17</v>
      </c>
      <c r="B17" s="17">
        <f>IFERROR(SUMIFS('Full List'!B:B,'Full List'!A:A,TN!$A17,'Full List'!E:E,TN!$A$1),"")</f>
        <v>110267</v>
      </c>
      <c r="C17" s="18">
        <f t="shared" si="0"/>
        <v>2.4884364782622039E-2</v>
      </c>
    </row>
    <row r="18" spans="1:3" x14ac:dyDescent="0.15">
      <c r="A18" t="s">
        <v>18</v>
      </c>
      <c r="B18" s="17">
        <f>IFERROR(SUMIFS('Full List'!B:B,'Full List'!A:A,TN!$A18,'Full List'!E:E,TN!$A$1),"")</f>
        <v>69133</v>
      </c>
      <c r="C18" s="18">
        <f t="shared" si="0"/>
        <v>1.5601501723244574E-2</v>
      </c>
    </row>
    <row r="19" spans="1:3" x14ac:dyDescent="0.15">
      <c r="A19" t="s">
        <v>19</v>
      </c>
      <c r="B19" s="17">
        <f>IFERROR(SUMIFS('Full List'!B:B,'Full List'!A:A,TN!$A19,'Full List'!E:E,TN!$A$1),"")</f>
        <v>463916</v>
      </c>
      <c r="C19" s="18">
        <f t="shared" si="0"/>
        <v>0.10469365242996441</v>
      </c>
    </row>
    <row r="20" spans="1:3" x14ac:dyDescent="0.15">
      <c r="A20" t="s">
        <v>20</v>
      </c>
      <c r="B20" s="17">
        <f>IFERROR(SUMIFS('Full List'!B:B,'Full List'!A:A,TN!$A20,'Full List'!E:E,TN!$A$1),"")</f>
        <v>53546</v>
      </c>
      <c r="C20" s="18">
        <f t="shared" si="0"/>
        <v>1.2083925350742106E-2</v>
      </c>
    </row>
    <row r="21" spans="1:3" x14ac:dyDescent="0.15">
      <c r="A21" t="s">
        <v>21</v>
      </c>
      <c r="B21" s="17">
        <f>IFERROR(SUMIFS('Full List'!B:B,'Full List'!A:A,TN!$A21,'Full List'!E:E,TN!$A$1),"")</f>
        <v>92525</v>
      </c>
      <c r="C21" s="18">
        <f t="shared" si="0"/>
        <v>2.0880461529851218E-2</v>
      </c>
    </row>
    <row r="22" spans="1:3" x14ac:dyDescent="0.15">
      <c r="A22" t="s">
        <v>22</v>
      </c>
      <c r="B22" s="17">
        <f>IFERROR(SUMIFS('Full List'!B:B,'Full List'!A:A,TN!$A22,'Full List'!E:E,TN!$A$1),"")</f>
        <v>21665</v>
      </c>
      <c r="C22" s="18">
        <f t="shared" si="0"/>
        <v>4.8892212812129332E-3</v>
      </c>
    </row>
    <row r="23" spans="1:3" x14ac:dyDescent="0.15">
      <c r="A23" t="s">
        <v>23</v>
      </c>
      <c r="B23" s="17">
        <f>IFERROR(SUMIFS('Full List'!B:B,'Full List'!A:A,TN!$A23,'Full List'!E:E,TN!$A$1),"")</f>
        <v>67452</v>
      </c>
      <c r="C23" s="18">
        <f t="shared" si="0"/>
        <v>1.5222144189262625E-2</v>
      </c>
    </row>
    <row r="24" spans="1:3" x14ac:dyDescent="0.15">
      <c r="A24" t="s">
        <v>24</v>
      </c>
      <c r="B24" s="17">
        <f>IFERROR(SUMIFS('Full List'!B:B,'Full List'!A:A,TN!$A24,'Full List'!E:E,TN!$A$1),"")</f>
        <v>22576</v>
      </c>
      <c r="C24" s="18">
        <f t="shared" si="0"/>
        <v>5.0948100459110631E-3</v>
      </c>
    </row>
    <row r="25" spans="1:3" x14ac:dyDescent="0.15">
      <c r="A25" t="s">
        <v>25</v>
      </c>
      <c r="B25" s="17">
        <f>IFERROR(SUMIFS('Full List'!B:B,'Full List'!A:A,TN!$A25,'Full List'!E:E,TN!$A$1),"")</f>
        <v>125683</v>
      </c>
      <c r="C25" s="18">
        <f t="shared" si="0"/>
        <v>2.8363350947919919E-2</v>
      </c>
    </row>
    <row r="26" spans="1:3" x14ac:dyDescent="0.15">
      <c r="A26" t="s">
        <v>26</v>
      </c>
      <c r="B26" s="17">
        <f>IFERROR(SUMIFS('Full List'!B:B,'Full List'!A:A,TN!$A26,'Full List'!E:E,TN!$A$1),"")</f>
        <v>44161</v>
      </c>
      <c r="C26" s="18">
        <f t="shared" si="0"/>
        <v>9.9659774290165853E-3</v>
      </c>
    </row>
    <row r="27" spans="1:3" x14ac:dyDescent="0.15">
      <c r="A27" t="s">
        <v>27</v>
      </c>
      <c r="B27" s="17">
        <f>IFERROR(SUMIFS('Full List'!B:B,'Full List'!A:A,TN!$A27,'Full List'!E:E,TN!$A$1),"")</f>
        <v>498636</v>
      </c>
      <c r="C27" s="18">
        <f t="shared" si="0"/>
        <v>0.1125290442085803</v>
      </c>
    </row>
    <row r="28" spans="1:3" x14ac:dyDescent="0.15">
      <c r="A28" t="s">
        <v>28</v>
      </c>
      <c r="B28" s="17">
        <f>IFERROR(SUMIFS('Full List'!B:B,'Full List'!A:A,TN!$A28,'Full List'!E:E,TN!$A$1),"")</f>
        <v>465980</v>
      </c>
      <c r="C28" s="18">
        <f t="shared" si="0"/>
        <v>0.1051594430011356</v>
      </c>
    </row>
    <row r="29" spans="1:3" x14ac:dyDescent="0.15">
      <c r="A29" t="s">
        <v>29</v>
      </c>
      <c r="B29" s="17">
        <f>IFERROR(SUMIFS('Full List'!B:B,'Full List'!A:A,TN!$A29,'Full List'!E:E,TN!$A$1),"")</f>
        <v>1236271</v>
      </c>
      <c r="C29" s="18">
        <f t="shared" si="0"/>
        <v>0.27899388333932124</v>
      </c>
    </row>
    <row r="30" spans="1:3" x14ac:dyDescent="0.15">
      <c r="A30" t="s">
        <v>30</v>
      </c>
      <c r="B30" s="17">
        <f>IFERROR(SUMIFS('Full List'!B:B,'Full List'!A:A,TN!$A30,'Full List'!E:E,TN!$A$1),"")</f>
        <v>142120</v>
      </c>
      <c r="C30" s="18">
        <f t="shared" si="0"/>
        <v>3.207274998781362E-2</v>
      </c>
    </row>
    <row r="31" spans="1:3" x14ac:dyDescent="0.15">
      <c r="A31" t="s">
        <v>31</v>
      </c>
      <c r="B31" s="17">
        <f>IFERROR(SUMIFS('Full List'!B:B,'Full List'!A:A,TN!$A31,'Full List'!E:E,TN!$A$1),"")</f>
        <v>41679</v>
      </c>
      <c r="C31" s="18">
        <f t="shared" si="0"/>
        <v>9.4058552402341948E-3</v>
      </c>
    </row>
    <row r="32" spans="1:3" x14ac:dyDescent="0.15">
      <c r="A32" t="s">
        <v>32</v>
      </c>
      <c r="B32" s="17">
        <f>IFERROR(SUMIFS('Full List'!B:B,'Full List'!A:A,TN!$A32,'Full List'!E:E,TN!$A$1),"")</f>
        <v>132334</v>
      </c>
      <c r="C32" s="18">
        <f t="shared" si="0"/>
        <v>2.9864306901824709E-2</v>
      </c>
    </row>
    <row r="33" spans="1:3" x14ac:dyDescent="0.15">
      <c r="A33" t="s">
        <v>33</v>
      </c>
      <c r="B33" s="17">
        <f>IFERROR(SUMIFS('Full List'!B:B,'Full List'!A:A,TN!$A33,'Full List'!E:E,TN!$A$1),"")</f>
        <v>898633</v>
      </c>
      <c r="C33" s="18">
        <f t="shared" si="0"/>
        <v>0.20279785772445058</v>
      </c>
    </row>
    <row r="34" spans="1:3" x14ac:dyDescent="0.15">
      <c r="A34" t="s">
        <v>34</v>
      </c>
      <c r="B34" s="17">
        <f>IFERROR(SUMIFS('Full List'!B:B,'Full List'!A:A,TN!$A34,'Full List'!E:E,TN!$A$1),"")</f>
        <v>287701</v>
      </c>
      <c r="C34" s="18">
        <f t="shared" si="0"/>
        <v>6.4926556742499059E-2</v>
      </c>
    </row>
    <row r="35" spans="1:3" x14ac:dyDescent="0.15">
      <c r="A35" t="s">
        <v>35</v>
      </c>
      <c r="B35" s="17">
        <f>IFERROR(SUMIFS('Full List'!B:B,'Full List'!A:A,TN!$A35,'Full List'!E:E,TN!$A$1),"")</f>
        <v>218459</v>
      </c>
      <c r="C35" s="18">
        <f t="shared" si="0"/>
        <v>4.9300456583083137E-2</v>
      </c>
    </row>
    <row r="36" spans="1:3" x14ac:dyDescent="0.15">
      <c r="A36" t="s">
        <v>36</v>
      </c>
      <c r="B36" s="17">
        <f>IFERROR(SUMIFS('Full List'!B:B,'Full List'!A:A,TN!$A36,'Full List'!E:E,TN!$A$1),"")</f>
        <v>119572</v>
      </c>
      <c r="C36" s="18">
        <f t="shared" si="0"/>
        <v>2.6984258806240148E-2</v>
      </c>
    </row>
    <row r="37" spans="1:3" x14ac:dyDescent="0.15">
      <c r="A37" t="s">
        <v>37</v>
      </c>
      <c r="B37" s="17">
        <f>IFERROR(SUMIFS('Full List'!B:B,'Full List'!A:A,TN!$A37,'Full List'!E:E,TN!$A$1),"")</f>
        <v>98631</v>
      </c>
      <c r="C37" s="18">
        <f t="shared" si="0"/>
        <v>2.2258425302899277E-2</v>
      </c>
    </row>
    <row r="38" spans="1:3" x14ac:dyDescent="0.15">
      <c r="A38" t="s">
        <v>38</v>
      </c>
      <c r="B38" s="17">
        <f>IFERROR(SUMIFS('Full List'!B:B,'Full List'!A:A,TN!$A38,'Full List'!E:E,TN!$A$1),"")</f>
        <v>76335</v>
      </c>
      <c r="C38" s="18">
        <f t="shared" si="0"/>
        <v>1.7226803900364147E-2</v>
      </c>
    </row>
    <row r="39" spans="1:3" x14ac:dyDescent="0.15">
      <c r="A39" t="s">
        <v>39</v>
      </c>
      <c r="B39" s="17">
        <f>IFERROR(SUMIFS('Full List'!B:B,'Full List'!A:A,TN!$A39,'Full List'!E:E,TN!$A$1),"")</f>
        <v>279887</v>
      </c>
      <c r="C39" s="18">
        <f t="shared" si="0"/>
        <v>6.3163142244857792E-2</v>
      </c>
    </row>
    <row r="40" spans="1:3" x14ac:dyDescent="0.15">
      <c r="A40" t="s">
        <v>40</v>
      </c>
      <c r="B40" s="17">
        <f>IFERROR(SUMIFS('Full List'!B:B,'Full List'!A:A,TN!$A40,'Full List'!E:E,TN!$A$1),"")</f>
        <v>114823</v>
      </c>
      <c r="C40" s="18">
        <f t="shared" si="0"/>
        <v>2.5912534279839031E-2</v>
      </c>
    </row>
    <row r="41" spans="1:3" x14ac:dyDescent="0.15">
      <c r="A41" t="s">
        <v>41</v>
      </c>
      <c r="B41" s="17">
        <f>IFERROR(SUMIFS('Full List'!B:B,'Full List'!A:A,TN!$A41,'Full List'!E:E,TN!$A$1),"")</f>
        <v>106406</v>
      </c>
      <c r="C41" s="18">
        <f t="shared" si="0"/>
        <v>2.4013038525213172E-2</v>
      </c>
    </row>
    <row r="42" spans="1:3" x14ac:dyDescent="0.15">
      <c r="A42" t="s">
        <v>42</v>
      </c>
      <c r="B42" s="17">
        <f>IFERROR(SUMIFS('Full List'!B:B,'Full List'!A:A,TN!$A42,'Full List'!E:E,TN!$A$1),"")</f>
        <v>286132</v>
      </c>
      <c r="C42" s="18">
        <f t="shared" si="0"/>
        <v>6.4572474665867477E-2</v>
      </c>
    </row>
    <row r="43" spans="1:3" x14ac:dyDescent="0.15">
      <c r="A43" t="s">
        <v>43</v>
      </c>
      <c r="B43" s="17">
        <f>IFERROR(SUMIFS('Full List'!B:B,'Full List'!A:A,TN!$A43,'Full List'!E:E,TN!$A$1),"")</f>
        <v>433767</v>
      </c>
      <c r="C43" s="18">
        <f t="shared" si="0"/>
        <v>9.7889815254460666E-2</v>
      </c>
    </row>
    <row r="44" spans="1:3" x14ac:dyDescent="0.15">
      <c r="A44" t="s">
        <v>44</v>
      </c>
      <c r="B44" s="17">
        <f>IFERROR(SUMIFS('Full List'!B:B,'Full List'!A:A,TN!$A44,'Full List'!E:E,TN!$A$1),"")</f>
        <v>494433</v>
      </c>
      <c r="C44" s="18">
        <f t="shared" si="0"/>
        <v>0.11158053753676225</v>
      </c>
    </row>
    <row r="45" spans="1:3" x14ac:dyDescent="0.15">
      <c r="A45" t="s">
        <v>45</v>
      </c>
      <c r="B45" s="17">
        <f>IFERROR(SUMIFS('Full List'!B:B,'Full List'!A:A,TN!$A45,'Full List'!E:E,TN!$A$1),"")</f>
        <v>1200991</v>
      </c>
      <c r="C45" s="18">
        <f t="shared" si="0"/>
        <v>0.27103211427395346</v>
      </c>
    </row>
    <row r="46" spans="1:3" x14ac:dyDescent="0.15">
      <c r="A46" t="s">
        <v>46</v>
      </c>
      <c r="B46" s="17">
        <f>IFERROR(SUMIFS('Full List'!B:B,'Full List'!A:A,TN!$A46,'Full List'!E:E,TN!$A$1),"")</f>
        <v>2013765</v>
      </c>
      <c r="C46" s="18">
        <f t="shared" si="0"/>
        <v>0.45445385152835277</v>
      </c>
    </row>
    <row r="47" spans="1:3" x14ac:dyDescent="0.15">
      <c r="A47" t="s">
        <v>47</v>
      </c>
      <c r="B47" s="17">
        <f>IFERROR(SUMIFS('Full List'!B:B,'Full List'!A:A,TN!$A47,'Full List'!E:E,TN!$A$1),"")</f>
        <v>2416298</v>
      </c>
      <c r="C47" s="18">
        <f t="shared" si="0"/>
        <v>0.54529497361422796</v>
      </c>
    </row>
    <row r="48" spans="1:3" x14ac:dyDescent="0.15">
      <c r="A48" t="s">
        <v>48</v>
      </c>
      <c r="B48" s="17">
        <f>IFERROR(SUMIFS('Full List'!B:B,'Full List'!A:A,TN!$A48,'Full List'!E:E,TN!$A$1),"")</f>
        <v>303182</v>
      </c>
      <c r="C48" s="18">
        <f t="shared" si="0"/>
        <v>6.8420211700009212E-2</v>
      </c>
    </row>
    <row r="49" spans="1:3" x14ac:dyDescent="0.15">
      <c r="A49" t="s">
        <v>49</v>
      </c>
      <c r="B49" s="17">
        <f>IFERROR(SUMIFS('Full List'!B:B,'Full List'!A:A,TN!$A49,'Full List'!E:E,TN!$A$1),"")</f>
        <v>293054</v>
      </c>
      <c r="C49" s="18">
        <f t="shared" si="0"/>
        <v>6.6134588199611113E-2</v>
      </c>
    </row>
    <row r="50" spans="1:3" x14ac:dyDescent="0.15">
      <c r="A50" t="s">
        <v>50</v>
      </c>
      <c r="B50" s="17">
        <f>IFERROR(SUMIFS('Full List'!B:B,'Full List'!A:A,TN!$A50,'Full List'!E:E,TN!$A$1),"")</f>
        <v>715985</v>
      </c>
      <c r="C50" s="18">
        <f t="shared" si="0"/>
        <v>0.16157900295542313</v>
      </c>
    </row>
    <row r="51" spans="1:3" x14ac:dyDescent="0.15">
      <c r="A51" t="s">
        <v>51</v>
      </c>
      <c r="B51" s="17">
        <f>IFERROR(SUMIFS('Full List'!B:B,'Full List'!A:A,TN!$A51,'Full List'!E:E,TN!$A$1),"")</f>
        <v>1220676</v>
      </c>
      <c r="C51" s="18">
        <f t="shared" si="0"/>
        <v>0.27547450157700798</v>
      </c>
    </row>
    <row r="52" spans="1:3" x14ac:dyDescent="0.15">
      <c r="A52" t="s">
        <v>52</v>
      </c>
      <c r="B52" s="17">
        <f>IFERROR(SUMIFS('Full List'!B:B,'Full List'!A:A,TN!$A52,'Full List'!E:E,TN!$A$1),"")</f>
        <v>483302</v>
      </c>
      <c r="C52" s="18">
        <f t="shared" si="0"/>
        <v>0.10906856328884251</v>
      </c>
    </row>
    <row r="53" spans="1:3" x14ac:dyDescent="0.15">
      <c r="A53" t="s">
        <v>53</v>
      </c>
      <c r="B53" s="17">
        <f>IFERROR(SUMIFS('Full List'!B:B,'Full List'!A:A,TN!$A53,'Full List'!E:E,TN!$A$1),"")</f>
        <v>347984</v>
      </c>
      <c r="C53" s="18">
        <f t="shared" si="0"/>
        <v>7.8530845987611411E-2</v>
      </c>
    </row>
    <row r="54" spans="1:3" x14ac:dyDescent="0.15">
      <c r="A54" t="s">
        <v>54</v>
      </c>
      <c r="B54" s="17">
        <f>IFERROR(SUMIFS('Full List'!B:B,'Full List'!A:A,TN!$A54,'Full List'!E:E,TN!$A$1),"")</f>
        <v>1397819</v>
      </c>
      <c r="C54" s="18">
        <f t="shared" si="0"/>
        <v>0.31545102248251933</v>
      </c>
    </row>
    <row r="55" spans="1:3" x14ac:dyDescent="0.15">
      <c r="A55" t="s">
        <v>55</v>
      </c>
      <c r="B55" s="17">
        <f>IFERROR(SUMIFS('Full List'!B:B,'Full List'!A:A,TN!$A55,'Full List'!E:E,TN!$A$1),"")</f>
        <v>1413482</v>
      </c>
      <c r="C55" s="18">
        <f t="shared" si="0"/>
        <v>0.31898575005822383</v>
      </c>
    </row>
    <row r="56" spans="1:3" x14ac:dyDescent="0.15">
      <c r="A56" t="s">
        <v>56</v>
      </c>
      <c r="B56" s="17">
        <f>IFERROR(SUMIFS('Full List'!B:B,'Full List'!A:A,TN!$A56,'Full List'!E:E,TN!$A$1),"")</f>
        <v>1106860</v>
      </c>
      <c r="C56" s="18">
        <f t="shared" si="0"/>
        <v>0.249789220739596</v>
      </c>
    </row>
    <row r="57" spans="1:3" x14ac:dyDescent="0.15">
      <c r="A57" t="s">
        <v>57</v>
      </c>
      <c r="B57" s="17">
        <f>IFERROR(SUMIFS('Full List'!B:B,'Full List'!A:A,TN!$A57,'Full List'!E:E,TN!$A$1),"")</f>
        <v>652824</v>
      </c>
      <c r="C57" s="18">
        <f t="shared" si="0"/>
        <v>0.14732522472589668</v>
      </c>
    </row>
    <row r="58" spans="1:3" x14ac:dyDescent="0.15">
      <c r="A58" t="s">
        <v>58</v>
      </c>
      <c r="B58" s="17">
        <f>IFERROR(SUMIFS('Full List'!B:B,'Full List'!A:A,TN!$A58,'Full List'!E:E,TN!$A$1),"")</f>
        <v>483626</v>
      </c>
      <c r="C58" s="18">
        <f t="shared" si="0"/>
        <v>0.10914168157617753</v>
      </c>
    </row>
    <row r="59" spans="1:3" x14ac:dyDescent="0.15">
      <c r="A59" t="s">
        <v>59</v>
      </c>
      <c r="B59" s="17">
        <f>IFERROR(SUMIFS('Full List'!B:B,'Full List'!A:A,TN!$A59,'Full List'!E:E,TN!$A$1),"")</f>
        <v>1826618</v>
      </c>
      <c r="C59" s="18">
        <f t="shared" si="0"/>
        <v>0.41221969066450981</v>
      </c>
    </row>
    <row r="60" spans="1:3" x14ac:dyDescent="0.15">
      <c r="A60" t="s">
        <v>60</v>
      </c>
      <c r="B60" s="17">
        <f>IFERROR(SUMIFS('Full List'!B:B,'Full List'!A:A,TN!$A60,'Full List'!E:E,TN!$A$1),"")</f>
        <v>451448</v>
      </c>
      <c r="C60" s="18">
        <f t="shared" si="0"/>
        <v>0.10187995240992459</v>
      </c>
    </row>
    <row r="61" spans="1:3" x14ac:dyDescent="0.15">
      <c r="A61" t="s">
        <v>61</v>
      </c>
      <c r="B61" s="17">
        <f>IFERROR(SUMIFS('Full List'!B:B,'Full List'!A:A,TN!$A61,'Full List'!E:E,TN!$A$1),"")</f>
        <v>642187</v>
      </c>
      <c r="C61" s="18">
        <f t="shared" si="0"/>
        <v>0.14492473329879021</v>
      </c>
    </row>
    <row r="62" spans="1:3" x14ac:dyDescent="0.15">
      <c r="A62" t="s">
        <v>62</v>
      </c>
      <c r="B62" s="17">
        <f>IFERROR(SUMIFS('Full List'!B:B,'Full List'!A:A,TN!$A62,'Full List'!E:E,TN!$A$1),"")</f>
        <v>180062</v>
      </c>
      <c r="C62" s="18">
        <f t="shared" si="0"/>
        <v>4.0635262512705432E-2</v>
      </c>
    </row>
    <row r="63" spans="1:3" x14ac:dyDescent="0.15">
      <c r="A63" t="s">
        <v>63</v>
      </c>
      <c r="B63" s="17">
        <f>IFERROR(SUMIFS('Full List'!B:B,'Full List'!A:A,TN!$A63,'Full List'!E:E,TN!$A$1),"")</f>
        <v>744466</v>
      </c>
      <c r="C63" s="18">
        <f t="shared" si="0"/>
        <v>0.16800641635538738</v>
      </c>
    </row>
    <row r="64" spans="1:3" x14ac:dyDescent="0.15">
      <c r="A64" t="s">
        <v>64</v>
      </c>
      <c r="B64" s="17">
        <f>IFERROR(SUMIFS('Full List'!B:B,'Full List'!A:A,TN!$A64,'Full List'!E:E,TN!$A$1),"")</f>
        <v>167541</v>
      </c>
      <c r="C64" s="18">
        <f t="shared" si="0"/>
        <v>3.7809601785169442E-2</v>
      </c>
    </row>
    <row r="65" spans="1:3" x14ac:dyDescent="0.15">
      <c r="A65" t="s">
        <v>65</v>
      </c>
      <c r="B65" s="17">
        <f>IFERROR(SUMIFS('Full List'!B:B,'Full List'!A:A,TN!$A65,'Full List'!E:E,TN!$A$1),"")</f>
        <v>731298</v>
      </c>
      <c r="C65" s="18">
        <f t="shared" si="0"/>
        <v>0.16503474472690771</v>
      </c>
    </row>
    <row r="66" spans="1:3" x14ac:dyDescent="0.15">
      <c r="A66" t="s">
        <v>66</v>
      </c>
      <c r="B66" s="17">
        <f>IFERROR(SUMIFS('Full List'!B:B,'Full List'!A:A,TN!$A66,'Full List'!E:E,TN!$A$1),"")</f>
        <v>363957</v>
      </c>
      <c r="C66" s="18">
        <f t="shared" si="0"/>
        <v>8.2135532418482135E-2</v>
      </c>
    </row>
    <row r="67" spans="1:3" x14ac:dyDescent="0.15">
      <c r="A67" t="s">
        <v>67</v>
      </c>
      <c r="B67" s="17">
        <f>IFERROR(SUMIFS('Full List'!B:B,'Full List'!A:A,TN!$A67,'Full List'!E:E,TN!$A$1),"")</f>
        <v>1420144</v>
      </c>
      <c r="C67" s="18">
        <f t="shared" ref="C67:C82" si="1">IFERROR(B67/$B$2,"")</f>
        <v>0.32048918842311835</v>
      </c>
    </row>
    <row r="68" spans="1:3" x14ac:dyDescent="0.15">
      <c r="A68" t="s">
        <v>68</v>
      </c>
      <c r="B68" s="17">
        <f>IFERROR(SUMIFS('Full List'!B:B,'Full List'!A:A,TN!$A68,'Full List'!E:E,TN!$A$1),"")</f>
        <v>1486911</v>
      </c>
      <c r="C68" s="18">
        <f t="shared" si="1"/>
        <v>0.33555674610983632</v>
      </c>
    </row>
    <row r="69" spans="1:3" x14ac:dyDescent="0.15">
      <c r="A69" t="s">
        <v>69</v>
      </c>
      <c r="B69" s="17">
        <f>IFERROR(SUMIFS('Full List'!B:B,'Full List'!A:A,TN!$A69,'Full List'!E:E,TN!$A$1),"")</f>
        <v>2681325</v>
      </c>
      <c r="C69" s="18">
        <f t="shared" si="1"/>
        <v>0.60510460428563428</v>
      </c>
    </row>
    <row r="70" spans="1:3" x14ac:dyDescent="0.15">
      <c r="A70" t="s">
        <v>70</v>
      </c>
      <c r="B70" s="17">
        <f>IFERROR(SUMIFS('Full List'!B:B,'Full List'!A:A,TN!$A70,'Full List'!E:E,TN!$A$1),"")</f>
        <v>840057</v>
      </c>
      <c r="C70" s="18">
        <f t="shared" si="1"/>
        <v>0.18957879353020507</v>
      </c>
    </row>
    <row r="71" spans="1:3" x14ac:dyDescent="0.15">
      <c r="A71" t="s">
        <v>71</v>
      </c>
      <c r="B71" s="17">
        <f>IFERROR(SUMIFS('Full List'!B:B,'Full List'!A:A,TN!$A71,'Full List'!E:E,TN!$A$1),"")</f>
        <v>313414</v>
      </c>
      <c r="C71" s="18">
        <f t="shared" si="1"/>
        <v>7.0729305267946935E-2</v>
      </c>
    </row>
    <row r="72" spans="1:3" x14ac:dyDescent="0.15">
      <c r="A72" t="s">
        <v>72</v>
      </c>
      <c r="B72" s="17">
        <f>IFERROR(SUMIFS('Full List'!B:B,'Full List'!A:A,TN!$A72,'Full List'!E:E,TN!$A$1),"")</f>
        <v>638253</v>
      </c>
      <c r="C72" s="18">
        <f t="shared" si="1"/>
        <v>0.14403693285935834</v>
      </c>
    </row>
    <row r="73" spans="1:3" x14ac:dyDescent="0.15">
      <c r="A73" t="s">
        <v>73</v>
      </c>
      <c r="B73" s="17">
        <f>IFERROR(SUMIFS('Full List'!B:B,'Full List'!A:A,TN!$A73,'Full List'!E:E,TN!$A$1),"")</f>
        <v>2377172</v>
      </c>
      <c r="C73" s="18">
        <f t="shared" si="1"/>
        <v>0.53646526339734646</v>
      </c>
    </row>
    <row r="74" spans="1:3" x14ac:dyDescent="0.15">
      <c r="A74" t="s">
        <v>74</v>
      </c>
      <c r="B74" s="17">
        <f>IFERROR(SUMIFS('Full List'!B:B,'Full List'!A:A,TN!$A74,'Full List'!E:E,TN!$A$1),"")</f>
        <v>1087199</v>
      </c>
      <c r="C74" s="18">
        <f t="shared" si="1"/>
        <v>0.24535224960597368</v>
      </c>
    </row>
    <row r="75" spans="1:3" x14ac:dyDescent="0.15">
      <c r="A75" t="s">
        <v>75</v>
      </c>
      <c r="B75" s="17">
        <f>IFERROR(SUMIFS('Full List'!B:B,'Full List'!A:A,TN!$A75,'Full List'!E:E,TN!$A$1),"")</f>
        <v>885275</v>
      </c>
      <c r="C75" s="18">
        <f t="shared" si="1"/>
        <v>0.19978330808796582</v>
      </c>
    </row>
    <row r="76" spans="1:3" x14ac:dyDescent="0.15">
      <c r="A76" t="s">
        <v>76</v>
      </c>
      <c r="B76" s="17">
        <f>IFERROR(SUMIFS('Full List'!B:B,'Full List'!A:A,TN!$A76,'Full List'!E:E,TN!$A$1),"")</f>
        <v>759338</v>
      </c>
      <c r="C76" s="18">
        <f t="shared" si="1"/>
        <v>0.17136263601355486</v>
      </c>
    </row>
    <row r="77" spans="1:3" x14ac:dyDescent="0.15">
      <c r="A77" t="s">
        <v>77</v>
      </c>
      <c r="B77" s="17">
        <f>IFERROR(SUMIFS('Full List'!B:B,'Full List'!A:A,TN!$A77,'Full List'!E:E,TN!$A$1),"")</f>
        <v>639054</v>
      </c>
      <c r="C77" s="18">
        <f t="shared" si="1"/>
        <v>0.14421769751415878</v>
      </c>
    </row>
    <row r="78" spans="1:3" x14ac:dyDescent="0.15">
      <c r="A78" t="s">
        <v>78</v>
      </c>
      <c r="B78" s="17">
        <f>IFERROR(SUMIFS('Full List'!B:B,'Full List'!A:A,TN!$A78,'Full List'!E:E,TN!$A$1),"")</f>
        <v>488582</v>
      </c>
      <c r="C78" s="18">
        <f t="shared" si="1"/>
        <v>0.11026012056393156</v>
      </c>
    </row>
    <row r="79" spans="1:3" x14ac:dyDescent="0.15">
      <c r="A79" t="s">
        <v>79</v>
      </c>
      <c r="B79" s="17">
        <f>IFERROR(SUMIFS('Full List'!B:B,'Full List'!A:A,TN!$A79,'Full List'!E:E,TN!$A$1),"")</f>
        <v>828537</v>
      </c>
      <c r="C79" s="18">
        <f t="shared" si="1"/>
        <v>0.18697903220273807</v>
      </c>
    </row>
    <row r="80" spans="1:3" x14ac:dyDescent="0.15">
      <c r="A80" t="s">
        <v>80</v>
      </c>
      <c r="B80" s="17">
        <f>IFERROR(SUMIFS('Full List'!B:B,'Full List'!A:A,TN!$A80,'Full List'!E:E,TN!$A$1),"")</f>
        <v>753502</v>
      </c>
      <c r="C80" s="18">
        <f t="shared" si="1"/>
        <v>0.17004560414661932</v>
      </c>
    </row>
    <row r="81" spans="1:6" x14ac:dyDescent="0.15">
      <c r="A81" t="s">
        <v>81</v>
      </c>
      <c r="B81" s="17">
        <f>IFERROR(SUMIFS('Full List'!B:B,'Full List'!A:A,TN!$A81,'Full List'!E:E,TN!$A$1),"")</f>
        <v>675972</v>
      </c>
      <c r="C81" s="18">
        <f t="shared" si="1"/>
        <v>0.15254912014327573</v>
      </c>
    </row>
    <row r="82" spans="1:6" x14ac:dyDescent="0.15">
      <c r="A82" t="s">
        <v>82</v>
      </c>
      <c r="B82" s="17">
        <f>IFERROR(SUMIFS('Full List'!B:B,'Full List'!A:A,TN!$A82,'Full List'!E:E,TN!$A$1),"")</f>
        <v>784734</v>
      </c>
      <c r="C82" s="18">
        <f t="shared" si="1"/>
        <v>0.17709384596775213</v>
      </c>
    </row>
    <row r="83" spans="1:6" x14ac:dyDescent="0.15">
      <c r="B83" s="17"/>
      <c r="C83" s="18"/>
      <c r="D83" t="s">
        <v>812</v>
      </c>
      <c r="E83" t="s">
        <v>860</v>
      </c>
      <c r="F83" t="s">
        <v>1349</v>
      </c>
    </row>
    <row r="84" spans="1:6" x14ac:dyDescent="0.15">
      <c r="A84" t="s">
        <v>1200</v>
      </c>
      <c r="B84" s="17">
        <v>1932409</v>
      </c>
      <c r="C84" s="18">
        <f t="shared" ref="C84:C99" si="2">IFERROR(B84/$B$2,"")</f>
        <v>0.43609393984802231</v>
      </c>
      <c r="D84">
        <v>27</v>
      </c>
      <c r="E84" t="str">
        <f>VLOOKUP(D84,Validation!$A$2:$C$41,3,FALSE)</f>
        <v xml:space="preserve">NFL </v>
      </c>
      <c r="F84" t="s">
        <v>1350</v>
      </c>
    </row>
    <row r="85" spans="1:6" x14ac:dyDescent="0.15">
      <c r="A85" t="s">
        <v>1013</v>
      </c>
      <c r="B85" s="17">
        <v>1511379</v>
      </c>
      <c r="C85" s="18">
        <f t="shared" si="2"/>
        <v>0.3410785308459876</v>
      </c>
      <c r="D85">
        <v>5</v>
      </c>
      <c r="E85" t="str">
        <f>VLOOKUP(D85,Validation!$A$2:$C$41,3,FALSE)</f>
        <v>CFB</v>
      </c>
      <c r="F85" t="s">
        <v>1350</v>
      </c>
    </row>
    <row r="86" spans="1:6" x14ac:dyDescent="0.15">
      <c r="A86" t="s">
        <v>1203</v>
      </c>
      <c r="B86" s="17">
        <v>1057716</v>
      </c>
      <c r="C86" s="18">
        <f t="shared" si="2"/>
        <v>0.23869871113221411</v>
      </c>
      <c r="D86">
        <v>4</v>
      </c>
      <c r="E86" t="str">
        <f>VLOOKUP(D86,Validation!$A$2:$C$41,3,FALSE)</f>
        <v>MCB</v>
      </c>
      <c r="F86" t="s">
        <v>1350</v>
      </c>
    </row>
    <row r="87" spans="1:6" x14ac:dyDescent="0.15">
      <c r="A87" t="s">
        <v>872</v>
      </c>
      <c r="B87" s="17">
        <v>615354</v>
      </c>
      <c r="C87" s="18">
        <f t="shared" si="2"/>
        <v>0.1388692301998386</v>
      </c>
      <c r="D87">
        <v>26</v>
      </c>
      <c r="E87" t="str">
        <f>VLOOKUP(D87,Validation!$A$2:$C$41,3,FALSE)</f>
        <v xml:space="preserve">NBA </v>
      </c>
      <c r="F87" t="s">
        <v>1351</v>
      </c>
    </row>
    <row r="88" spans="1:6" x14ac:dyDescent="0.15">
      <c r="A88" t="s">
        <v>1205</v>
      </c>
      <c r="B88" s="17">
        <v>546721</v>
      </c>
      <c r="C88" s="18">
        <f t="shared" si="2"/>
        <v>0.12338056533976534</v>
      </c>
      <c r="D88">
        <v>4</v>
      </c>
      <c r="E88" t="str">
        <f>VLOOKUP(D88,Validation!$A$2:$C$41,3,FALSE)</f>
        <v>MCB</v>
      </c>
      <c r="F88" t="s">
        <v>1351</v>
      </c>
    </row>
    <row r="89" spans="1:6" x14ac:dyDescent="0.15">
      <c r="A89" t="s">
        <v>1202</v>
      </c>
      <c r="B89" s="17">
        <v>533283</v>
      </c>
      <c r="C89" s="18">
        <f t="shared" si="2"/>
        <v>0.12034796180517317</v>
      </c>
      <c r="D89">
        <v>4</v>
      </c>
      <c r="E89" t="str">
        <f>VLOOKUP(D89,Validation!$A$2:$C$41,3,FALSE)</f>
        <v>MCB</v>
      </c>
      <c r="F89" t="s">
        <v>1350</v>
      </c>
    </row>
    <row r="90" spans="1:6" x14ac:dyDescent="0.15">
      <c r="A90" t="s">
        <v>1201</v>
      </c>
      <c r="B90" s="17">
        <v>481550</v>
      </c>
      <c r="C90" s="18">
        <f t="shared" si="2"/>
        <v>0.10867318292029024</v>
      </c>
      <c r="D90">
        <v>28</v>
      </c>
      <c r="E90" t="str">
        <f>VLOOKUP(D90,Validation!$A$2:$C$41,3,FALSE)</f>
        <v xml:space="preserve">NHL </v>
      </c>
      <c r="F90" t="s">
        <v>1351</v>
      </c>
    </row>
    <row r="91" spans="1:6" x14ac:dyDescent="0.15">
      <c r="A91" t="s">
        <v>1206</v>
      </c>
      <c r="B91" s="17">
        <v>422558</v>
      </c>
      <c r="C91" s="18">
        <f t="shared" si="2"/>
        <v>9.5360238455886204E-2</v>
      </c>
      <c r="D91">
        <v>5</v>
      </c>
      <c r="E91" t="str">
        <f>VLOOKUP(D91,Validation!$A$2:$C$41,3,FALSE)</f>
        <v>CFB</v>
      </c>
      <c r="F91" t="s">
        <v>1351</v>
      </c>
    </row>
    <row r="92" spans="1:6" x14ac:dyDescent="0.15">
      <c r="A92" t="s">
        <v>1209</v>
      </c>
      <c r="B92" s="17">
        <v>397310</v>
      </c>
      <c r="C92" s="18">
        <f t="shared" si="2"/>
        <v>8.966242821318765E-2</v>
      </c>
      <c r="D92">
        <v>5</v>
      </c>
      <c r="E92" t="str">
        <f>VLOOKUP(D92,Validation!$A$2:$C$41,3,FALSE)</f>
        <v>CFB</v>
      </c>
      <c r="F92" t="s">
        <v>1350</v>
      </c>
    </row>
    <row r="93" spans="1:6" x14ac:dyDescent="0.15">
      <c r="A93" t="s">
        <v>1208</v>
      </c>
      <c r="B93" s="17">
        <v>232990</v>
      </c>
      <c r="C93" s="18">
        <f t="shared" si="2"/>
        <v>5.2579721500567798E-2</v>
      </c>
      <c r="D93">
        <v>5</v>
      </c>
      <c r="E93" t="str">
        <f>VLOOKUP(D93,Validation!$A$2:$C$41,3,FALSE)</f>
        <v>CFB</v>
      </c>
      <c r="F93" t="s">
        <v>1350</v>
      </c>
    </row>
    <row r="94" spans="1:6" x14ac:dyDescent="0.15">
      <c r="A94" t="s">
        <v>1027</v>
      </c>
      <c r="B94" s="17">
        <v>232069</v>
      </c>
      <c r="C94" s="18">
        <f t="shared" si="2"/>
        <v>5.2371875998606238E-2</v>
      </c>
      <c r="D94">
        <v>5</v>
      </c>
      <c r="E94" t="str">
        <f>VLOOKUP(D94,Validation!$A$2:$C$41,3,FALSE)</f>
        <v>CFB</v>
      </c>
      <c r="F94" t="s">
        <v>1350</v>
      </c>
    </row>
    <row r="95" spans="1:6" x14ac:dyDescent="0.15">
      <c r="A95" t="s">
        <v>861</v>
      </c>
      <c r="B95" s="17">
        <v>211568</v>
      </c>
      <c r="C95" s="18">
        <f t="shared" si="2"/>
        <v>4.7745338934856121E-2</v>
      </c>
      <c r="D95">
        <v>17</v>
      </c>
      <c r="E95" t="str">
        <f>VLOOKUP(D95,Validation!$A$2:$C$41,3,FALSE)</f>
        <v>MLB</v>
      </c>
      <c r="F95" t="s">
        <v>1350</v>
      </c>
    </row>
    <row r="96" spans="1:6" x14ac:dyDescent="0.15">
      <c r="A96" t="s">
        <v>1204</v>
      </c>
      <c r="B96" s="17">
        <v>186218</v>
      </c>
      <c r="C96" s="18">
        <f t="shared" si="2"/>
        <v>4.202450997207062E-2</v>
      </c>
      <c r="D96">
        <v>4</v>
      </c>
      <c r="E96" t="str">
        <f>VLOOKUP(D96,Validation!$A$2:$C$41,3,FALSE)</f>
        <v>MCB</v>
      </c>
      <c r="F96" t="s">
        <v>1350</v>
      </c>
    </row>
    <row r="97" spans="1:6" x14ac:dyDescent="0.15">
      <c r="A97" t="s">
        <v>1207</v>
      </c>
      <c r="B97" s="17">
        <v>176705</v>
      </c>
      <c r="C97" s="18">
        <f t="shared" si="2"/>
        <v>3.9877675813373245E-2</v>
      </c>
      <c r="D97">
        <v>4</v>
      </c>
      <c r="E97" t="str">
        <f>VLOOKUP(D97,Validation!$A$2:$C$41,3,FALSE)</f>
        <v>MCB</v>
      </c>
      <c r="F97" t="s">
        <v>1350</v>
      </c>
    </row>
    <row r="98" spans="1:6" x14ac:dyDescent="0.15">
      <c r="A98" t="s">
        <v>1016</v>
      </c>
      <c r="B98" s="17">
        <v>142927</v>
      </c>
      <c r="C98" s="18">
        <f t="shared" si="2"/>
        <v>3.2254868684972113E-2</v>
      </c>
      <c r="D98">
        <v>4</v>
      </c>
      <c r="E98" t="str">
        <f>VLOOKUP(D98,Validation!$A$2:$C$41,3,FALSE)</f>
        <v>MCB</v>
      </c>
      <c r="F98" t="s">
        <v>1350</v>
      </c>
    </row>
    <row r="99" spans="1:6" x14ac:dyDescent="0.15">
      <c r="A99" t="s">
        <v>862</v>
      </c>
      <c r="B99" s="17">
        <v>120564</v>
      </c>
      <c r="C99" s="18">
        <f t="shared" si="2"/>
        <v>2.7208127142772032E-2</v>
      </c>
      <c r="D99">
        <v>27</v>
      </c>
      <c r="E99" t="str">
        <f>VLOOKUP(D99,Validation!$A$2:$C$41,3,FALSE)</f>
        <v xml:space="preserve">NFL </v>
      </c>
      <c r="F99" t="s">
        <v>1350</v>
      </c>
    </row>
  </sheetData>
  <pageMargins left="0.7" right="0.7" top="0.75" bottom="0.75" header="0.3" footer="0.3"/>
  <pageSetup orientation="portrait" verticalDpi="0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 enableFormatConditionsCalculation="0"/>
  <dimension ref="A1:F116"/>
  <sheetViews>
    <sheetView topLeftCell="A85" zoomScale="85" zoomScaleNormal="85" zoomScalePageLayoutView="85" workbookViewId="0">
      <selection activeCell="F108" sqref="F108"/>
    </sheetView>
  </sheetViews>
  <sheetFormatPr baseColWidth="10" defaultColWidth="8.83203125" defaultRowHeight="13" x14ac:dyDescent="0.15"/>
  <cols>
    <col min="1" max="1" width="33.33203125" bestFit="1" customWidth="1"/>
    <col min="2" max="2" width="10.5" bestFit="1" customWidth="1"/>
  </cols>
  <sheetData>
    <row r="1" spans="1:3" x14ac:dyDescent="0.15">
      <c r="A1" t="s">
        <v>272</v>
      </c>
      <c r="B1" t="s">
        <v>807</v>
      </c>
      <c r="C1" t="s">
        <v>811</v>
      </c>
    </row>
    <row r="2" spans="1:3" x14ac:dyDescent="0.15">
      <c r="A2" t="s">
        <v>0</v>
      </c>
      <c r="B2" s="17">
        <f>IFERROR(SUMIFS('Full List'!B:B,'Full List'!A:A,TX!$A2,'Full List'!E:E,TX!$A$1),"")</f>
        <v>14975425</v>
      </c>
      <c r="C2" s="18">
        <f>IFERROR(B2/$B$2,"")</f>
        <v>1</v>
      </c>
    </row>
    <row r="3" spans="1:3" x14ac:dyDescent="0.15">
      <c r="A3" t="s">
        <v>3</v>
      </c>
      <c r="B3" s="17">
        <f>IFERROR(SUMIFS('Full List'!B:B,'Full List'!A:A,TX!$A3,'Full List'!E:E,TX!$A$1),"")</f>
        <v>157664</v>
      </c>
      <c r="C3" s="18">
        <f t="shared" ref="C3:C66" si="0">IFERROR(B3/$B$2,"")</f>
        <v>1.0528182004851281E-2</v>
      </c>
    </row>
    <row r="4" spans="1:3" x14ac:dyDescent="0.15">
      <c r="A4" t="s">
        <v>4</v>
      </c>
      <c r="B4" s="17">
        <f>IFERROR(SUMIFS('Full List'!B:B,'Full List'!A:A,TX!$A4,'Full List'!E:E,TX!$A$1),"")</f>
        <v>263799</v>
      </c>
      <c r="C4" s="18">
        <f t="shared" si="0"/>
        <v>1.7615459995292286E-2</v>
      </c>
    </row>
    <row r="5" spans="1:3" x14ac:dyDescent="0.15">
      <c r="A5" t="s">
        <v>5</v>
      </c>
      <c r="B5" s="17">
        <f>IFERROR(SUMIFS('Full List'!B:B,'Full List'!A:A,TX!$A5,'Full List'!E:E,TX!$A$1),"")</f>
        <v>491892</v>
      </c>
      <c r="C5" s="18">
        <f t="shared" si="0"/>
        <v>3.28466137021153E-2</v>
      </c>
    </row>
    <row r="6" spans="1:3" x14ac:dyDescent="0.15">
      <c r="A6" t="s">
        <v>6</v>
      </c>
      <c r="B6" s="17">
        <f>IFERROR(SUMIFS('Full List'!B:B,'Full List'!A:A,TX!$A6,'Full List'!E:E,TX!$A$1),"")</f>
        <v>988870</v>
      </c>
      <c r="C6" s="18">
        <f t="shared" si="0"/>
        <v>6.6032850486714062E-2</v>
      </c>
    </row>
    <row r="7" spans="1:3" x14ac:dyDescent="0.15">
      <c r="A7" t="s">
        <v>7</v>
      </c>
      <c r="B7" s="17">
        <f>IFERROR(SUMIFS('Full List'!B:B,'Full List'!A:A,TX!$A7,'Full List'!E:E,TX!$A$1),"")</f>
        <v>2871121</v>
      </c>
      <c r="C7" s="18">
        <f t="shared" si="0"/>
        <v>0.19172217149095935</v>
      </c>
    </row>
    <row r="8" spans="1:3" x14ac:dyDescent="0.15">
      <c r="A8" t="s">
        <v>8</v>
      </c>
      <c r="B8" s="17">
        <f>IFERROR(SUMIFS('Full List'!B:B,'Full List'!A:A,TX!$A8,'Full List'!E:E,TX!$A$1),"")</f>
        <v>83232</v>
      </c>
      <c r="C8" s="18">
        <f t="shared" si="0"/>
        <v>5.557905702175397E-3</v>
      </c>
    </row>
    <row r="9" spans="1:3" x14ac:dyDescent="0.15">
      <c r="A9" t="s">
        <v>9</v>
      </c>
      <c r="B9" s="17">
        <f>IFERROR(SUMIFS('Full List'!B:B,'Full List'!A:A,TX!$A9,'Full List'!E:E,TX!$A$1),"")</f>
        <v>589273</v>
      </c>
      <c r="C9" s="18">
        <f t="shared" si="0"/>
        <v>3.9349333992190538E-2</v>
      </c>
    </row>
    <row r="10" spans="1:3" x14ac:dyDescent="0.15">
      <c r="A10" t="s">
        <v>10</v>
      </c>
      <c r="B10" s="17">
        <f>IFERROR(SUMIFS('Full List'!B:B,'Full List'!A:A,TX!$A10,'Full List'!E:E,TX!$A$1),"")</f>
        <v>391591</v>
      </c>
      <c r="C10" s="18">
        <f t="shared" si="0"/>
        <v>2.6148907293115222E-2</v>
      </c>
    </row>
    <row r="11" spans="1:3" x14ac:dyDescent="0.15">
      <c r="A11" t="s">
        <v>11</v>
      </c>
      <c r="B11" s="17">
        <f>IFERROR(SUMIFS('Full List'!B:B,'Full List'!A:A,TX!$A11,'Full List'!E:E,TX!$A$1),"")</f>
        <v>753277</v>
      </c>
      <c r="C11" s="18">
        <f t="shared" si="0"/>
        <v>5.0300876268953972E-2</v>
      </c>
    </row>
    <row r="12" spans="1:3" x14ac:dyDescent="0.15">
      <c r="A12" t="s">
        <v>12</v>
      </c>
      <c r="B12" s="17">
        <f>IFERROR(SUMIFS('Full List'!B:B,'Full List'!A:A,TX!$A12,'Full List'!E:E,TX!$A$1),"")</f>
        <v>194198</v>
      </c>
      <c r="C12" s="18">
        <f t="shared" si="0"/>
        <v>1.2967778877728011E-2</v>
      </c>
    </row>
    <row r="13" spans="1:3" x14ac:dyDescent="0.15">
      <c r="A13" t="s">
        <v>13</v>
      </c>
      <c r="B13" s="17">
        <f>IFERROR(SUMIFS('Full List'!B:B,'Full List'!A:A,TX!$A13,'Full List'!E:E,TX!$A$1),"")</f>
        <v>109091</v>
      </c>
      <c r="C13" s="18">
        <f t="shared" si="0"/>
        <v>7.2846680478183424E-3</v>
      </c>
    </row>
    <row r="14" spans="1:3" x14ac:dyDescent="0.15">
      <c r="A14" t="s">
        <v>14</v>
      </c>
      <c r="B14" s="17">
        <f>IFERROR(SUMIFS('Full List'!B:B,'Full List'!A:A,TX!$A14,'Full List'!E:E,TX!$A$1),"")</f>
        <v>1168283</v>
      </c>
      <c r="C14" s="18">
        <f t="shared" si="0"/>
        <v>7.801334519721477E-2</v>
      </c>
    </row>
    <row r="15" spans="1:3" x14ac:dyDescent="0.15">
      <c r="A15" t="s">
        <v>15</v>
      </c>
      <c r="B15" s="17">
        <f>IFERROR(SUMIFS('Full List'!B:B,'Full List'!A:A,TX!$A15,'Full List'!E:E,TX!$A$1),"")</f>
        <v>933523</v>
      </c>
      <c r="C15" s="18">
        <f t="shared" si="0"/>
        <v>6.233699544420275E-2</v>
      </c>
    </row>
    <row r="16" spans="1:3" x14ac:dyDescent="0.15">
      <c r="A16" t="s">
        <v>16</v>
      </c>
      <c r="B16" s="17">
        <f>IFERROR(SUMIFS('Full List'!B:B,'Full List'!A:A,TX!$A16,'Full List'!E:E,TX!$A$1),"")</f>
        <v>493302</v>
      </c>
      <c r="C16" s="18">
        <f t="shared" si="0"/>
        <v>3.2940767958171469E-2</v>
      </c>
    </row>
    <row r="17" spans="1:3" x14ac:dyDescent="0.15">
      <c r="A17" t="s">
        <v>17</v>
      </c>
      <c r="B17" s="17">
        <f>IFERROR(SUMIFS('Full List'!B:B,'Full List'!A:A,TX!$A17,'Full List'!E:E,TX!$A$1),"")</f>
        <v>245811</v>
      </c>
      <c r="C17" s="18">
        <f t="shared" si="0"/>
        <v>1.6414292081860783E-2</v>
      </c>
    </row>
    <row r="18" spans="1:3" x14ac:dyDescent="0.15">
      <c r="A18" t="s">
        <v>18</v>
      </c>
      <c r="B18" s="17">
        <f>IFERROR(SUMIFS('Full List'!B:B,'Full List'!A:A,TX!$A18,'Full List'!E:E,TX!$A$1),"")</f>
        <v>127661</v>
      </c>
      <c r="C18" s="18">
        <f t="shared" si="0"/>
        <v>8.5246996328985653E-3</v>
      </c>
    </row>
    <row r="19" spans="1:3" x14ac:dyDescent="0.15">
      <c r="A19" t="s">
        <v>19</v>
      </c>
      <c r="B19" s="17">
        <f>IFERROR(SUMIFS('Full List'!B:B,'Full List'!A:A,TX!$A19,'Full List'!E:E,TX!$A$1),"")</f>
        <v>1948461</v>
      </c>
      <c r="C19" s="18">
        <f t="shared" si="0"/>
        <v>0.13011056447479788</v>
      </c>
    </row>
    <row r="20" spans="1:3" x14ac:dyDescent="0.15">
      <c r="A20" t="s">
        <v>20</v>
      </c>
      <c r="B20" s="17">
        <f>IFERROR(SUMIFS('Full List'!B:B,'Full List'!A:A,TX!$A20,'Full List'!E:E,TX!$A$1),"")</f>
        <v>616390</v>
      </c>
      <c r="C20" s="18">
        <f t="shared" si="0"/>
        <v>4.1160100631534663E-2</v>
      </c>
    </row>
    <row r="21" spans="1:3" x14ac:dyDescent="0.15">
      <c r="A21" t="s">
        <v>21</v>
      </c>
      <c r="B21" s="17">
        <f>IFERROR(SUMIFS('Full List'!B:B,'Full List'!A:A,TX!$A21,'Full List'!E:E,TX!$A$1),"")</f>
        <v>351632</v>
      </c>
      <c r="C21" s="18">
        <f t="shared" si="0"/>
        <v>2.3480602386910555E-2</v>
      </c>
    </row>
    <row r="22" spans="1:3" x14ac:dyDescent="0.15">
      <c r="A22" t="s">
        <v>22</v>
      </c>
      <c r="B22" s="17">
        <f>IFERROR(SUMIFS('Full List'!B:B,'Full List'!A:A,TX!$A22,'Full List'!E:E,TX!$A$1),"")</f>
        <v>888881</v>
      </c>
      <c r="C22" s="18">
        <f t="shared" si="0"/>
        <v>5.9355978210968968E-2</v>
      </c>
    </row>
    <row r="23" spans="1:3" x14ac:dyDescent="0.15">
      <c r="A23" t="s">
        <v>23</v>
      </c>
      <c r="B23" s="17">
        <f>IFERROR(SUMIFS('Full List'!B:B,'Full List'!A:A,TX!$A23,'Full List'!E:E,TX!$A$1),"")</f>
        <v>256557</v>
      </c>
      <c r="C23" s="18">
        <f t="shared" si="0"/>
        <v>1.7131867709931439E-2</v>
      </c>
    </row>
    <row r="24" spans="1:3" x14ac:dyDescent="0.15">
      <c r="A24" t="s">
        <v>24</v>
      </c>
      <c r="B24" s="17">
        <f>IFERROR(SUMIFS('Full List'!B:B,'Full List'!A:A,TX!$A24,'Full List'!E:E,TX!$A$1),"")</f>
        <v>118218</v>
      </c>
      <c r="C24" s="18">
        <f t="shared" si="0"/>
        <v>7.8941332215947124E-3</v>
      </c>
    </row>
    <row r="25" spans="1:3" x14ac:dyDescent="0.15">
      <c r="A25" t="s">
        <v>25</v>
      </c>
      <c r="B25" s="17">
        <f>IFERROR(SUMIFS('Full List'!B:B,'Full List'!A:A,TX!$A25,'Full List'!E:E,TX!$A$1),"")</f>
        <v>312600</v>
      </c>
      <c r="C25" s="18">
        <f t="shared" si="0"/>
        <v>2.0874198895857714E-2</v>
      </c>
    </row>
    <row r="26" spans="1:3" x14ac:dyDescent="0.15">
      <c r="A26" t="s">
        <v>26</v>
      </c>
      <c r="B26" s="17">
        <f>IFERROR(SUMIFS('Full List'!B:B,'Full List'!A:A,TX!$A26,'Full List'!E:E,TX!$A$1),"")</f>
        <v>124677</v>
      </c>
      <c r="C26" s="18">
        <f t="shared" si="0"/>
        <v>8.3254398456137305E-3</v>
      </c>
    </row>
    <row r="27" spans="1:3" x14ac:dyDescent="0.15">
      <c r="A27" t="s">
        <v>27</v>
      </c>
      <c r="B27" s="17">
        <f>IFERROR(SUMIFS('Full List'!B:B,'Full List'!A:A,TX!$A27,'Full List'!E:E,TX!$A$1),"")</f>
        <v>842610</v>
      </c>
      <c r="C27" s="18">
        <f t="shared" si="0"/>
        <v>5.6266182762759652E-2</v>
      </c>
    </row>
    <row r="28" spans="1:3" x14ac:dyDescent="0.15">
      <c r="A28" t="s">
        <v>28</v>
      </c>
      <c r="B28" s="17">
        <f>IFERROR(SUMIFS('Full List'!B:B,'Full List'!A:A,TX!$A28,'Full List'!E:E,TX!$A$1),"")</f>
        <v>2130881</v>
      </c>
      <c r="C28" s="18">
        <f t="shared" si="0"/>
        <v>0.14229185482215029</v>
      </c>
    </row>
    <row r="29" spans="1:3" x14ac:dyDescent="0.15">
      <c r="A29" t="s">
        <v>29</v>
      </c>
      <c r="B29" s="17">
        <f>IFERROR(SUMIFS('Full List'!B:B,'Full List'!A:A,TX!$A29,'Full List'!E:E,TX!$A$1),"")</f>
        <v>4562090</v>
      </c>
      <c r="C29" s="18">
        <f t="shared" si="0"/>
        <v>0.30463843263212897</v>
      </c>
    </row>
    <row r="30" spans="1:3" x14ac:dyDescent="0.15">
      <c r="A30" t="s">
        <v>30</v>
      </c>
      <c r="B30" s="17">
        <f>IFERROR(SUMIFS('Full List'!B:B,'Full List'!A:A,TX!$A30,'Full List'!E:E,TX!$A$1),"")</f>
        <v>414627</v>
      </c>
      <c r="C30" s="18">
        <f t="shared" si="0"/>
        <v>2.7687160798441447E-2</v>
      </c>
    </row>
    <row r="31" spans="1:3" x14ac:dyDescent="0.15">
      <c r="A31" t="s">
        <v>31</v>
      </c>
      <c r="B31" s="17">
        <f>IFERROR(SUMIFS('Full List'!B:B,'Full List'!A:A,TX!$A31,'Full List'!E:E,TX!$A$1),"")</f>
        <v>271203</v>
      </c>
      <c r="C31" s="18">
        <f t="shared" si="0"/>
        <v>1.8109870003689379E-2</v>
      </c>
    </row>
    <row r="32" spans="1:3" x14ac:dyDescent="0.15">
      <c r="A32" t="s">
        <v>32</v>
      </c>
      <c r="B32" s="17">
        <f>IFERROR(SUMIFS('Full List'!B:B,'Full List'!A:A,TX!$A32,'Full List'!E:E,TX!$A$1),"")</f>
        <v>363708</v>
      </c>
      <c r="C32" s="18">
        <f t="shared" si="0"/>
        <v>2.4286990185587387E-2</v>
      </c>
    </row>
    <row r="33" spans="1:3" x14ac:dyDescent="0.15">
      <c r="A33" t="s">
        <v>33</v>
      </c>
      <c r="B33" s="17">
        <f>IFERROR(SUMIFS('Full List'!B:B,'Full List'!A:A,TX!$A33,'Full List'!E:E,TX!$A$1),"")</f>
        <v>3864282</v>
      </c>
      <c r="C33" s="18">
        <f t="shared" si="0"/>
        <v>0.25804155808599755</v>
      </c>
    </row>
    <row r="34" spans="1:3" x14ac:dyDescent="0.15">
      <c r="A34" t="s">
        <v>34</v>
      </c>
      <c r="B34" s="17">
        <f>IFERROR(SUMIFS('Full List'!B:B,'Full List'!A:A,TX!$A34,'Full List'!E:E,TX!$A$1),"")</f>
        <v>770039</v>
      </c>
      <c r="C34" s="18">
        <f t="shared" si="0"/>
        <v>5.1420176722864294E-2</v>
      </c>
    </row>
    <row r="35" spans="1:3" x14ac:dyDescent="0.15">
      <c r="A35" t="s">
        <v>35</v>
      </c>
      <c r="B35" s="17">
        <f>IFERROR(SUMIFS('Full List'!B:B,'Full List'!A:A,TX!$A35,'Full List'!E:E,TX!$A$1),"")</f>
        <v>1200699</v>
      </c>
      <c r="C35" s="18">
        <f t="shared" si="0"/>
        <v>8.0177958221552978E-2</v>
      </c>
    </row>
    <row r="36" spans="1:3" x14ac:dyDescent="0.15">
      <c r="A36" t="s">
        <v>36</v>
      </c>
      <c r="B36" s="17">
        <f>IFERROR(SUMIFS('Full List'!B:B,'Full List'!A:A,TX!$A36,'Full List'!E:E,TX!$A$1),"")</f>
        <v>538328</v>
      </c>
      <c r="C36" s="18">
        <f t="shared" si="0"/>
        <v>3.5947427201565234E-2</v>
      </c>
    </row>
    <row r="37" spans="1:3" x14ac:dyDescent="0.15">
      <c r="A37" t="s">
        <v>37</v>
      </c>
      <c r="B37" s="17">
        <f>IFERROR(SUMIFS('Full List'!B:B,'Full List'!A:A,TX!$A37,'Full List'!E:E,TX!$A$1),"")</f>
        <v>449712</v>
      </c>
      <c r="C37" s="18">
        <f t="shared" si="0"/>
        <v>3.002999914860513E-2</v>
      </c>
    </row>
    <row r="38" spans="1:3" x14ac:dyDescent="0.15">
      <c r="A38" t="s">
        <v>38</v>
      </c>
      <c r="B38" s="17">
        <f>IFERROR(SUMIFS('Full List'!B:B,'Full List'!A:A,TX!$A38,'Full List'!E:E,TX!$A$1),"")</f>
        <v>286620</v>
      </c>
      <c r="C38" s="18">
        <f t="shared" si="0"/>
        <v>1.9139356645971651E-2</v>
      </c>
    </row>
    <row r="39" spans="1:3" x14ac:dyDescent="0.15">
      <c r="A39" t="s">
        <v>39</v>
      </c>
      <c r="B39" s="17">
        <f>IFERROR(SUMIFS('Full List'!B:B,'Full List'!A:A,TX!$A39,'Full List'!E:E,TX!$A$1),"")</f>
        <v>805036</v>
      </c>
      <c r="C39" s="18">
        <f t="shared" si="0"/>
        <v>5.375713877903298E-2</v>
      </c>
    </row>
    <row r="40" spans="1:3" x14ac:dyDescent="0.15">
      <c r="A40" t="s">
        <v>40</v>
      </c>
      <c r="B40" s="17">
        <f>IFERROR(SUMIFS('Full List'!B:B,'Full List'!A:A,TX!$A40,'Full List'!E:E,TX!$A$1),"")</f>
        <v>217183</v>
      </c>
      <c r="C40" s="18">
        <f t="shared" si="0"/>
        <v>1.4502626803579865E-2</v>
      </c>
    </row>
    <row r="41" spans="1:3" x14ac:dyDescent="0.15">
      <c r="A41" t="s">
        <v>41</v>
      </c>
      <c r="B41" s="17">
        <f>IFERROR(SUMIFS('Full List'!B:B,'Full List'!A:A,TX!$A41,'Full List'!E:E,TX!$A$1),"")</f>
        <v>324256</v>
      </c>
      <c r="C41" s="18">
        <f t="shared" si="0"/>
        <v>2.1652540745922069E-2</v>
      </c>
    </row>
    <row r="42" spans="1:3" x14ac:dyDescent="0.15">
      <c r="A42" t="s">
        <v>42</v>
      </c>
      <c r="B42" s="17">
        <f>IFERROR(SUMIFS('Full List'!B:B,'Full List'!A:A,TX!$A42,'Full List'!E:E,TX!$A$1),"")</f>
        <v>578818</v>
      </c>
      <c r="C42" s="18">
        <f t="shared" si="0"/>
        <v>3.8651190199944244E-2</v>
      </c>
    </row>
    <row r="43" spans="1:3" x14ac:dyDescent="0.15">
      <c r="A43" t="s">
        <v>43</v>
      </c>
      <c r="B43" s="17">
        <f>IFERROR(SUMIFS('Full List'!B:B,'Full List'!A:A,TX!$A43,'Full List'!E:E,TX!$A$1),"")</f>
        <v>1158639</v>
      </c>
      <c r="C43" s="18">
        <f t="shared" si="0"/>
        <v>7.73693567962178E-2</v>
      </c>
    </row>
    <row r="44" spans="1:3" x14ac:dyDescent="0.15">
      <c r="A44" t="s">
        <v>44</v>
      </c>
      <c r="B44" s="17">
        <f>IFERROR(SUMIFS('Full List'!B:B,'Full List'!A:A,TX!$A44,'Full List'!E:E,TX!$A$1),"")</f>
        <v>1726121</v>
      </c>
      <c r="C44" s="18">
        <f t="shared" si="0"/>
        <v>0.11526357348789767</v>
      </c>
    </row>
    <row r="45" spans="1:3" x14ac:dyDescent="0.15">
      <c r="A45" t="s">
        <v>45</v>
      </c>
      <c r="B45" s="17">
        <f>IFERROR(SUMIFS('Full List'!B:B,'Full List'!A:A,TX!$A45,'Full List'!E:E,TX!$A$1),"")</f>
        <v>3073625</v>
      </c>
      <c r="C45" s="18">
        <f t="shared" si="0"/>
        <v>0.20524459239053316</v>
      </c>
    </row>
    <row r="46" spans="1:3" x14ac:dyDescent="0.15">
      <c r="A46" t="s">
        <v>46</v>
      </c>
      <c r="B46" s="17">
        <f>IFERROR(SUMIFS('Full List'!B:B,'Full List'!A:A,TX!$A46,'Full List'!E:E,TX!$A$1),"")</f>
        <v>4245643</v>
      </c>
      <c r="C46" s="18">
        <f t="shared" si="0"/>
        <v>0.28350734620219459</v>
      </c>
    </row>
    <row r="47" spans="1:3" x14ac:dyDescent="0.15">
      <c r="A47" t="s">
        <v>47</v>
      </c>
      <c r="B47" s="17">
        <f>IFERROR(SUMIFS('Full List'!B:B,'Full List'!A:A,TX!$A47,'Full List'!E:E,TX!$A$1),"")</f>
        <v>6629302</v>
      </c>
      <c r="C47" s="18">
        <f t="shared" si="0"/>
        <v>0.44267872197283215</v>
      </c>
    </row>
    <row r="48" spans="1:3" x14ac:dyDescent="0.15">
      <c r="A48" t="s">
        <v>48</v>
      </c>
      <c r="B48" s="17">
        <f>IFERROR(SUMIFS('Full List'!B:B,'Full List'!A:A,TX!$A48,'Full List'!E:E,TX!$A$1),"")</f>
        <v>963155</v>
      </c>
      <c r="C48" s="18">
        <f t="shared" si="0"/>
        <v>6.4315703894881115E-2</v>
      </c>
    </row>
    <row r="49" spans="1:3" x14ac:dyDescent="0.15">
      <c r="A49" t="s">
        <v>49</v>
      </c>
      <c r="B49" s="17">
        <f>IFERROR(SUMIFS('Full List'!B:B,'Full List'!A:A,TX!$A49,'Full List'!E:E,TX!$A$1),"")</f>
        <v>2306871</v>
      </c>
      <c r="C49" s="18">
        <f t="shared" si="0"/>
        <v>0.1540437750514593</v>
      </c>
    </row>
    <row r="50" spans="1:3" x14ac:dyDescent="0.15">
      <c r="A50" t="s">
        <v>50</v>
      </c>
      <c r="B50" s="17">
        <f>IFERROR(SUMIFS('Full List'!B:B,'Full List'!A:A,TX!$A50,'Full List'!E:E,TX!$A$1),"")</f>
        <v>2423132</v>
      </c>
      <c r="C50" s="18">
        <f t="shared" si="0"/>
        <v>0.16180722750773349</v>
      </c>
    </row>
    <row r="51" spans="1:3" x14ac:dyDescent="0.15">
      <c r="A51" t="s">
        <v>51</v>
      </c>
      <c r="B51" s="17">
        <f>IFERROR(SUMIFS('Full List'!B:B,'Full List'!A:A,TX!$A51,'Full List'!E:E,TX!$A$1),"")</f>
        <v>4050331</v>
      </c>
      <c r="C51" s="18">
        <f t="shared" si="0"/>
        <v>0.27046517878457538</v>
      </c>
    </row>
    <row r="52" spans="1:3" x14ac:dyDescent="0.15">
      <c r="A52" t="s">
        <v>52</v>
      </c>
      <c r="B52" s="17">
        <f>IFERROR(SUMIFS('Full List'!B:B,'Full List'!A:A,TX!$A52,'Full List'!E:E,TX!$A$1),"")</f>
        <v>1907455</v>
      </c>
      <c r="C52" s="18">
        <f t="shared" si="0"/>
        <v>0.1273723450252664</v>
      </c>
    </row>
    <row r="53" spans="1:3" x14ac:dyDescent="0.15">
      <c r="A53" t="s">
        <v>53</v>
      </c>
      <c r="B53" s="17">
        <f>IFERROR(SUMIFS('Full List'!B:B,'Full List'!A:A,TX!$A53,'Full List'!E:E,TX!$A$1),"")</f>
        <v>1151292</v>
      </c>
      <c r="C53" s="18">
        <f t="shared" si="0"/>
        <v>7.6878753023703839E-2</v>
      </c>
    </row>
    <row r="54" spans="1:3" x14ac:dyDescent="0.15">
      <c r="A54" t="s">
        <v>54</v>
      </c>
      <c r="B54" s="17">
        <f>IFERROR(SUMIFS('Full List'!B:B,'Full List'!A:A,TX!$A54,'Full List'!E:E,TX!$A$1),"")</f>
        <v>5183225</v>
      </c>
      <c r="C54" s="18">
        <f t="shared" si="0"/>
        <v>0.34611538570691652</v>
      </c>
    </row>
    <row r="55" spans="1:3" x14ac:dyDescent="0.15">
      <c r="A55" t="s">
        <v>55</v>
      </c>
      <c r="B55" s="17">
        <f>IFERROR(SUMIFS('Full List'!B:B,'Full List'!A:A,TX!$A55,'Full List'!E:E,TX!$A$1),"")</f>
        <v>4316140</v>
      </c>
      <c r="C55" s="18">
        <f t="shared" si="0"/>
        <v>0.2882148586767988</v>
      </c>
    </row>
    <row r="56" spans="1:3" x14ac:dyDescent="0.15">
      <c r="A56" t="s">
        <v>56</v>
      </c>
      <c r="B56" s="17">
        <f>IFERROR(SUMIFS('Full List'!B:B,'Full List'!A:A,TX!$A56,'Full List'!E:E,TX!$A$1),"")</f>
        <v>3369273</v>
      </c>
      <c r="C56" s="18">
        <f t="shared" si="0"/>
        <v>0.2249868033795368</v>
      </c>
    </row>
    <row r="57" spans="1:3" x14ac:dyDescent="0.15">
      <c r="A57" t="s">
        <v>57</v>
      </c>
      <c r="B57" s="17">
        <f>IFERROR(SUMIFS('Full List'!B:B,'Full List'!A:A,TX!$A57,'Full List'!E:E,TX!$A$1),"")</f>
        <v>1886682</v>
      </c>
      <c r="C57" s="18">
        <f t="shared" si="0"/>
        <v>0.12598520576210692</v>
      </c>
    </row>
    <row r="58" spans="1:3" x14ac:dyDescent="0.15">
      <c r="A58" t="s">
        <v>58</v>
      </c>
      <c r="B58" s="17">
        <f>IFERROR(SUMIFS('Full List'!B:B,'Full List'!A:A,TX!$A58,'Full List'!E:E,TX!$A$1),"")</f>
        <v>1342141</v>
      </c>
      <c r="C58" s="18">
        <f t="shared" si="0"/>
        <v>8.9622898849281402E-2</v>
      </c>
    </row>
    <row r="59" spans="1:3" x14ac:dyDescent="0.15">
      <c r="A59" t="s">
        <v>59</v>
      </c>
      <c r="B59" s="17">
        <f>IFERROR(SUMIFS('Full List'!B:B,'Full List'!A:A,TX!$A59,'Full List'!E:E,TX!$A$1),"")</f>
        <v>7206611</v>
      </c>
      <c r="C59" s="18">
        <f t="shared" si="0"/>
        <v>0.48122914708597586</v>
      </c>
    </row>
    <row r="60" spans="1:3" x14ac:dyDescent="0.15">
      <c r="A60" t="s">
        <v>60</v>
      </c>
      <c r="B60" s="17">
        <f>IFERROR(SUMIFS('Full List'!B:B,'Full List'!A:A,TX!$A60,'Full List'!E:E,TX!$A$1),"")</f>
        <v>2898916</v>
      </c>
      <c r="C60" s="18">
        <f t="shared" si="0"/>
        <v>0.19357821230449218</v>
      </c>
    </row>
    <row r="61" spans="1:3" x14ac:dyDescent="0.15">
      <c r="A61" t="s">
        <v>61</v>
      </c>
      <c r="B61" s="17">
        <f>IFERROR(SUMIFS('Full List'!B:B,'Full List'!A:A,TX!$A61,'Full List'!E:E,TX!$A$1),"")</f>
        <v>2440458</v>
      </c>
      <c r="C61" s="18">
        <f t="shared" si="0"/>
        <v>0.16296418966406628</v>
      </c>
    </row>
    <row r="62" spans="1:3" x14ac:dyDescent="0.15">
      <c r="A62" t="s">
        <v>62</v>
      </c>
      <c r="B62" s="17">
        <f>IFERROR(SUMIFS('Full List'!B:B,'Full List'!A:A,TX!$A62,'Full List'!E:E,TX!$A$1),"")</f>
        <v>2651584</v>
      </c>
      <c r="C62" s="18">
        <f t="shared" si="0"/>
        <v>0.17706235382301336</v>
      </c>
    </row>
    <row r="63" spans="1:3" x14ac:dyDescent="0.15">
      <c r="A63" t="s">
        <v>63</v>
      </c>
      <c r="B63" s="17">
        <f>IFERROR(SUMIFS('Full List'!B:B,'Full List'!A:A,TX!$A63,'Full List'!E:E,TX!$A$1),"")</f>
        <v>2010183</v>
      </c>
      <c r="C63" s="18">
        <f t="shared" si="0"/>
        <v>0.13423211695160572</v>
      </c>
    </row>
    <row r="64" spans="1:3" x14ac:dyDescent="0.15">
      <c r="A64" t="s">
        <v>64</v>
      </c>
      <c r="B64" s="17">
        <f>IFERROR(SUMIFS('Full List'!B:B,'Full List'!A:A,TX!$A64,'Full List'!E:E,TX!$A$1),"")</f>
        <v>818391</v>
      </c>
      <c r="C64" s="18">
        <f t="shared" si="0"/>
        <v>5.4648933168841618E-2</v>
      </c>
    </row>
    <row r="65" spans="1:3" x14ac:dyDescent="0.15">
      <c r="A65" t="s">
        <v>65</v>
      </c>
      <c r="B65" s="17">
        <f>IFERROR(SUMIFS('Full List'!B:B,'Full List'!A:A,TX!$A65,'Full List'!E:E,TX!$A$1),"")</f>
        <v>2198114</v>
      </c>
      <c r="C65" s="18">
        <f t="shared" si="0"/>
        <v>0.1467814102103947</v>
      </c>
    </row>
    <row r="66" spans="1:3" x14ac:dyDescent="0.15">
      <c r="A66" t="s">
        <v>66</v>
      </c>
      <c r="B66" s="17">
        <f>IFERROR(SUMIFS('Full List'!B:B,'Full List'!A:A,TX!$A66,'Full List'!E:E,TX!$A$1),"")</f>
        <v>1189960</v>
      </c>
      <c r="C66" s="18">
        <f t="shared" si="0"/>
        <v>7.9460850025959193E-2</v>
      </c>
    </row>
    <row r="67" spans="1:3" x14ac:dyDescent="0.15">
      <c r="A67" t="s">
        <v>67</v>
      </c>
      <c r="B67" s="17">
        <f>IFERROR(SUMIFS('Full List'!B:B,'Full List'!A:A,TX!$A67,'Full List'!E:E,TX!$A$1),"")</f>
        <v>3091661</v>
      </c>
      <c r="C67" s="18">
        <f t="shared" ref="C67:C82" si="1">IFERROR(B67/$B$2,"")</f>
        <v>0.20644896555523465</v>
      </c>
    </row>
    <row r="68" spans="1:3" x14ac:dyDescent="0.15">
      <c r="A68" t="s">
        <v>68</v>
      </c>
      <c r="B68" s="17">
        <f>IFERROR(SUMIFS('Full List'!B:B,'Full List'!A:A,TX!$A68,'Full List'!E:E,TX!$A$1),"")</f>
        <v>6422933</v>
      </c>
      <c r="C68" s="18">
        <f t="shared" si="1"/>
        <v>0.42889821156995545</v>
      </c>
    </row>
    <row r="69" spans="1:3" x14ac:dyDescent="0.15">
      <c r="A69" t="s">
        <v>69</v>
      </c>
      <c r="B69" s="17">
        <f>IFERROR(SUMIFS('Full List'!B:B,'Full List'!A:A,TX!$A69,'Full List'!E:E,TX!$A$1),"")</f>
        <v>9440607</v>
      </c>
      <c r="C69" s="18">
        <f t="shared" si="1"/>
        <v>0.63040661617282978</v>
      </c>
    </row>
    <row r="70" spans="1:3" x14ac:dyDescent="0.15">
      <c r="A70" t="s">
        <v>70</v>
      </c>
      <c r="B70" s="17">
        <f>IFERROR(SUMIFS('Full List'!B:B,'Full List'!A:A,TX!$A70,'Full List'!E:E,TX!$A$1),"")</f>
        <v>2706995</v>
      </c>
      <c r="C70" s="18">
        <f t="shared" si="1"/>
        <v>0.18076248253388469</v>
      </c>
    </row>
    <row r="71" spans="1:3" x14ac:dyDescent="0.15">
      <c r="A71" t="s">
        <v>71</v>
      </c>
      <c r="B71" s="17">
        <f>IFERROR(SUMIFS('Full List'!B:B,'Full List'!A:A,TX!$A71,'Full List'!E:E,TX!$A$1),"")</f>
        <v>1173010</v>
      </c>
      <c r="C71" s="18">
        <f t="shared" si="1"/>
        <v>7.832899567124138E-2</v>
      </c>
    </row>
    <row r="72" spans="1:3" x14ac:dyDescent="0.15">
      <c r="A72" t="s">
        <v>72</v>
      </c>
      <c r="B72" s="17">
        <f>IFERROR(SUMIFS('Full List'!B:B,'Full List'!A:A,TX!$A72,'Full List'!E:E,TX!$A$1),"")</f>
        <v>1722444</v>
      </c>
      <c r="C72" s="18">
        <f t="shared" si="1"/>
        <v>0.11501803788540226</v>
      </c>
    </row>
    <row r="73" spans="1:3" x14ac:dyDescent="0.15">
      <c r="A73" t="s">
        <v>73</v>
      </c>
      <c r="B73" s="17">
        <f>IFERROR(SUMIFS('Full List'!B:B,'Full List'!A:A,TX!$A73,'Full List'!E:E,TX!$A$1),"")</f>
        <v>8586843</v>
      </c>
      <c r="C73" s="18">
        <f t="shared" si="1"/>
        <v>0.57339561314620457</v>
      </c>
    </row>
    <row r="74" spans="1:3" x14ac:dyDescent="0.15">
      <c r="A74" t="s">
        <v>74</v>
      </c>
      <c r="B74" s="17">
        <f>IFERROR(SUMIFS('Full List'!B:B,'Full List'!A:A,TX!$A74,'Full List'!E:E,TX!$A$1),"")</f>
        <v>3289673</v>
      </c>
      <c r="C74" s="18">
        <f t="shared" si="1"/>
        <v>0.21967142835679121</v>
      </c>
    </row>
    <row r="75" spans="1:3" x14ac:dyDescent="0.15">
      <c r="A75" t="s">
        <v>75</v>
      </c>
      <c r="B75" s="17">
        <f>IFERROR(SUMIFS('Full List'!B:B,'Full List'!A:A,TX!$A75,'Full List'!E:E,TX!$A$1),"")</f>
        <v>3705110</v>
      </c>
      <c r="C75" s="18">
        <f t="shared" si="1"/>
        <v>0.24741267777041387</v>
      </c>
    </row>
    <row r="76" spans="1:3" x14ac:dyDescent="0.15">
      <c r="A76" t="s">
        <v>76</v>
      </c>
      <c r="B76" s="17">
        <f>IFERROR(SUMIFS('Full List'!B:B,'Full List'!A:A,TX!$A76,'Full List'!E:E,TX!$A$1),"")</f>
        <v>2911087</v>
      </c>
      <c r="C76" s="18">
        <f t="shared" si="1"/>
        <v>0.19439094382964089</v>
      </c>
    </row>
    <row r="77" spans="1:3" x14ac:dyDescent="0.15">
      <c r="A77" t="s">
        <v>77</v>
      </c>
      <c r="B77" s="17">
        <f>IFERROR(SUMIFS('Full List'!B:B,'Full List'!A:A,TX!$A77,'Full List'!E:E,TX!$A$1),"")</f>
        <v>2829523</v>
      </c>
      <c r="C77" s="18">
        <f t="shared" si="1"/>
        <v>0.18894442060909791</v>
      </c>
    </row>
    <row r="78" spans="1:3" x14ac:dyDescent="0.15">
      <c r="A78" t="s">
        <v>78</v>
      </c>
      <c r="B78" s="17">
        <f>IFERROR(SUMIFS('Full List'!B:B,'Full List'!A:A,TX!$A78,'Full List'!E:E,TX!$A$1),"")</f>
        <v>1519585</v>
      </c>
      <c r="C78" s="18">
        <f t="shared" si="1"/>
        <v>0.1014719114816441</v>
      </c>
    </row>
    <row r="79" spans="1:3" x14ac:dyDescent="0.15">
      <c r="A79" t="s">
        <v>79</v>
      </c>
      <c r="B79" s="17">
        <f>IFERROR(SUMIFS('Full List'!B:B,'Full List'!A:A,TX!$A79,'Full List'!E:E,TX!$A$1),"")</f>
        <v>2540197</v>
      </c>
      <c r="C79" s="18">
        <f t="shared" si="1"/>
        <v>0.16962436792278016</v>
      </c>
    </row>
    <row r="80" spans="1:3" x14ac:dyDescent="0.15">
      <c r="A80" t="s">
        <v>80</v>
      </c>
      <c r="B80" s="17">
        <f>IFERROR(SUMIFS('Full List'!B:B,'Full List'!A:A,TX!$A80,'Full List'!E:E,TX!$A$1),"")</f>
        <v>1995665</v>
      </c>
      <c r="C80" s="18">
        <f t="shared" si="1"/>
        <v>0.13326266199456777</v>
      </c>
    </row>
    <row r="81" spans="1:6" x14ac:dyDescent="0.15">
      <c r="A81" t="s">
        <v>81</v>
      </c>
      <c r="B81" s="17">
        <f>IFERROR(SUMIFS('Full List'!B:B,'Full List'!A:A,TX!$A81,'Full List'!E:E,TX!$A$1),"")</f>
        <v>2452171</v>
      </c>
      <c r="C81" s="18">
        <f t="shared" si="1"/>
        <v>0.16374633775001377</v>
      </c>
    </row>
    <row r="82" spans="1:6" x14ac:dyDescent="0.15">
      <c r="A82" t="s">
        <v>82</v>
      </c>
      <c r="B82" s="17">
        <f>IFERROR(SUMIFS('Full List'!B:B,'Full List'!A:A,TX!$A82,'Full List'!E:E,TX!$A$1),"")</f>
        <v>2068646</v>
      </c>
      <c r="C82" s="18">
        <f t="shared" si="1"/>
        <v>0.13813604622239437</v>
      </c>
    </row>
    <row r="83" spans="1:6" x14ac:dyDescent="0.15">
      <c r="B83" s="17"/>
      <c r="C83" s="18"/>
      <c r="D83" t="s">
        <v>812</v>
      </c>
      <c r="E83" t="s">
        <v>860</v>
      </c>
    </row>
    <row r="84" spans="1:6" x14ac:dyDescent="0.15">
      <c r="A84" t="s">
        <v>1103</v>
      </c>
      <c r="B84" s="17">
        <v>6768442</v>
      </c>
      <c r="C84" s="18">
        <f t="shared" ref="C84:C116" si="2">IFERROR(B84/$B$2,"")</f>
        <v>0.45196994409173696</v>
      </c>
      <c r="D84">
        <v>27</v>
      </c>
      <c r="E84" t="str">
        <f>VLOOKUP(D84,Validation!$A$2:$C$41,3,FALSE)</f>
        <v xml:space="preserve">NFL </v>
      </c>
      <c r="F84" t="s">
        <v>1351</v>
      </c>
    </row>
    <row r="85" spans="1:6" x14ac:dyDescent="0.15">
      <c r="A85" t="s">
        <v>1152</v>
      </c>
      <c r="B85" s="17">
        <v>4222954</v>
      </c>
      <c r="C85" s="18">
        <f t="shared" si="2"/>
        <v>0.28199226399250771</v>
      </c>
      <c r="D85">
        <v>17</v>
      </c>
      <c r="E85" t="str">
        <f>VLOOKUP(D85,Validation!$A$2:$C$41,3,FALSE)</f>
        <v>MLB</v>
      </c>
      <c r="F85" t="s">
        <v>1350</v>
      </c>
    </row>
    <row r="86" spans="1:6" x14ac:dyDescent="0.15">
      <c r="A86" t="s">
        <v>1211</v>
      </c>
      <c r="B86" s="17">
        <v>4100712</v>
      </c>
      <c r="C86" s="18">
        <f t="shared" si="2"/>
        <v>0.27382942387277825</v>
      </c>
      <c r="D86">
        <v>27</v>
      </c>
      <c r="E86" t="str">
        <f>VLOOKUP(D86,Validation!$A$2:$C$41,3,FALSE)</f>
        <v xml:space="preserve">NFL </v>
      </c>
      <c r="F86" t="s">
        <v>1350</v>
      </c>
    </row>
    <row r="87" spans="1:6" x14ac:dyDescent="0.15">
      <c r="A87" t="s">
        <v>1217</v>
      </c>
      <c r="B87" s="17">
        <v>3447438</v>
      </c>
      <c r="C87" s="18">
        <f t="shared" si="2"/>
        <v>0.23020635474452311</v>
      </c>
      <c r="D87">
        <v>5</v>
      </c>
      <c r="E87" t="str">
        <f>VLOOKUP(D87,Validation!$A$2:$C$41,3,FALSE)</f>
        <v>CFB</v>
      </c>
      <c r="F87" t="s">
        <v>1350</v>
      </c>
    </row>
    <row r="88" spans="1:6" x14ac:dyDescent="0.15">
      <c r="A88" t="s">
        <v>1216</v>
      </c>
      <c r="B88" s="17">
        <v>2856868</v>
      </c>
      <c r="C88" s="18">
        <f t="shared" si="2"/>
        <v>0.19077041219197452</v>
      </c>
      <c r="D88">
        <v>5</v>
      </c>
      <c r="E88" t="str">
        <f>VLOOKUP(D88,Validation!$A$2:$C$41,3,FALSE)</f>
        <v>CFB</v>
      </c>
      <c r="F88" t="s">
        <v>1351</v>
      </c>
    </row>
    <row r="89" spans="1:6" x14ac:dyDescent="0.15">
      <c r="A89" t="s">
        <v>1370</v>
      </c>
      <c r="B89" s="17">
        <v>2679719</v>
      </c>
      <c r="C89" s="18">
        <f t="shared" si="2"/>
        <v>0.17894109849970868</v>
      </c>
      <c r="D89">
        <v>17</v>
      </c>
      <c r="E89" t="str">
        <f>VLOOKUP(D89,Validation!$A$2:$C$41,3,FALSE)</f>
        <v>MLB</v>
      </c>
      <c r="F89" t="s">
        <v>1350</v>
      </c>
    </row>
    <row r="90" spans="1:6" x14ac:dyDescent="0.15">
      <c r="A90" t="s">
        <v>1215</v>
      </c>
      <c r="B90" s="17">
        <v>2643344</v>
      </c>
      <c r="C90" s="18">
        <f t="shared" si="2"/>
        <v>0.17651211902166383</v>
      </c>
      <c r="D90">
        <v>26</v>
      </c>
      <c r="E90" t="str">
        <f>VLOOKUP(D90,Validation!$A$2:$C$41,3,FALSE)</f>
        <v xml:space="preserve">NBA </v>
      </c>
      <c r="F90" t="s">
        <v>1350</v>
      </c>
    </row>
    <row r="91" spans="1:6" x14ac:dyDescent="0.15">
      <c r="A91" t="s">
        <v>1210</v>
      </c>
      <c r="B91" s="17">
        <v>2343383</v>
      </c>
      <c r="C91" s="18">
        <f t="shared" si="2"/>
        <v>0.1564819028508373</v>
      </c>
      <c r="D91">
        <v>26</v>
      </c>
      <c r="E91" t="str">
        <f>VLOOKUP(D91,Validation!$A$2:$C$41,3,FALSE)</f>
        <v xml:space="preserve">NBA </v>
      </c>
      <c r="F91" t="s">
        <v>1350</v>
      </c>
    </row>
    <row r="92" spans="1:6" x14ac:dyDescent="0.15">
      <c r="A92" t="s">
        <v>1232</v>
      </c>
      <c r="B92" s="17">
        <v>1925430</v>
      </c>
      <c r="C92" s="18">
        <f t="shared" si="2"/>
        <v>0.12857264484981226</v>
      </c>
      <c r="D92">
        <v>4</v>
      </c>
      <c r="E92" t="str">
        <f>VLOOKUP(D92,Validation!$A$2:$C$41,3,FALSE)</f>
        <v>MCB</v>
      </c>
      <c r="F92" t="s">
        <v>1350</v>
      </c>
    </row>
    <row r="93" spans="1:6" x14ac:dyDescent="0.15">
      <c r="A93" t="s">
        <v>1213</v>
      </c>
      <c r="B93" s="17">
        <v>1823285</v>
      </c>
      <c r="C93" s="18">
        <f t="shared" si="2"/>
        <v>0.12175180337118979</v>
      </c>
      <c r="D93">
        <v>26</v>
      </c>
      <c r="E93" t="str">
        <f>VLOOKUP(D93,Validation!$A$2:$C$41,3,FALSE)</f>
        <v xml:space="preserve">NBA </v>
      </c>
      <c r="F93" t="s">
        <v>1351</v>
      </c>
    </row>
    <row r="94" spans="1:6" x14ac:dyDescent="0.15">
      <c r="A94" t="s">
        <v>1231</v>
      </c>
      <c r="B94" s="17">
        <v>1395203</v>
      </c>
      <c r="C94" s="18">
        <f t="shared" si="2"/>
        <v>9.3166170576127222E-2</v>
      </c>
      <c r="D94">
        <v>4</v>
      </c>
      <c r="E94" t="str">
        <f>VLOOKUP(D94,Validation!$A$2:$C$41,3,FALSE)</f>
        <v>MCB</v>
      </c>
      <c r="F94" t="s">
        <v>1351</v>
      </c>
    </row>
    <row r="95" spans="1:6" x14ac:dyDescent="0.15">
      <c r="A95" t="s">
        <v>1212</v>
      </c>
      <c r="B95" s="17">
        <v>1126380</v>
      </c>
      <c r="C95" s="18">
        <f t="shared" si="2"/>
        <v>7.5215227614575206E-2</v>
      </c>
      <c r="D95">
        <v>28</v>
      </c>
      <c r="E95" t="str">
        <f>VLOOKUP(D95,Validation!$A$2:$C$41,3,FALSE)</f>
        <v xml:space="preserve">NHL </v>
      </c>
      <c r="F95" t="s">
        <v>1350</v>
      </c>
    </row>
    <row r="96" spans="1:6" x14ac:dyDescent="0.15">
      <c r="A96" t="s">
        <v>1230</v>
      </c>
      <c r="B96" s="17">
        <v>818346</v>
      </c>
      <c r="C96" s="18">
        <f t="shared" si="2"/>
        <v>5.4645928245775993E-2</v>
      </c>
      <c r="D96">
        <v>5</v>
      </c>
      <c r="E96" t="str">
        <f>VLOOKUP(D96,Validation!$A$2:$C$41,3,FALSE)</f>
        <v>CFB</v>
      </c>
      <c r="F96" t="s">
        <v>1351</v>
      </c>
    </row>
    <row r="97" spans="1:6" x14ac:dyDescent="0.15">
      <c r="A97" t="s">
        <v>1237</v>
      </c>
      <c r="B97" s="17">
        <v>724592</v>
      </c>
      <c r="C97" s="18">
        <f t="shared" si="2"/>
        <v>4.8385404754789932E-2</v>
      </c>
      <c r="D97">
        <v>5</v>
      </c>
      <c r="E97" t="str">
        <f>VLOOKUP(D97,Validation!$A$2:$C$41,3,FALSE)</f>
        <v>CFB</v>
      </c>
      <c r="F97" t="s">
        <v>1350</v>
      </c>
    </row>
    <row r="98" spans="1:6" x14ac:dyDescent="0.15">
      <c r="A98" t="s">
        <v>1219</v>
      </c>
      <c r="B98" s="17">
        <v>717970</v>
      </c>
      <c r="C98" s="18">
        <f t="shared" si="2"/>
        <v>4.7943213631666544E-2</v>
      </c>
      <c r="D98">
        <v>5</v>
      </c>
      <c r="E98" t="str">
        <f>VLOOKUP(D98,Validation!$A$2:$C$41,3,FALSE)</f>
        <v>CFB</v>
      </c>
      <c r="F98" t="s">
        <v>1373</v>
      </c>
    </row>
    <row r="99" spans="1:6" x14ac:dyDescent="0.15">
      <c r="A99" t="s">
        <v>546</v>
      </c>
      <c r="B99" s="17">
        <v>711445</v>
      </c>
      <c r="C99" s="18">
        <f t="shared" si="2"/>
        <v>4.7507499787151283E-2</v>
      </c>
      <c r="D99">
        <v>18</v>
      </c>
      <c r="E99" t="str">
        <f>VLOOKUP(D99,Validation!$A$2:$C$41,3,FALSE)</f>
        <v>MLS</v>
      </c>
    </row>
    <row r="100" spans="1:6" x14ac:dyDescent="0.15">
      <c r="A100" t="s">
        <v>1221</v>
      </c>
      <c r="B100" s="17">
        <v>655671</v>
      </c>
      <c r="C100" s="18">
        <f t="shared" si="2"/>
        <v>4.3783131363550616E-2</v>
      </c>
      <c r="D100">
        <v>5</v>
      </c>
      <c r="E100" t="str">
        <f>VLOOKUP(D100,Validation!$A$2:$C$41,3,FALSE)</f>
        <v>CFB</v>
      </c>
      <c r="F100" t="s">
        <v>1350</v>
      </c>
    </row>
    <row r="101" spans="1:6" x14ac:dyDescent="0.15">
      <c r="A101" t="s">
        <v>1218</v>
      </c>
      <c r="B101" s="17">
        <v>492541</v>
      </c>
      <c r="C101" s="18">
        <f t="shared" si="2"/>
        <v>3.2889951370328387E-2</v>
      </c>
      <c r="D101">
        <v>4</v>
      </c>
      <c r="E101" t="str">
        <f>VLOOKUP(D101,Validation!$A$2:$C$41,3,FALSE)</f>
        <v>MCB</v>
      </c>
      <c r="F101" t="s">
        <v>1373</v>
      </c>
    </row>
    <row r="102" spans="1:6" x14ac:dyDescent="0.15">
      <c r="A102" t="s">
        <v>1229</v>
      </c>
      <c r="B102" s="17">
        <v>466185</v>
      </c>
      <c r="C102" s="18">
        <f t="shared" si="2"/>
        <v>3.1130001318827344E-2</v>
      </c>
      <c r="D102">
        <v>4</v>
      </c>
      <c r="E102" t="str">
        <f>VLOOKUP(D102,Validation!$A$2:$C$41,3,FALSE)</f>
        <v>MCB</v>
      </c>
      <c r="F102" t="s">
        <v>1351</v>
      </c>
    </row>
    <row r="103" spans="1:6" x14ac:dyDescent="0.15">
      <c r="A103" t="s">
        <v>1220</v>
      </c>
      <c r="B103" s="17">
        <v>434406</v>
      </c>
      <c r="C103" s="18">
        <f t="shared" si="2"/>
        <v>2.9007924649884727E-2</v>
      </c>
      <c r="D103">
        <v>4</v>
      </c>
      <c r="E103" t="str">
        <f>VLOOKUP(D103,Validation!$A$2:$C$41,3,FALSE)</f>
        <v>MCB</v>
      </c>
    </row>
    <row r="104" spans="1:6" x14ac:dyDescent="0.15">
      <c r="A104" t="s">
        <v>1228</v>
      </c>
      <c r="B104" s="17">
        <v>338046</v>
      </c>
      <c r="C104" s="18">
        <f t="shared" si="2"/>
        <v>2.2573382725365056E-2</v>
      </c>
      <c r="D104">
        <v>5</v>
      </c>
      <c r="E104" t="str">
        <f>VLOOKUP(D104,Validation!$A$2:$C$41,3,FALSE)</f>
        <v>CFB</v>
      </c>
      <c r="F104" t="s">
        <v>1350</v>
      </c>
    </row>
    <row r="105" spans="1:6" x14ac:dyDescent="0.15">
      <c r="A105" t="s">
        <v>1214</v>
      </c>
      <c r="B105" s="17">
        <v>305730</v>
      </c>
      <c r="C105" s="18">
        <f t="shared" si="2"/>
        <v>2.0415447307839344E-2</v>
      </c>
      <c r="D105">
        <v>18</v>
      </c>
      <c r="E105" t="str">
        <f>VLOOKUP(D105,Validation!$A$2:$C$41,3,FALSE)</f>
        <v>MLS</v>
      </c>
    </row>
    <row r="106" spans="1:6" x14ac:dyDescent="0.15">
      <c r="A106" t="s">
        <v>1226</v>
      </c>
      <c r="B106" s="17">
        <v>305169</v>
      </c>
      <c r="C106" s="18">
        <f t="shared" si="2"/>
        <v>2.0377985933621251E-2</v>
      </c>
      <c r="D106">
        <v>5</v>
      </c>
      <c r="E106" t="str">
        <f>VLOOKUP(D106,Validation!$A$2:$C$41,3,FALSE)</f>
        <v>CFB</v>
      </c>
      <c r="F106" t="s">
        <v>1350</v>
      </c>
    </row>
    <row r="107" spans="1:6" x14ac:dyDescent="0.15">
      <c r="A107" t="s">
        <v>1227</v>
      </c>
      <c r="B107" s="17">
        <v>201491</v>
      </c>
      <c r="C107" s="18">
        <f t="shared" si="2"/>
        <v>1.3454776742563233E-2</v>
      </c>
      <c r="D107">
        <v>4</v>
      </c>
      <c r="E107" t="str">
        <f>VLOOKUP(D107,Validation!$A$2:$C$41,3,FALSE)</f>
        <v>MCB</v>
      </c>
      <c r="F107" t="s">
        <v>1350</v>
      </c>
    </row>
    <row r="108" spans="1:6" x14ac:dyDescent="0.15">
      <c r="A108" t="s">
        <v>1235</v>
      </c>
      <c r="B108" s="17">
        <v>199544</v>
      </c>
      <c r="C108" s="18">
        <f t="shared" si="2"/>
        <v>1.3324763737923965E-2</v>
      </c>
      <c r="D108">
        <v>4</v>
      </c>
      <c r="E108" t="str">
        <f>VLOOKUP(D108,Validation!$A$2:$C$41,3,FALSE)</f>
        <v>MCB</v>
      </c>
      <c r="F108" t="s">
        <v>1350</v>
      </c>
    </row>
    <row r="109" spans="1:6" x14ac:dyDescent="0.15">
      <c r="A109" t="s">
        <v>1225</v>
      </c>
      <c r="B109" s="17">
        <v>198013</v>
      </c>
      <c r="C109" s="18">
        <f t="shared" si="2"/>
        <v>1.3222529577624676E-2</v>
      </c>
      <c r="D109">
        <v>4</v>
      </c>
      <c r="E109" t="str">
        <f>VLOOKUP(D109,Validation!$A$2:$C$41,3,FALSE)</f>
        <v>MCB</v>
      </c>
      <c r="F109" t="s">
        <v>1350</v>
      </c>
    </row>
    <row r="110" spans="1:6" x14ac:dyDescent="0.15">
      <c r="A110" t="s">
        <v>1234</v>
      </c>
      <c r="B110" s="17">
        <v>178151</v>
      </c>
      <c r="C110" s="18">
        <f t="shared" si="2"/>
        <v>1.1896223312527024E-2</v>
      </c>
      <c r="D110">
        <v>5</v>
      </c>
      <c r="E110" t="str">
        <f>VLOOKUP(D110,Validation!$A$2:$C$41,3,FALSE)</f>
        <v>CFB</v>
      </c>
      <c r="F110" t="s">
        <v>1350</v>
      </c>
    </row>
    <row r="111" spans="1:6" x14ac:dyDescent="0.15">
      <c r="A111" t="s">
        <v>1391</v>
      </c>
      <c r="B111" s="17">
        <v>154964</v>
      </c>
      <c r="C111" s="18">
        <f t="shared" si="2"/>
        <v>1.034788662091393E-2</v>
      </c>
      <c r="D111">
        <v>4</v>
      </c>
      <c r="E111" t="str">
        <f>VLOOKUP(D111,Validation!$A$2:$C$41,3,FALSE)</f>
        <v>MCB</v>
      </c>
      <c r="F111" t="s">
        <v>1350</v>
      </c>
    </row>
    <row r="112" spans="1:6" x14ac:dyDescent="0.15">
      <c r="A112" t="s">
        <v>1233</v>
      </c>
      <c r="B112" s="17">
        <v>150433</v>
      </c>
      <c r="C112" s="18">
        <f t="shared" si="2"/>
        <v>1.0045324256239807E-2</v>
      </c>
      <c r="D112">
        <v>4</v>
      </c>
      <c r="E112" t="str">
        <f>VLOOKUP(D112,Validation!$A$2:$C$41,3,FALSE)</f>
        <v>MCB</v>
      </c>
      <c r="F112" t="s">
        <v>1350</v>
      </c>
    </row>
    <row r="113" spans="1:6" x14ac:dyDescent="0.15">
      <c r="A113" t="s">
        <v>1224</v>
      </c>
      <c r="B113" s="17">
        <v>139524</v>
      </c>
      <c r="C113" s="18">
        <f t="shared" si="2"/>
        <v>9.3168641290647843E-3</v>
      </c>
      <c r="D113">
        <v>3</v>
      </c>
      <c r="E113" t="str">
        <f>VLOOKUP(D113,Validation!$A$2:$C$41,3,FALSE)</f>
        <v>CBB</v>
      </c>
      <c r="F113" t="s">
        <v>1350</v>
      </c>
    </row>
    <row r="114" spans="1:6" x14ac:dyDescent="0.15">
      <c r="A114" t="s">
        <v>1223</v>
      </c>
      <c r="B114" s="17">
        <v>94532</v>
      </c>
      <c r="C114" s="18">
        <f t="shared" si="2"/>
        <v>6.3124752719872727E-3</v>
      </c>
      <c r="D114">
        <v>5</v>
      </c>
      <c r="E114" t="str">
        <f>VLOOKUP(D114,Validation!$A$2:$C$41,3,FALSE)</f>
        <v>CFB</v>
      </c>
      <c r="F114" t="s">
        <v>1350</v>
      </c>
    </row>
    <row r="115" spans="1:6" x14ac:dyDescent="0.15">
      <c r="A115" t="s">
        <v>1222</v>
      </c>
      <c r="B115" s="17">
        <v>81775</v>
      </c>
      <c r="C115" s="18">
        <f t="shared" si="2"/>
        <v>5.4606129709173527E-3</v>
      </c>
      <c r="D115">
        <v>4</v>
      </c>
      <c r="E115" t="str">
        <f>VLOOKUP(D115,Validation!$A$2:$C$41,3,FALSE)</f>
        <v>MCB</v>
      </c>
      <c r="F115" t="s">
        <v>1350</v>
      </c>
    </row>
    <row r="116" spans="1:6" x14ac:dyDescent="0.15">
      <c r="A116" t="s">
        <v>1236</v>
      </c>
      <c r="B116" s="17">
        <v>35914</v>
      </c>
      <c r="C116" s="18">
        <f t="shared" si="2"/>
        <v>2.3981957106392641E-3</v>
      </c>
      <c r="D116">
        <v>4</v>
      </c>
      <c r="E116" t="str">
        <f>VLOOKUP(D116,Validation!$A$2:$C$41,3,FALSE)</f>
        <v>MCB</v>
      </c>
      <c r="F116" t="s">
        <v>1350</v>
      </c>
    </row>
  </sheetData>
  <pageMargins left="0.7" right="0.7" top="0.75" bottom="0.75" header="0.3" footer="0.3"/>
  <pageSetup orientation="portrait" verticalDpi="0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 enableFormatConditionsCalculation="0"/>
  <dimension ref="A1:F96"/>
  <sheetViews>
    <sheetView topLeftCell="A60" zoomScale="85" zoomScaleNormal="85" zoomScalePageLayoutView="85" workbookViewId="0">
      <selection activeCell="F90" sqref="F90"/>
    </sheetView>
  </sheetViews>
  <sheetFormatPr baseColWidth="10" defaultColWidth="8.83203125" defaultRowHeight="13" x14ac:dyDescent="0.15"/>
  <cols>
    <col min="1" max="1" width="33.33203125" bestFit="1" customWidth="1"/>
    <col min="2" max="2" width="10.5" bestFit="1" customWidth="1"/>
  </cols>
  <sheetData>
    <row r="1" spans="1:3" x14ac:dyDescent="0.15">
      <c r="A1" t="s">
        <v>284</v>
      </c>
      <c r="B1" t="s">
        <v>807</v>
      </c>
      <c r="C1" t="s">
        <v>811</v>
      </c>
    </row>
    <row r="2" spans="1:3" x14ac:dyDescent="0.15">
      <c r="A2" t="s">
        <v>0</v>
      </c>
      <c r="B2" s="17">
        <f>IFERROR(SUMIFS('Full List'!B:B,'Full List'!A:A,UT!$A2,'Full List'!E:E,UT!$A$1),"")</f>
        <v>2109498</v>
      </c>
      <c r="C2" s="18">
        <f>IFERROR(B2/$B$2,"")</f>
        <v>1</v>
      </c>
    </row>
    <row r="3" spans="1:3" x14ac:dyDescent="0.15">
      <c r="A3" t="s">
        <v>3</v>
      </c>
      <c r="B3" s="17">
        <f>IFERROR(SUMIFS('Full List'!B:B,'Full List'!A:A,UT!$A3,'Full List'!E:E,UT!$A$1),"")</f>
        <v>28901</v>
      </c>
      <c r="C3" s="18">
        <f t="shared" ref="C3:C66" si="0">IFERROR(B3/$B$2,"")</f>
        <v>1.3700415928339349E-2</v>
      </c>
    </row>
    <row r="4" spans="1:3" x14ac:dyDescent="0.15">
      <c r="A4" t="s">
        <v>4</v>
      </c>
      <c r="B4" s="17">
        <f>IFERROR(SUMIFS('Full List'!B:B,'Full List'!A:A,UT!$A4,'Full List'!E:E,UT!$A$1),"")</f>
        <v>26518</v>
      </c>
      <c r="C4" s="18">
        <f t="shared" si="0"/>
        <v>1.2570763281121859E-2</v>
      </c>
    </row>
    <row r="5" spans="1:3" x14ac:dyDescent="0.15">
      <c r="A5" t="s">
        <v>5</v>
      </c>
      <c r="B5" s="17">
        <f>IFERROR(SUMIFS('Full List'!B:B,'Full List'!A:A,UT!$A5,'Full List'!E:E,UT!$A$1),"")</f>
        <v>23799</v>
      </c>
      <c r="C5" s="18">
        <f t="shared" si="0"/>
        <v>1.1281831032785999E-2</v>
      </c>
    </row>
    <row r="6" spans="1:3" x14ac:dyDescent="0.15">
      <c r="A6" t="s">
        <v>6</v>
      </c>
      <c r="B6" s="17">
        <f>IFERROR(SUMIFS('Full List'!B:B,'Full List'!A:A,UT!$A6,'Full List'!E:E,UT!$A$1),"")</f>
        <v>246633</v>
      </c>
      <c r="C6" s="18">
        <f t="shared" si="0"/>
        <v>0.11691549363877093</v>
      </c>
    </row>
    <row r="7" spans="1:3" x14ac:dyDescent="0.15">
      <c r="A7" t="s">
        <v>7</v>
      </c>
      <c r="B7" s="17">
        <f>IFERROR(SUMIFS('Full List'!B:B,'Full List'!A:A,UT!$A7,'Full List'!E:E,UT!$A$1),"")</f>
        <v>422239</v>
      </c>
      <c r="C7" s="18">
        <f t="shared" si="0"/>
        <v>0.20016089135898682</v>
      </c>
    </row>
    <row r="8" spans="1:3" x14ac:dyDescent="0.15">
      <c r="A8" t="s">
        <v>8</v>
      </c>
      <c r="B8" s="17">
        <f>IFERROR(SUMIFS('Full List'!B:B,'Full List'!A:A,UT!$A8,'Full List'!E:E,UT!$A$1),"")</f>
        <v>20287</v>
      </c>
      <c r="C8" s="18">
        <f t="shared" si="0"/>
        <v>9.6169799639535085E-3</v>
      </c>
    </row>
    <row r="9" spans="1:3" x14ac:dyDescent="0.15">
      <c r="A9" t="s">
        <v>9</v>
      </c>
      <c r="B9" s="17">
        <f>IFERROR(SUMIFS('Full List'!B:B,'Full List'!A:A,UT!$A9,'Full List'!E:E,UT!$A$1),"")</f>
        <v>33217</v>
      </c>
      <c r="C9" s="18">
        <f t="shared" si="0"/>
        <v>1.5746400328419369E-2</v>
      </c>
    </row>
    <row r="10" spans="1:3" x14ac:dyDescent="0.15">
      <c r="A10" t="s">
        <v>10</v>
      </c>
      <c r="B10" s="17">
        <f>IFERROR(SUMIFS('Full List'!B:B,'Full List'!A:A,UT!$A10,'Full List'!E:E,UT!$A$1),"")</f>
        <v>64144</v>
      </c>
      <c r="C10" s="18">
        <f t="shared" si="0"/>
        <v>3.0407234327787937E-2</v>
      </c>
    </row>
    <row r="11" spans="1:3" x14ac:dyDescent="0.15">
      <c r="A11" t="s">
        <v>11</v>
      </c>
      <c r="B11" s="17">
        <f>IFERROR(SUMIFS('Full List'!B:B,'Full List'!A:A,UT!$A11,'Full List'!E:E,UT!$A$1),"")</f>
        <v>110532</v>
      </c>
      <c r="C11" s="18">
        <f t="shared" si="0"/>
        <v>5.2397300210761041E-2</v>
      </c>
    </row>
    <row r="12" spans="1:3" x14ac:dyDescent="0.15">
      <c r="A12" t="s">
        <v>12</v>
      </c>
      <c r="B12" s="17">
        <f>IFERROR(SUMIFS('Full List'!B:B,'Full List'!A:A,UT!$A12,'Full List'!E:E,UT!$A$1),"")</f>
        <v>14749</v>
      </c>
      <c r="C12" s="18">
        <f t="shared" si="0"/>
        <v>6.9917108240917982E-3</v>
      </c>
    </row>
    <row r="13" spans="1:3" x14ac:dyDescent="0.15">
      <c r="A13" t="s">
        <v>13</v>
      </c>
      <c r="B13" s="17">
        <f>IFERROR(SUMIFS('Full List'!B:B,'Full List'!A:A,UT!$A13,'Full List'!E:E,UT!$A$1),"")</f>
        <v>3526</v>
      </c>
      <c r="C13" s="18">
        <f t="shared" si="0"/>
        <v>1.6714877188790888E-3</v>
      </c>
    </row>
    <row r="14" spans="1:3" x14ac:dyDescent="0.15">
      <c r="A14" t="s">
        <v>14</v>
      </c>
      <c r="B14" s="17">
        <f>IFERROR(SUMIFS('Full List'!B:B,'Full List'!A:A,UT!$A14,'Full List'!E:E,UT!$A$1),"")</f>
        <v>117428</v>
      </c>
      <c r="C14" s="18">
        <f t="shared" si="0"/>
        <v>5.5666324405142832E-2</v>
      </c>
    </row>
    <row r="15" spans="1:3" x14ac:dyDescent="0.15">
      <c r="A15" t="s">
        <v>15</v>
      </c>
      <c r="B15" s="17">
        <f>IFERROR(SUMIFS('Full List'!B:B,'Full List'!A:A,UT!$A15,'Full List'!E:E,UT!$A$1),"")</f>
        <v>115528</v>
      </c>
      <c r="C15" s="18">
        <f t="shared" si="0"/>
        <v>5.4765636184532999E-2</v>
      </c>
    </row>
    <row r="16" spans="1:3" x14ac:dyDescent="0.15">
      <c r="A16" t="s">
        <v>16</v>
      </c>
      <c r="B16" s="17">
        <f>IFERROR(SUMIFS('Full List'!B:B,'Full List'!A:A,UT!$A16,'Full List'!E:E,UT!$A$1),"")</f>
        <v>47788</v>
      </c>
      <c r="C16" s="18">
        <f t="shared" si="0"/>
        <v>2.2653730887632981E-2</v>
      </c>
    </row>
    <row r="17" spans="1:3" x14ac:dyDescent="0.15">
      <c r="A17" t="s">
        <v>17</v>
      </c>
      <c r="B17" s="17">
        <f>IFERROR(SUMIFS('Full List'!B:B,'Full List'!A:A,UT!$A17,'Full List'!E:E,UT!$A$1),"")</f>
        <v>18592</v>
      </c>
      <c r="C17" s="18">
        <f t="shared" si="0"/>
        <v>8.8134712618831591E-3</v>
      </c>
    </row>
    <row r="18" spans="1:3" x14ac:dyDescent="0.15">
      <c r="A18" t="s">
        <v>18</v>
      </c>
      <c r="B18" s="17">
        <f>IFERROR(SUMIFS('Full List'!B:B,'Full List'!A:A,UT!$A18,'Full List'!E:E,UT!$A$1),"")</f>
        <v>18714</v>
      </c>
      <c r="C18" s="18">
        <f t="shared" si="0"/>
        <v>8.8713049265749487E-3</v>
      </c>
    </row>
    <row r="19" spans="1:3" x14ac:dyDescent="0.15">
      <c r="A19" t="s">
        <v>19</v>
      </c>
      <c r="B19" s="17">
        <f>IFERROR(SUMIFS('Full List'!B:B,'Full List'!A:A,UT!$A19,'Full List'!E:E,UT!$A$1),"")</f>
        <v>127789</v>
      </c>
      <c r="C19" s="18">
        <f t="shared" si="0"/>
        <v>6.057791948605782E-2</v>
      </c>
    </row>
    <row r="20" spans="1:3" x14ac:dyDescent="0.15">
      <c r="A20" t="s">
        <v>20</v>
      </c>
      <c r="B20" s="17">
        <f>IFERROR(SUMIFS('Full List'!B:B,'Full List'!A:A,UT!$A20,'Full List'!E:E,UT!$A$1),"")</f>
        <v>55239</v>
      </c>
      <c r="C20" s="18">
        <f t="shared" si="0"/>
        <v>2.6185850851719223E-2</v>
      </c>
    </row>
    <row r="21" spans="1:3" x14ac:dyDescent="0.15">
      <c r="A21" t="s">
        <v>21</v>
      </c>
      <c r="B21" s="17">
        <f>IFERROR(SUMIFS('Full List'!B:B,'Full List'!A:A,UT!$A21,'Full List'!E:E,UT!$A$1),"")</f>
        <v>49033</v>
      </c>
      <c r="C21" s="18">
        <f t="shared" si="0"/>
        <v>2.3243918695348371E-2</v>
      </c>
    </row>
    <row r="22" spans="1:3" x14ac:dyDescent="0.15">
      <c r="A22" t="s">
        <v>22</v>
      </c>
      <c r="B22" s="17">
        <f>IFERROR(SUMIFS('Full List'!B:B,'Full List'!A:A,UT!$A22,'Full List'!E:E,UT!$A$1),"")</f>
        <v>22772</v>
      </c>
      <c r="C22" s="18">
        <f t="shared" si="0"/>
        <v>1.0794985347224791E-2</v>
      </c>
    </row>
    <row r="23" spans="1:3" x14ac:dyDescent="0.15">
      <c r="A23" t="s">
        <v>23</v>
      </c>
      <c r="B23" s="17">
        <f>IFERROR(SUMIFS('Full List'!B:B,'Full List'!A:A,UT!$A23,'Full List'!E:E,UT!$A$1),"")</f>
        <v>27831</v>
      </c>
      <c r="C23" s="18">
        <f t="shared" si="0"/>
        <v>1.3193186246206443E-2</v>
      </c>
    </row>
    <row r="24" spans="1:3" x14ac:dyDescent="0.15">
      <c r="A24" t="s">
        <v>24</v>
      </c>
      <c r="B24" s="17">
        <f>IFERROR(SUMIFS('Full List'!B:B,'Full List'!A:A,UT!$A24,'Full List'!E:E,UT!$A$1),"")</f>
        <v>7558</v>
      </c>
      <c r="C24" s="18">
        <f t="shared" si="0"/>
        <v>3.5828429322995329E-3</v>
      </c>
    </row>
    <row r="25" spans="1:3" x14ac:dyDescent="0.15">
      <c r="A25" t="s">
        <v>25</v>
      </c>
      <c r="B25" s="17">
        <f>IFERROR(SUMIFS('Full List'!B:B,'Full List'!A:A,UT!$A25,'Full List'!E:E,UT!$A$1),"")</f>
        <v>31758</v>
      </c>
      <c r="C25" s="18">
        <f t="shared" si="0"/>
        <v>1.5054766584277396E-2</v>
      </c>
    </row>
    <row r="26" spans="1:3" x14ac:dyDescent="0.15">
      <c r="A26" t="s">
        <v>26</v>
      </c>
      <c r="B26" s="17">
        <f>IFERROR(SUMIFS('Full List'!B:B,'Full List'!A:A,UT!$A26,'Full List'!E:E,UT!$A$1),"")</f>
        <v>16816</v>
      </c>
      <c r="C26" s="18">
        <f t="shared" si="0"/>
        <v>7.9715647988289149E-3</v>
      </c>
    </row>
    <row r="27" spans="1:3" x14ac:dyDescent="0.15">
      <c r="A27" t="s">
        <v>27</v>
      </c>
      <c r="B27" s="17">
        <f>IFERROR(SUMIFS('Full List'!B:B,'Full List'!A:A,UT!$A27,'Full List'!E:E,UT!$A$1),"")</f>
        <v>75065</v>
      </c>
      <c r="C27" s="18">
        <f t="shared" si="0"/>
        <v>3.5584295410566874E-2</v>
      </c>
    </row>
    <row r="28" spans="1:3" x14ac:dyDescent="0.15">
      <c r="A28" t="s">
        <v>28</v>
      </c>
      <c r="B28" s="17">
        <f>IFERROR(SUMIFS('Full List'!B:B,'Full List'!A:A,UT!$A28,'Full List'!E:E,UT!$A$1),"")</f>
        <v>296614</v>
      </c>
      <c r="C28" s="18">
        <f t="shared" si="0"/>
        <v>0.14060880835156042</v>
      </c>
    </row>
    <row r="29" spans="1:3" x14ac:dyDescent="0.15">
      <c r="A29" t="s">
        <v>29</v>
      </c>
      <c r="B29" s="17">
        <f>IFERROR(SUMIFS('Full List'!B:B,'Full List'!A:A,UT!$A29,'Full List'!E:E,UT!$A$1),"")</f>
        <v>425763</v>
      </c>
      <c r="C29" s="18">
        <f t="shared" si="0"/>
        <v>0.20183143098500211</v>
      </c>
    </row>
    <row r="30" spans="1:3" x14ac:dyDescent="0.15">
      <c r="A30" t="s">
        <v>30</v>
      </c>
      <c r="B30" s="17">
        <f>IFERROR(SUMIFS('Full List'!B:B,'Full List'!A:A,UT!$A30,'Full List'!E:E,UT!$A$1),"")</f>
        <v>61715</v>
      </c>
      <c r="C30" s="18">
        <f t="shared" si="0"/>
        <v>2.9255775544703051E-2</v>
      </c>
    </row>
    <row r="31" spans="1:3" x14ac:dyDescent="0.15">
      <c r="A31" t="s">
        <v>31</v>
      </c>
      <c r="B31" s="17">
        <f>IFERROR(SUMIFS('Full List'!B:B,'Full List'!A:A,UT!$A31,'Full List'!E:E,UT!$A$1),"")</f>
        <v>17862</v>
      </c>
      <c r="C31" s="18">
        <f t="shared" si="0"/>
        <v>8.4674173665962235E-3</v>
      </c>
    </row>
    <row r="32" spans="1:3" x14ac:dyDescent="0.15">
      <c r="A32" t="s">
        <v>32</v>
      </c>
      <c r="B32" s="17">
        <f>IFERROR(SUMIFS('Full List'!B:B,'Full List'!A:A,UT!$A32,'Full List'!E:E,UT!$A$1),"")</f>
        <v>33146</v>
      </c>
      <c r="C32" s="18">
        <f t="shared" si="0"/>
        <v>1.5712743031754475E-2</v>
      </c>
    </row>
    <row r="33" spans="1:3" x14ac:dyDescent="0.15">
      <c r="A33" t="s">
        <v>33</v>
      </c>
      <c r="B33" s="17">
        <f>IFERROR(SUMIFS('Full List'!B:B,'Full List'!A:A,UT!$A33,'Full List'!E:E,UT!$A$1),"")</f>
        <v>692879</v>
      </c>
      <c r="C33" s="18">
        <f t="shared" si="0"/>
        <v>0.32845681768837892</v>
      </c>
    </row>
    <row r="34" spans="1:3" x14ac:dyDescent="0.15">
      <c r="A34" t="s">
        <v>34</v>
      </c>
      <c r="B34" s="17">
        <f>IFERROR(SUMIFS('Full List'!B:B,'Full List'!A:A,UT!$A34,'Full List'!E:E,UT!$A$1),"")</f>
        <v>104643</v>
      </c>
      <c r="C34" s="18">
        <f t="shared" si="0"/>
        <v>4.9605640773302463E-2</v>
      </c>
    </row>
    <row r="35" spans="1:3" x14ac:dyDescent="0.15">
      <c r="A35" t="s">
        <v>35</v>
      </c>
      <c r="B35" s="17">
        <f>IFERROR(SUMIFS('Full List'!B:B,'Full List'!A:A,UT!$A35,'Full List'!E:E,UT!$A$1),"")</f>
        <v>35442</v>
      </c>
      <c r="C35" s="18">
        <f t="shared" si="0"/>
        <v>1.680115363939667E-2</v>
      </c>
    </row>
    <row r="36" spans="1:3" x14ac:dyDescent="0.15">
      <c r="A36" t="s">
        <v>36</v>
      </c>
      <c r="B36" s="17">
        <f>IFERROR(SUMIFS('Full List'!B:B,'Full List'!A:A,UT!$A36,'Full List'!E:E,UT!$A$1),"")</f>
        <v>51483</v>
      </c>
      <c r="C36" s="18">
        <f t="shared" si="0"/>
        <v>2.4405332453503157E-2</v>
      </c>
    </row>
    <row r="37" spans="1:3" x14ac:dyDescent="0.15">
      <c r="A37" t="s">
        <v>37</v>
      </c>
      <c r="B37" s="17">
        <f>IFERROR(SUMIFS('Full List'!B:B,'Full List'!A:A,UT!$A37,'Full List'!E:E,UT!$A$1),"")</f>
        <v>47019</v>
      </c>
      <c r="C37" s="18">
        <f t="shared" si="0"/>
        <v>2.228918918150195E-2</v>
      </c>
    </row>
    <row r="38" spans="1:3" x14ac:dyDescent="0.15">
      <c r="A38" t="s">
        <v>38</v>
      </c>
      <c r="B38" s="17">
        <f>IFERROR(SUMIFS('Full List'!B:B,'Full List'!A:A,UT!$A38,'Full List'!E:E,UT!$A$1),"")</f>
        <v>44617</v>
      </c>
      <c r="C38" s="18">
        <f t="shared" si="0"/>
        <v>2.1150529652078361E-2</v>
      </c>
    </row>
    <row r="39" spans="1:3" x14ac:dyDescent="0.15">
      <c r="A39" t="s">
        <v>39</v>
      </c>
      <c r="B39" s="17">
        <f>IFERROR(SUMIFS('Full List'!B:B,'Full List'!A:A,UT!$A39,'Full List'!E:E,UT!$A$1),"")</f>
        <v>69400</v>
      </c>
      <c r="C39" s="18">
        <f t="shared" si="0"/>
        <v>3.2898822373853873E-2</v>
      </c>
    </row>
    <row r="40" spans="1:3" x14ac:dyDescent="0.15">
      <c r="A40" t="s">
        <v>40</v>
      </c>
      <c r="B40" s="17">
        <f>IFERROR(SUMIFS('Full List'!B:B,'Full List'!A:A,UT!$A40,'Full List'!E:E,UT!$A$1),"")</f>
        <v>7408</v>
      </c>
      <c r="C40" s="18">
        <f t="shared" si="0"/>
        <v>3.5117359675145461E-3</v>
      </c>
    </row>
    <row r="41" spans="1:3" x14ac:dyDescent="0.15">
      <c r="A41" t="s">
        <v>41</v>
      </c>
      <c r="B41" s="17">
        <f>IFERROR(SUMIFS('Full List'!B:B,'Full List'!A:A,UT!$A41,'Full List'!E:E,UT!$A$1),"")</f>
        <v>35876</v>
      </c>
      <c r="C41" s="18">
        <f t="shared" si="0"/>
        <v>1.7006889790841234E-2</v>
      </c>
    </row>
    <row r="42" spans="1:3" x14ac:dyDescent="0.15">
      <c r="A42" t="s">
        <v>42</v>
      </c>
      <c r="B42" s="17">
        <f>IFERROR(SUMIFS('Full List'!B:B,'Full List'!A:A,UT!$A42,'Full List'!E:E,UT!$A$1),"")</f>
        <v>33717</v>
      </c>
      <c r="C42" s="18">
        <f t="shared" si="0"/>
        <v>1.5983423544369324E-2</v>
      </c>
    </row>
    <row r="43" spans="1:3" x14ac:dyDescent="0.15">
      <c r="A43" t="s">
        <v>43</v>
      </c>
      <c r="B43" s="17">
        <f>IFERROR(SUMIFS('Full List'!B:B,'Full List'!A:A,UT!$A43,'Full List'!E:E,UT!$A$1),"")</f>
        <v>235021</v>
      </c>
      <c r="C43" s="18">
        <f t="shared" si="0"/>
        <v>0.11141086647154916</v>
      </c>
    </row>
    <row r="44" spans="1:3" x14ac:dyDescent="0.15">
      <c r="A44" t="s">
        <v>44</v>
      </c>
      <c r="B44" s="17">
        <f>IFERROR(SUMIFS('Full List'!B:B,'Full List'!A:A,UT!$A44,'Full List'!E:E,UT!$A$1),"")</f>
        <v>284475</v>
      </c>
      <c r="C44" s="18">
        <f t="shared" si="0"/>
        <v>0.1348543587147274</v>
      </c>
    </row>
    <row r="45" spans="1:3" x14ac:dyDescent="0.15">
      <c r="A45" t="s">
        <v>45</v>
      </c>
      <c r="B45" s="17">
        <f>IFERROR(SUMIFS('Full List'!B:B,'Full List'!A:A,UT!$A45,'Full List'!E:E,UT!$A$1),"")</f>
        <v>326490</v>
      </c>
      <c r="C45" s="18">
        <f t="shared" si="0"/>
        <v>0.15477141955100218</v>
      </c>
    </row>
    <row r="46" spans="1:3" x14ac:dyDescent="0.15">
      <c r="A46" t="s">
        <v>46</v>
      </c>
      <c r="B46" s="17">
        <f>IFERROR(SUMIFS('Full List'!B:B,'Full List'!A:A,UT!$A46,'Full List'!E:E,UT!$A$1),"")</f>
        <v>929061</v>
      </c>
      <c r="C46" s="18">
        <f t="shared" si="0"/>
        <v>0.4404180520673639</v>
      </c>
    </row>
    <row r="47" spans="1:3" x14ac:dyDescent="0.15">
      <c r="A47" t="s">
        <v>47</v>
      </c>
      <c r="B47" s="17">
        <f>IFERROR(SUMIFS('Full List'!B:B,'Full List'!A:A,UT!$A47,'Full List'!E:E,UT!$A$1),"")</f>
        <v>1141268</v>
      </c>
      <c r="C47" s="18">
        <f t="shared" si="0"/>
        <v>0.54101402324154846</v>
      </c>
    </row>
    <row r="48" spans="1:3" x14ac:dyDescent="0.15">
      <c r="A48" t="s">
        <v>48</v>
      </c>
      <c r="B48" s="17">
        <f>IFERROR(SUMIFS('Full List'!B:B,'Full List'!A:A,UT!$A48,'Full List'!E:E,UT!$A$1),"")</f>
        <v>167320</v>
      </c>
      <c r="C48" s="18">
        <f t="shared" si="0"/>
        <v>7.9317448985493227E-2</v>
      </c>
    </row>
    <row r="49" spans="1:3" x14ac:dyDescent="0.15">
      <c r="A49" t="s">
        <v>49</v>
      </c>
      <c r="B49" s="17">
        <f>IFERROR(SUMIFS('Full List'!B:B,'Full List'!A:A,UT!$A49,'Full List'!E:E,UT!$A$1),"")</f>
        <v>248954</v>
      </c>
      <c r="C49" s="18">
        <f t="shared" si="0"/>
        <v>0.11801575540721063</v>
      </c>
    </row>
    <row r="50" spans="1:3" x14ac:dyDescent="0.15">
      <c r="A50" t="s">
        <v>50</v>
      </c>
      <c r="B50" s="17">
        <f>IFERROR(SUMIFS('Full List'!B:B,'Full List'!A:A,UT!$A50,'Full List'!E:E,UT!$A$1),"")</f>
        <v>418621</v>
      </c>
      <c r="C50" s="18">
        <f t="shared" si="0"/>
        <v>0.19844579136837295</v>
      </c>
    </row>
    <row r="51" spans="1:3" x14ac:dyDescent="0.15">
      <c r="A51" t="s">
        <v>51</v>
      </c>
      <c r="B51" s="17">
        <f>IFERROR(SUMIFS('Full List'!B:B,'Full List'!A:A,UT!$A51,'Full List'!E:E,UT!$A$1),"")</f>
        <v>738089</v>
      </c>
      <c r="C51" s="18">
        <f t="shared" si="0"/>
        <v>0.34988845687457393</v>
      </c>
    </row>
    <row r="52" spans="1:3" x14ac:dyDescent="0.15">
      <c r="A52" t="s">
        <v>52</v>
      </c>
      <c r="B52" s="17">
        <f>IFERROR(SUMIFS('Full List'!B:B,'Full List'!A:A,UT!$A52,'Full List'!E:E,UT!$A$1),"")</f>
        <v>211532</v>
      </c>
      <c r="C52" s="18">
        <f t="shared" si="0"/>
        <v>0.10027598983265212</v>
      </c>
    </row>
    <row r="53" spans="1:3" x14ac:dyDescent="0.15">
      <c r="A53" t="s">
        <v>53</v>
      </c>
      <c r="B53" s="17">
        <f>IFERROR(SUMIFS('Full List'!B:B,'Full List'!A:A,UT!$A53,'Full List'!E:E,UT!$A$1),"")</f>
        <v>136607</v>
      </c>
      <c r="C53" s="18">
        <f t="shared" si="0"/>
        <v>6.4758060922551236E-2</v>
      </c>
    </row>
    <row r="54" spans="1:3" x14ac:dyDescent="0.15">
      <c r="A54" t="s">
        <v>54</v>
      </c>
      <c r="B54" s="17">
        <f>IFERROR(SUMIFS('Full List'!B:B,'Full List'!A:A,UT!$A54,'Full List'!E:E,UT!$A$1),"")</f>
        <v>888381</v>
      </c>
      <c r="C54" s="18">
        <f t="shared" si="0"/>
        <v>0.4211338432176755</v>
      </c>
    </row>
    <row r="55" spans="1:3" x14ac:dyDescent="0.15">
      <c r="A55" t="s">
        <v>55</v>
      </c>
      <c r="B55" s="17">
        <f>IFERROR(SUMIFS('Full List'!B:B,'Full List'!A:A,UT!$A55,'Full List'!E:E,UT!$A$1),"")</f>
        <v>697270</v>
      </c>
      <c r="C55" s="18">
        <f t="shared" si="0"/>
        <v>0.33053835557085143</v>
      </c>
    </row>
    <row r="56" spans="1:3" x14ac:dyDescent="0.15">
      <c r="A56" t="s">
        <v>56</v>
      </c>
      <c r="B56" s="17">
        <f>IFERROR(SUMIFS('Full List'!B:B,'Full List'!A:A,UT!$A56,'Full List'!E:E,UT!$A$1),"")</f>
        <v>395072</v>
      </c>
      <c r="C56" s="18">
        <f t="shared" si="0"/>
        <v>0.18728247194356193</v>
      </c>
    </row>
    <row r="57" spans="1:3" x14ac:dyDescent="0.15">
      <c r="A57" t="s">
        <v>57</v>
      </c>
      <c r="B57" s="17">
        <f>IFERROR(SUMIFS('Full List'!B:B,'Full List'!A:A,UT!$A57,'Full List'!E:E,UT!$A$1),"")</f>
        <v>218404</v>
      </c>
      <c r="C57" s="18">
        <f t="shared" si="0"/>
        <v>0.10353363691266833</v>
      </c>
    </row>
    <row r="58" spans="1:3" x14ac:dyDescent="0.15">
      <c r="A58" t="s">
        <v>58</v>
      </c>
      <c r="B58" s="17">
        <f>IFERROR(SUMIFS('Full List'!B:B,'Full List'!A:A,UT!$A58,'Full List'!E:E,UT!$A$1),"")</f>
        <v>169887</v>
      </c>
      <c r="C58" s="18">
        <f t="shared" si="0"/>
        <v>8.053432617618031E-2</v>
      </c>
    </row>
    <row r="59" spans="1:3" x14ac:dyDescent="0.15">
      <c r="A59" t="s">
        <v>59</v>
      </c>
      <c r="B59" s="17">
        <f>IFERROR(SUMIFS('Full List'!B:B,'Full List'!A:A,UT!$A59,'Full List'!E:E,UT!$A$1),"")</f>
        <v>834442</v>
      </c>
      <c r="C59" s="18">
        <f t="shared" si="0"/>
        <v>0.39556425272742612</v>
      </c>
    </row>
    <row r="60" spans="1:3" x14ac:dyDescent="0.15">
      <c r="A60" t="s">
        <v>60</v>
      </c>
      <c r="B60" s="17">
        <f>IFERROR(SUMIFS('Full List'!B:B,'Full List'!A:A,UT!$A60,'Full List'!E:E,UT!$A$1),"")</f>
        <v>496108</v>
      </c>
      <c r="C60" s="18">
        <f t="shared" si="0"/>
        <v>0.23517822723700141</v>
      </c>
    </row>
    <row r="61" spans="1:3" x14ac:dyDescent="0.15">
      <c r="A61" t="s">
        <v>61</v>
      </c>
      <c r="B61" s="17">
        <f>IFERROR(SUMIFS('Full List'!B:B,'Full List'!A:A,UT!$A61,'Full List'!E:E,UT!$A$1),"")</f>
        <v>400001</v>
      </c>
      <c r="C61" s="18">
        <f t="shared" si="0"/>
        <v>0.1896190468063966</v>
      </c>
    </row>
    <row r="62" spans="1:3" x14ac:dyDescent="0.15">
      <c r="A62" t="s">
        <v>62</v>
      </c>
      <c r="B62" s="17">
        <f>IFERROR(SUMIFS('Full List'!B:B,'Full List'!A:A,UT!$A62,'Full List'!E:E,UT!$A$1),"")</f>
        <v>158775</v>
      </c>
      <c r="C62" s="18">
        <f t="shared" si="0"/>
        <v>7.5266722224908489E-2</v>
      </c>
    </row>
    <row r="63" spans="1:3" x14ac:dyDescent="0.15">
      <c r="A63" t="s">
        <v>63</v>
      </c>
      <c r="B63" s="17">
        <f>IFERROR(SUMIFS('Full List'!B:B,'Full List'!A:A,UT!$A63,'Full List'!E:E,UT!$A$1),"")</f>
        <v>356596</v>
      </c>
      <c r="C63" s="18">
        <f t="shared" si="0"/>
        <v>0.16904306142978093</v>
      </c>
    </row>
    <row r="64" spans="1:3" x14ac:dyDescent="0.15">
      <c r="A64" t="s">
        <v>64</v>
      </c>
      <c r="B64" s="17">
        <f>IFERROR(SUMIFS('Full List'!B:B,'Full List'!A:A,UT!$A64,'Full List'!E:E,UT!$A$1),"")</f>
        <v>121127</v>
      </c>
      <c r="C64" s="18">
        <f t="shared" si="0"/>
        <v>5.7419822156740609E-2</v>
      </c>
    </row>
    <row r="65" spans="1:3" x14ac:dyDescent="0.15">
      <c r="A65" t="s">
        <v>65</v>
      </c>
      <c r="B65" s="17">
        <f>IFERROR(SUMIFS('Full List'!B:B,'Full List'!A:A,UT!$A65,'Full List'!E:E,UT!$A$1),"")</f>
        <v>311696</v>
      </c>
      <c r="C65" s="18">
        <f t="shared" si="0"/>
        <v>0.14775837663747488</v>
      </c>
    </row>
    <row r="66" spans="1:3" x14ac:dyDescent="0.15">
      <c r="A66" t="s">
        <v>66</v>
      </c>
      <c r="B66" s="17">
        <f>IFERROR(SUMIFS('Full List'!B:B,'Full List'!A:A,UT!$A66,'Full List'!E:E,UT!$A$1),"")</f>
        <v>198271</v>
      </c>
      <c r="C66" s="18">
        <f t="shared" si="0"/>
        <v>9.3989660099227393E-2</v>
      </c>
    </row>
    <row r="67" spans="1:3" x14ac:dyDescent="0.15">
      <c r="A67" t="s">
        <v>67</v>
      </c>
      <c r="B67" s="17">
        <f>IFERROR(SUMIFS('Full List'!B:B,'Full List'!A:A,UT!$A67,'Full List'!E:E,UT!$A$1),"")</f>
        <v>378859</v>
      </c>
      <c r="C67" s="18">
        <f t="shared" ref="C67:C82" si="1">IFERROR(B67/$B$2,"")</f>
        <v>0.17959675714316867</v>
      </c>
    </row>
    <row r="68" spans="1:3" x14ac:dyDescent="0.15">
      <c r="A68" t="s">
        <v>68</v>
      </c>
      <c r="B68" s="17">
        <f>IFERROR(SUMIFS('Full List'!B:B,'Full List'!A:A,UT!$A68,'Full List'!E:E,UT!$A$1),"")</f>
        <v>1093822</v>
      </c>
      <c r="C68" s="18">
        <f t="shared" si="1"/>
        <v>0.51852241623362527</v>
      </c>
    </row>
    <row r="69" spans="1:3" x14ac:dyDescent="0.15">
      <c r="A69" t="s">
        <v>69</v>
      </c>
      <c r="B69" s="17">
        <f>IFERROR(SUMIFS('Full List'!B:B,'Full List'!A:A,UT!$A69,'Full List'!E:E,UT!$A$1),"")</f>
        <v>1200199</v>
      </c>
      <c r="C69" s="18">
        <f t="shared" si="1"/>
        <v>0.56895005351984218</v>
      </c>
    </row>
    <row r="70" spans="1:3" x14ac:dyDescent="0.15">
      <c r="A70" t="s">
        <v>70</v>
      </c>
      <c r="B70" s="17">
        <f>IFERROR(SUMIFS('Full List'!B:B,'Full List'!A:A,UT!$A70,'Full List'!E:E,UT!$A$1),"")</f>
        <v>411510</v>
      </c>
      <c r="C70" s="18">
        <f t="shared" si="1"/>
        <v>0.19507484719113269</v>
      </c>
    </row>
    <row r="71" spans="1:3" x14ac:dyDescent="0.15">
      <c r="A71" t="s">
        <v>71</v>
      </c>
      <c r="B71" s="17">
        <f>IFERROR(SUMIFS('Full List'!B:B,'Full List'!A:A,UT!$A71,'Full List'!E:E,UT!$A$1),"")</f>
        <v>158006</v>
      </c>
      <c r="C71" s="18">
        <f t="shared" si="1"/>
        <v>7.490218051877745E-2</v>
      </c>
    </row>
    <row r="72" spans="1:3" x14ac:dyDescent="0.15">
      <c r="A72" t="s">
        <v>72</v>
      </c>
      <c r="B72" s="17">
        <f>IFERROR(SUMIFS('Full List'!B:B,'Full List'!A:A,UT!$A72,'Full List'!E:E,UT!$A$1),"")</f>
        <v>239382</v>
      </c>
      <c r="C72" s="18">
        <f t="shared" si="1"/>
        <v>0.11347818296106467</v>
      </c>
    </row>
    <row r="73" spans="1:3" x14ac:dyDescent="0.15">
      <c r="A73" t="s">
        <v>73</v>
      </c>
      <c r="B73" s="17">
        <f>IFERROR(SUMIFS('Full List'!B:B,'Full List'!A:A,UT!$A73,'Full List'!E:E,UT!$A$1),"")</f>
        <v>1449677</v>
      </c>
      <c r="C73" s="18">
        <f t="shared" si="1"/>
        <v>0.68721420925736831</v>
      </c>
    </row>
    <row r="74" spans="1:3" x14ac:dyDescent="0.15">
      <c r="A74" t="s">
        <v>74</v>
      </c>
      <c r="B74" s="17">
        <f>IFERROR(SUMIFS('Full List'!B:B,'Full List'!A:A,UT!$A74,'Full List'!E:E,UT!$A$1),"")</f>
        <v>498259</v>
      </c>
      <c r="C74" s="18">
        <f t="shared" si="1"/>
        <v>0.23619790111201813</v>
      </c>
    </row>
    <row r="75" spans="1:3" x14ac:dyDescent="0.15">
      <c r="A75" t="s">
        <v>75</v>
      </c>
      <c r="B75" s="17">
        <f>IFERROR(SUMIFS('Full List'!B:B,'Full List'!A:A,UT!$A75,'Full List'!E:E,UT!$A$1),"")</f>
        <v>329673</v>
      </c>
      <c r="C75" s="18">
        <f t="shared" si="1"/>
        <v>0.1562803093437396</v>
      </c>
    </row>
    <row r="76" spans="1:3" x14ac:dyDescent="0.15">
      <c r="A76" t="s">
        <v>76</v>
      </c>
      <c r="B76" s="17">
        <f>IFERROR(SUMIFS('Full List'!B:B,'Full List'!A:A,UT!$A76,'Full List'!E:E,UT!$A$1),"")</f>
        <v>423060</v>
      </c>
      <c r="C76" s="18">
        <f t="shared" si="1"/>
        <v>0.20055008347957665</v>
      </c>
    </row>
    <row r="77" spans="1:3" x14ac:dyDescent="0.15">
      <c r="A77" t="s">
        <v>77</v>
      </c>
      <c r="B77" s="17">
        <f>IFERROR(SUMIFS('Full List'!B:B,'Full List'!A:A,UT!$A77,'Full List'!E:E,UT!$A$1),"")</f>
        <v>383045</v>
      </c>
      <c r="C77" s="18">
        <f t="shared" si="1"/>
        <v>0.18158111550710168</v>
      </c>
    </row>
    <row r="78" spans="1:3" x14ac:dyDescent="0.15">
      <c r="A78" t="s">
        <v>78</v>
      </c>
      <c r="B78" s="17">
        <f>IFERROR(SUMIFS('Full List'!B:B,'Full List'!A:A,UT!$A78,'Full List'!E:E,UT!$A$1),"")</f>
        <v>290152</v>
      </c>
      <c r="C78" s="18">
        <f t="shared" si="1"/>
        <v>0.13754552030862319</v>
      </c>
    </row>
    <row r="79" spans="1:3" x14ac:dyDescent="0.15">
      <c r="A79" t="s">
        <v>79</v>
      </c>
      <c r="B79" s="17">
        <f>IFERROR(SUMIFS('Full List'!B:B,'Full List'!A:A,UT!$A79,'Full List'!E:E,UT!$A$1),"")</f>
        <v>363317</v>
      </c>
      <c r="C79" s="18">
        <f t="shared" si="1"/>
        <v>0.17222912749858024</v>
      </c>
    </row>
    <row r="80" spans="1:3" x14ac:dyDescent="0.15">
      <c r="A80" t="s">
        <v>80</v>
      </c>
      <c r="B80" s="17">
        <f>IFERROR(SUMIFS('Full List'!B:B,'Full List'!A:A,UT!$A80,'Full List'!E:E,UT!$A$1),"")</f>
        <v>137376</v>
      </c>
      <c r="C80" s="18">
        <f t="shared" si="1"/>
        <v>6.5122602628682275E-2</v>
      </c>
    </row>
    <row r="81" spans="1:6" x14ac:dyDescent="0.15">
      <c r="A81" t="s">
        <v>81</v>
      </c>
      <c r="B81" s="17">
        <f>IFERROR(SUMIFS('Full List'!B:B,'Full List'!A:A,UT!$A81,'Full List'!E:E,UT!$A$1),"")</f>
        <v>400761</v>
      </c>
      <c r="C81" s="18">
        <f t="shared" si="1"/>
        <v>0.18997932209464052</v>
      </c>
    </row>
    <row r="82" spans="1:6" x14ac:dyDescent="0.15">
      <c r="A82" t="s">
        <v>82</v>
      </c>
      <c r="B82" s="17">
        <f>IFERROR(SUMIFS('Full List'!B:B,'Full List'!A:A,UT!$A82,'Full List'!E:E,UT!$A$1),"")</f>
        <v>139604</v>
      </c>
      <c r="C82" s="18">
        <f t="shared" si="1"/>
        <v>6.617877807895528E-2</v>
      </c>
    </row>
    <row r="83" spans="1:6" x14ac:dyDescent="0.15">
      <c r="B83" s="17"/>
      <c r="C83" s="18"/>
      <c r="D83" t="s">
        <v>812</v>
      </c>
      <c r="E83" t="s">
        <v>860</v>
      </c>
    </row>
    <row r="84" spans="1:6" x14ac:dyDescent="0.15">
      <c r="A84" t="s">
        <v>1239</v>
      </c>
      <c r="B84" s="17">
        <v>949361</v>
      </c>
      <c r="C84" s="18">
        <f t="shared" ref="C84:C89" si="2">IFERROR(B84/$B$2,"")</f>
        <v>0.45004119463493208</v>
      </c>
      <c r="D84">
        <v>26</v>
      </c>
      <c r="E84" t="str">
        <f>VLOOKUP(D84,Validation!$A$2:$C$41,3,FALSE)</f>
        <v xml:space="preserve">NBA </v>
      </c>
      <c r="F84" t="s">
        <v>1350</v>
      </c>
    </row>
    <row r="85" spans="1:6" x14ac:dyDescent="0.15">
      <c r="A85" t="s">
        <v>1240</v>
      </c>
      <c r="B85" s="17">
        <v>669333</v>
      </c>
      <c r="C85" s="18">
        <f t="shared" si="2"/>
        <v>0.31729492040286361</v>
      </c>
      <c r="D85">
        <v>5</v>
      </c>
      <c r="E85" t="str">
        <f>VLOOKUP(D85,Validation!$A$2:$C$41,3,FALSE)</f>
        <v>CFB</v>
      </c>
      <c r="F85" t="s">
        <v>1350</v>
      </c>
    </row>
    <row r="86" spans="1:6" x14ac:dyDescent="0.15">
      <c r="A86" t="s">
        <v>1241</v>
      </c>
      <c r="B86" s="17">
        <v>615604</v>
      </c>
      <c r="C86" s="18">
        <f t="shared" si="2"/>
        <v>0.29182487966331327</v>
      </c>
      <c r="D86">
        <v>5</v>
      </c>
      <c r="E86" t="str">
        <f>VLOOKUP(D86,Validation!$A$2:$C$41,3,FALSE)</f>
        <v>CFB</v>
      </c>
      <c r="F86" t="s">
        <v>1350</v>
      </c>
    </row>
    <row r="87" spans="1:6" x14ac:dyDescent="0.15">
      <c r="A87" t="s">
        <v>1242</v>
      </c>
      <c r="B87" s="17">
        <v>503202</v>
      </c>
      <c r="C87" s="18">
        <f t="shared" si="2"/>
        <v>0.23854111262489938</v>
      </c>
      <c r="D87">
        <v>4</v>
      </c>
      <c r="E87" t="str">
        <f>VLOOKUP(D87,Validation!$A$2:$C$41,3,FALSE)</f>
        <v>MCB</v>
      </c>
      <c r="F87" t="s">
        <v>1350</v>
      </c>
    </row>
    <row r="88" spans="1:6" x14ac:dyDescent="0.15">
      <c r="A88" t="s">
        <v>1238</v>
      </c>
      <c r="B88" s="17">
        <v>350760</v>
      </c>
      <c r="C88" s="18">
        <f t="shared" si="2"/>
        <v>0.16627652645321303</v>
      </c>
      <c r="D88">
        <v>18</v>
      </c>
      <c r="E88" t="str">
        <f>VLOOKUP(D88,Validation!$A$2:$C$41,3,FALSE)</f>
        <v>MLS</v>
      </c>
    </row>
    <row r="89" spans="1:6" x14ac:dyDescent="0.15">
      <c r="A89" t="s">
        <v>1243</v>
      </c>
      <c r="B89" s="17">
        <v>296187</v>
      </c>
      <c r="C89" s="18">
        <f t="shared" si="2"/>
        <v>0.14040639052513915</v>
      </c>
      <c r="D89">
        <v>4</v>
      </c>
      <c r="E89" t="str">
        <f>VLOOKUP(D89,Validation!$A$2:$C$41,3,FALSE)</f>
        <v>MCB</v>
      </c>
      <c r="F89" t="s">
        <v>1350</v>
      </c>
    </row>
    <row r="90" spans="1:6" x14ac:dyDescent="0.15">
      <c r="B90" s="17"/>
      <c r="C90" s="18"/>
    </row>
    <row r="91" spans="1:6" x14ac:dyDescent="0.15">
      <c r="B91" s="17"/>
      <c r="C91" s="18"/>
    </row>
    <row r="92" spans="1:6" x14ac:dyDescent="0.15">
      <c r="B92" s="17"/>
      <c r="C92" s="18"/>
    </row>
    <row r="93" spans="1:6" x14ac:dyDescent="0.15">
      <c r="B93" s="17"/>
      <c r="C93" s="18"/>
    </row>
    <row r="94" spans="1:6" x14ac:dyDescent="0.15">
      <c r="B94" s="17"/>
      <c r="C94" s="18"/>
    </row>
    <row r="95" spans="1:6" x14ac:dyDescent="0.15">
      <c r="B95" s="17"/>
      <c r="C95" s="18"/>
    </row>
    <row r="96" spans="1:6" x14ac:dyDescent="0.15">
      <c r="B96" s="17"/>
      <c r="C96" s="18"/>
    </row>
  </sheetData>
  <pageMargins left="0.7" right="0.7" top="0.75" bottom="0.75" header="0.3" footer="0.3"/>
  <pageSetup orientation="portrait" verticalDpi="0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 enableFormatConditionsCalculation="0"/>
  <dimension ref="A1:F100"/>
  <sheetViews>
    <sheetView topLeftCell="A80" zoomScale="85" zoomScaleNormal="85" zoomScalePageLayoutView="85" workbookViewId="0">
      <selection activeCell="F100" sqref="F100"/>
    </sheetView>
  </sheetViews>
  <sheetFormatPr baseColWidth="10" defaultColWidth="8.83203125" defaultRowHeight="13" x14ac:dyDescent="0.15"/>
  <cols>
    <col min="1" max="1" width="33.33203125" bestFit="1" customWidth="1"/>
    <col min="2" max="2" width="10.5" bestFit="1" customWidth="1"/>
  </cols>
  <sheetData>
    <row r="1" spans="1:3" x14ac:dyDescent="0.15">
      <c r="A1" t="s">
        <v>135</v>
      </c>
      <c r="B1" t="s">
        <v>807</v>
      </c>
      <c r="C1" t="s">
        <v>811</v>
      </c>
    </row>
    <row r="2" spans="1:3" x14ac:dyDescent="0.15">
      <c r="A2" t="s">
        <v>0</v>
      </c>
      <c r="B2" s="17">
        <f>IFERROR(SUMIFS('Full List'!B:B,'Full List'!A:A,VA!$A2,'Full List'!E:E,VA!$A$1),"")</f>
        <v>3517578</v>
      </c>
      <c r="C2" s="18">
        <f>IFERROR(B2/$B$2,"")</f>
        <v>1</v>
      </c>
    </row>
    <row r="3" spans="1:3" x14ac:dyDescent="0.15">
      <c r="A3" t="s">
        <v>3</v>
      </c>
      <c r="B3" s="17">
        <f>IFERROR(SUMIFS('Full List'!B:B,'Full List'!A:A,VA!$A3,'Full List'!E:E,VA!$A$1),"")</f>
        <v>16448</v>
      </c>
      <c r="C3" s="18">
        <f t="shared" ref="C3:C66" si="0">IFERROR(B3/$B$2,"")</f>
        <v>4.6759446414550015E-3</v>
      </c>
    </row>
    <row r="4" spans="1:3" x14ac:dyDescent="0.15">
      <c r="A4" t="s">
        <v>4</v>
      </c>
      <c r="B4" s="17">
        <f>IFERROR(SUMIFS('Full List'!B:B,'Full List'!A:A,VA!$A4,'Full List'!E:E,VA!$A$1),"")</f>
        <v>39652</v>
      </c>
      <c r="C4" s="18">
        <f t="shared" si="0"/>
        <v>1.1272528995803362E-2</v>
      </c>
    </row>
    <row r="5" spans="1:3" x14ac:dyDescent="0.15">
      <c r="A5" t="s">
        <v>5</v>
      </c>
      <c r="B5" s="17">
        <f>IFERROR(SUMIFS('Full List'!B:B,'Full List'!A:A,VA!$A5,'Full List'!E:E,VA!$A$1),"")</f>
        <v>132460</v>
      </c>
      <c r="C5" s="18">
        <f t="shared" si="0"/>
        <v>3.7656592121056022E-2</v>
      </c>
    </row>
    <row r="6" spans="1:3" x14ac:dyDescent="0.15">
      <c r="A6" t="s">
        <v>6</v>
      </c>
      <c r="B6" s="17">
        <f>IFERROR(SUMIFS('Full List'!B:B,'Full List'!A:A,VA!$A6,'Full List'!E:E,VA!$A$1),"")</f>
        <v>485929</v>
      </c>
      <c r="C6" s="18">
        <f t="shared" si="0"/>
        <v>0.13814306320997005</v>
      </c>
    </row>
    <row r="7" spans="1:3" x14ac:dyDescent="0.15">
      <c r="A7" t="s">
        <v>7</v>
      </c>
      <c r="B7" s="17">
        <f>IFERROR(SUMIFS('Full List'!B:B,'Full List'!A:A,VA!$A7,'Full List'!E:E,VA!$A$1),"")</f>
        <v>776217</v>
      </c>
      <c r="C7" s="18">
        <f t="shared" si="0"/>
        <v>0.22066802783051293</v>
      </c>
    </row>
    <row r="8" spans="1:3" x14ac:dyDescent="0.15">
      <c r="A8" t="s">
        <v>8</v>
      </c>
      <c r="B8" s="17">
        <f>IFERROR(SUMIFS('Full List'!B:B,'Full List'!A:A,VA!$A8,'Full List'!E:E,VA!$A$1),"")</f>
        <v>39195</v>
      </c>
      <c r="C8" s="18">
        <f t="shared" si="0"/>
        <v>1.114261005726099E-2</v>
      </c>
    </row>
    <row r="9" spans="1:3" x14ac:dyDescent="0.15">
      <c r="A9" t="s">
        <v>9</v>
      </c>
      <c r="B9" s="17">
        <f>IFERROR(SUMIFS('Full List'!B:B,'Full List'!A:A,VA!$A9,'Full List'!E:E,VA!$A$1),"")</f>
        <v>103198</v>
      </c>
      <c r="C9" s="18">
        <f t="shared" si="0"/>
        <v>2.9337800043097835E-2</v>
      </c>
    </row>
    <row r="10" spans="1:3" x14ac:dyDescent="0.15">
      <c r="A10" t="s">
        <v>10</v>
      </c>
      <c r="B10" s="17">
        <f>IFERROR(SUMIFS('Full List'!B:B,'Full List'!A:A,VA!$A10,'Full List'!E:E,VA!$A$1),"")</f>
        <v>79640</v>
      </c>
      <c r="C10" s="18">
        <f t="shared" si="0"/>
        <v>2.2640578261519717E-2</v>
      </c>
    </row>
    <row r="11" spans="1:3" x14ac:dyDescent="0.15">
      <c r="A11" t="s">
        <v>11</v>
      </c>
      <c r="B11" s="17">
        <f>IFERROR(SUMIFS('Full List'!B:B,'Full List'!A:A,VA!$A11,'Full List'!E:E,VA!$A$1),"")</f>
        <v>178525</v>
      </c>
      <c r="C11" s="18">
        <f t="shared" si="0"/>
        <v>5.0752250554216567E-2</v>
      </c>
    </row>
    <row r="12" spans="1:3" x14ac:dyDescent="0.15">
      <c r="A12" t="s">
        <v>12</v>
      </c>
      <c r="B12" s="17">
        <f>IFERROR(SUMIFS('Full List'!B:B,'Full List'!A:A,VA!$A12,'Full List'!E:E,VA!$A$1),"")</f>
        <v>56864</v>
      </c>
      <c r="C12" s="18">
        <f t="shared" si="0"/>
        <v>1.6165668536703381E-2</v>
      </c>
    </row>
    <row r="13" spans="1:3" x14ac:dyDescent="0.15">
      <c r="A13" t="s">
        <v>13</v>
      </c>
      <c r="B13" s="17">
        <f>IFERROR(SUMIFS('Full List'!B:B,'Full List'!A:A,VA!$A13,'Full List'!E:E,VA!$A$1),"")</f>
        <v>12845</v>
      </c>
      <c r="C13" s="18">
        <f t="shared" si="0"/>
        <v>3.6516603185487288E-3</v>
      </c>
    </row>
    <row r="14" spans="1:3" x14ac:dyDescent="0.15">
      <c r="A14" t="s">
        <v>14</v>
      </c>
      <c r="B14" s="17">
        <f>IFERROR(SUMIFS('Full List'!B:B,'Full List'!A:A,VA!$A14,'Full List'!E:E,VA!$A$1),"")</f>
        <v>233880</v>
      </c>
      <c r="C14" s="18">
        <f t="shared" si="0"/>
        <v>6.6488930735864274E-2</v>
      </c>
    </row>
    <row r="15" spans="1:3" x14ac:dyDescent="0.15">
      <c r="A15" t="s">
        <v>15</v>
      </c>
      <c r="B15" s="17">
        <f>IFERROR(SUMIFS('Full List'!B:B,'Full List'!A:A,VA!$A15,'Full List'!E:E,VA!$A$1),"")</f>
        <v>221170</v>
      </c>
      <c r="C15" s="18">
        <f t="shared" si="0"/>
        <v>6.2875649097191302E-2</v>
      </c>
    </row>
    <row r="16" spans="1:3" x14ac:dyDescent="0.15">
      <c r="A16" t="s">
        <v>16</v>
      </c>
      <c r="B16" s="17">
        <f>IFERROR(SUMIFS('Full List'!B:B,'Full List'!A:A,VA!$A16,'Full List'!E:E,VA!$A$1),"")</f>
        <v>123411</v>
      </c>
      <c r="C16" s="18">
        <f t="shared" si="0"/>
        <v>3.5084083423310014E-2</v>
      </c>
    </row>
    <row r="17" spans="1:3" x14ac:dyDescent="0.15">
      <c r="A17" t="s">
        <v>17</v>
      </c>
      <c r="B17" s="17">
        <f>IFERROR(SUMIFS('Full List'!B:B,'Full List'!A:A,VA!$A17,'Full List'!E:E,VA!$A$1),"")</f>
        <v>29397</v>
      </c>
      <c r="C17" s="18">
        <f t="shared" si="0"/>
        <v>8.357170757833942E-3</v>
      </c>
    </row>
    <row r="18" spans="1:3" x14ac:dyDescent="0.15">
      <c r="A18" t="s">
        <v>18</v>
      </c>
      <c r="B18" s="17">
        <f>IFERROR(SUMIFS('Full List'!B:B,'Full List'!A:A,VA!$A18,'Full List'!E:E,VA!$A$1),"")</f>
        <v>58569</v>
      </c>
      <c r="C18" s="18">
        <f t="shared" si="0"/>
        <v>1.6650377049208291E-2</v>
      </c>
    </row>
    <row r="19" spans="1:3" x14ac:dyDescent="0.15">
      <c r="A19" t="s">
        <v>19</v>
      </c>
      <c r="B19" s="17">
        <f>IFERROR(SUMIFS('Full List'!B:B,'Full List'!A:A,VA!$A19,'Full List'!E:E,VA!$A$1),"")</f>
        <v>374404</v>
      </c>
      <c r="C19" s="18">
        <f t="shared" si="0"/>
        <v>0.10643800933483209</v>
      </c>
    </row>
    <row r="20" spans="1:3" x14ac:dyDescent="0.15">
      <c r="A20" t="s">
        <v>20</v>
      </c>
      <c r="B20" s="17">
        <f>IFERROR(SUMIFS('Full List'!B:B,'Full List'!A:A,VA!$A20,'Full List'!E:E,VA!$A$1),"")</f>
        <v>65942</v>
      </c>
      <c r="C20" s="18">
        <f t="shared" si="0"/>
        <v>1.8746421543459731E-2</v>
      </c>
    </row>
    <row r="21" spans="1:3" x14ac:dyDescent="0.15">
      <c r="A21" t="s">
        <v>21</v>
      </c>
      <c r="B21" s="17">
        <f>IFERROR(SUMIFS('Full List'!B:B,'Full List'!A:A,VA!$A21,'Full List'!E:E,VA!$A$1),"")</f>
        <v>101424</v>
      </c>
      <c r="C21" s="18">
        <f t="shared" si="0"/>
        <v>2.8833475760878649E-2</v>
      </c>
    </row>
    <row r="22" spans="1:3" x14ac:dyDescent="0.15">
      <c r="A22" t="s">
        <v>22</v>
      </c>
      <c r="B22" s="17">
        <f>IFERROR(SUMIFS('Full List'!B:B,'Full List'!A:A,VA!$A22,'Full List'!E:E,VA!$A$1),"")</f>
        <v>22143</v>
      </c>
      <c r="C22" s="18">
        <f t="shared" si="0"/>
        <v>6.2949563591766832E-3</v>
      </c>
    </row>
    <row r="23" spans="1:3" x14ac:dyDescent="0.15">
      <c r="A23" t="s">
        <v>23</v>
      </c>
      <c r="B23" s="17">
        <f>IFERROR(SUMIFS('Full List'!B:B,'Full List'!A:A,VA!$A23,'Full List'!E:E,VA!$A$1),"")</f>
        <v>74516</v>
      </c>
      <c r="C23" s="18">
        <f t="shared" si="0"/>
        <v>2.1183894145346598E-2</v>
      </c>
    </row>
    <row r="24" spans="1:3" x14ac:dyDescent="0.15">
      <c r="A24" t="s">
        <v>24</v>
      </c>
      <c r="B24" s="17">
        <f>IFERROR(SUMIFS('Full List'!B:B,'Full List'!A:A,VA!$A24,'Full List'!E:E,VA!$A$1),"")</f>
        <v>24389</v>
      </c>
      <c r="C24" s="18">
        <f t="shared" si="0"/>
        <v>6.9334638777022147E-3</v>
      </c>
    </row>
    <row r="25" spans="1:3" x14ac:dyDescent="0.15">
      <c r="A25" t="s">
        <v>25</v>
      </c>
      <c r="B25" s="17">
        <f>IFERROR(SUMIFS('Full List'!B:B,'Full List'!A:A,VA!$A25,'Full List'!E:E,VA!$A$1),"")</f>
        <v>83950</v>
      </c>
      <c r="C25" s="18">
        <f t="shared" si="0"/>
        <v>2.3865853152367909E-2</v>
      </c>
    </row>
    <row r="26" spans="1:3" x14ac:dyDescent="0.15">
      <c r="A26" t="s">
        <v>26</v>
      </c>
      <c r="B26" s="17">
        <f>IFERROR(SUMIFS('Full List'!B:B,'Full List'!A:A,VA!$A26,'Full List'!E:E,VA!$A$1),"")</f>
        <v>11450</v>
      </c>
      <c r="C26" s="18">
        <f t="shared" si="0"/>
        <v>3.2550806264992562E-3</v>
      </c>
    </row>
    <row r="27" spans="1:3" x14ac:dyDescent="0.15">
      <c r="A27" t="s">
        <v>27</v>
      </c>
      <c r="B27" s="17">
        <f>IFERROR(SUMIFS('Full List'!B:B,'Full List'!A:A,VA!$A27,'Full List'!E:E,VA!$A$1),"")</f>
        <v>453884</v>
      </c>
      <c r="C27" s="18">
        <f t="shared" si="0"/>
        <v>0.12903310175353611</v>
      </c>
    </row>
    <row r="28" spans="1:3" x14ac:dyDescent="0.15">
      <c r="A28" t="s">
        <v>28</v>
      </c>
      <c r="B28" s="17">
        <f>IFERROR(SUMIFS('Full List'!B:B,'Full List'!A:A,VA!$A28,'Full List'!E:E,VA!$A$1),"")</f>
        <v>357852</v>
      </c>
      <c r="C28" s="18">
        <f t="shared" si="0"/>
        <v>0.10173249889554688</v>
      </c>
    </row>
    <row r="29" spans="1:3" x14ac:dyDescent="0.15">
      <c r="A29" t="s">
        <v>29</v>
      </c>
      <c r="B29" s="17">
        <f>IFERROR(SUMIFS('Full List'!B:B,'Full List'!A:A,VA!$A29,'Full List'!E:E,VA!$A$1),"")</f>
        <v>1028166</v>
      </c>
      <c r="C29" s="18">
        <f t="shared" si="0"/>
        <v>0.29229373165285888</v>
      </c>
    </row>
    <row r="30" spans="1:3" x14ac:dyDescent="0.15">
      <c r="A30" t="s">
        <v>30</v>
      </c>
      <c r="B30" s="17">
        <f>IFERROR(SUMIFS('Full List'!B:B,'Full List'!A:A,VA!$A30,'Full List'!E:E,VA!$A$1),"")</f>
        <v>119361</v>
      </c>
      <c r="C30" s="18">
        <f t="shared" si="0"/>
        <v>3.3932723027037356E-2</v>
      </c>
    </row>
    <row r="31" spans="1:3" x14ac:dyDescent="0.15">
      <c r="A31" t="s">
        <v>31</v>
      </c>
      <c r="B31" s="17">
        <f>IFERROR(SUMIFS('Full List'!B:B,'Full List'!A:A,VA!$A31,'Full List'!E:E,VA!$A$1),"")</f>
        <v>36617</v>
      </c>
      <c r="C31" s="18">
        <f t="shared" si="0"/>
        <v>1.0409719414892861E-2</v>
      </c>
    </row>
    <row r="32" spans="1:3" x14ac:dyDescent="0.15">
      <c r="A32" t="s">
        <v>32</v>
      </c>
      <c r="B32" s="17">
        <f>IFERROR(SUMIFS('Full List'!B:B,'Full List'!A:A,VA!$A32,'Full List'!E:E,VA!$A$1),"")</f>
        <v>93397</v>
      </c>
      <c r="C32" s="18">
        <f t="shared" si="0"/>
        <v>2.6551507884117993E-2</v>
      </c>
    </row>
    <row r="33" spans="1:3" x14ac:dyDescent="0.15">
      <c r="A33" t="s">
        <v>33</v>
      </c>
      <c r="B33" s="17">
        <f>IFERROR(SUMIFS('Full List'!B:B,'Full List'!A:A,VA!$A33,'Full List'!E:E,VA!$A$1),"")</f>
        <v>834023</v>
      </c>
      <c r="C33" s="18">
        <f t="shared" si="0"/>
        <v>0.23710149426679381</v>
      </c>
    </row>
    <row r="34" spans="1:3" x14ac:dyDescent="0.15">
      <c r="A34" t="s">
        <v>34</v>
      </c>
      <c r="B34" s="17">
        <f>IFERROR(SUMIFS('Full List'!B:B,'Full List'!A:A,VA!$A34,'Full List'!E:E,VA!$A$1),"")</f>
        <v>231872</v>
      </c>
      <c r="C34" s="18">
        <f t="shared" si="0"/>
        <v>6.5918083408527117E-2</v>
      </c>
    </row>
    <row r="35" spans="1:3" x14ac:dyDescent="0.15">
      <c r="A35" t="s">
        <v>35</v>
      </c>
      <c r="B35" s="17">
        <f>IFERROR(SUMIFS('Full List'!B:B,'Full List'!A:A,VA!$A35,'Full List'!E:E,VA!$A$1),"")</f>
        <v>178650</v>
      </c>
      <c r="C35" s="18">
        <f t="shared" si="0"/>
        <v>5.0787786368916336E-2</v>
      </c>
    </row>
    <row r="36" spans="1:3" x14ac:dyDescent="0.15">
      <c r="A36" t="s">
        <v>36</v>
      </c>
      <c r="B36" s="17">
        <f>IFERROR(SUMIFS('Full List'!B:B,'Full List'!A:A,VA!$A36,'Full List'!E:E,VA!$A$1),"")</f>
        <v>54283</v>
      </c>
      <c r="C36" s="18">
        <f t="shared" si="0"/>
        <v>1.5431925034782456E-2</v>
      </c>
    </row>
    <row r="37" spans="1:3" x14ac:dyDescent="0.15">
      <c r="A37" t="s">
        <v>37</v>
      </c>
      <c r="B37" s="17">
        <f>IFERROR(SUMIFS('Full List'!B:B,'Full List'!A:A,VA!$A37,'Full List'!E:E,VA!$A$1),"")</f>
        <v>41513</v>
      </c>
      <c r="C37" s="18">
        <f t="shared" si="0"/>
        <v>1.1801586205053591E-2</v>
      </c>
    </row>
    <row r="38" spans="1:3" x14ac:dyDescent="0.15">
      <c r="A38" t="s">
        <v>38</v>
      </c>
      <c r="B38" s="17">
        <f>IFERROR(SUMIFS('Full List'!B:B,'Full List'!A:A,VA!$A38,'Full List'!E:E,VA!$A$1),"")</f>
        <v>27332</v>
      </c>
      <c r="C38" s="18">
        <f t="shared" si="0"/>
        <v>7.7701190989936829E-3</v>
      </c>
    </row>
    <row r="39" spans="1:3" x14ac:dyDescent="0.15">
      <c r="A39" t="s">
        <v>39</v>
      </c>
      <c r="B39" s="17">
        <f>IFERROR(SUMIFS('Full List'!B:B,'Full List'!A:A,VA!$A39,'Full List'!E:E,VA!$A$1),"")</f>
        <v>221759</v>
      </c>
      <c r="C39" s="18">
        <f t="shared" si="0"/>
        <v>6.3043093856056637E-2</v>
      </c>
    </row>
    <row r="40" spans="1:3" x14ac:dyDescent="0.15">
      <c r="A40" t="s">
        <v>40</v>
      </c>
      <c r="B40" s="17">
        <f>IFERROR(SUMIFS('Full List'!B:B,'Full List'!A:A,VA!$A40,'Full List'!E:E,VA!$A$1),"")</f>
        <v>64906</v>
      </c>
      <c r="C40" s="18">
        <f t="shared" si="0"/>
        <v>1.8451900711228011E-2</v>
      </c>
    </row>
    <row r="41" spans="1:3" x14ac:dyDescent="0.15">
      <c r="A41" t="s">
        <v>41</v>
      </c>
      <c r="B41" s="17">
        <f>IFERROR(SUMIFS('Full List'!B:B,'Full List'!A:A,VA!$A41,'Full List'!E:E,VA!$A$1),"")</f>
        <v>98518</v>
      </c>
      <c r="C41" s="18">
        <f t="shared" si="0"/>
        <v>2.8007339140738316E-2</v>
      </c>
    </row>
    <row r="42" spans="1:3" x14ac:dyDescent="0.15">
      <c r="A42" t="s">
        <v>42</v>
      </c>
      <c r="B42" s="17">
        <f>IFERROR(SUMIFS('Full List'!B:B,'Full List'!A:A,VA!$A42,'Full List'!E:E,VA!$A$1),"")</f>
        <v>137827</v>
      </c>
      <c r="C42" s="18">
        <f t="shared" si="0"/>
        <v>3.9182357861005497E-2</v>
      </c>
    </row>
    <row r="43" spans="1:3" x14ac:dyDescent="0.15">
      <c r="A43" t="s">
        <v>43</v>
      </c>
      <c r="B43" s="17">
        <f>IFERROR(SUMIFS('Full List'!B:B,'Full List'!A:A,VA!$A43,'Full List'!E:E,VA!$A$1),"")</f>
        <v>290526</v>
      </c>
      <c r="C43" s="18">
        <f t="shared" si="0"/>
        <v>8.2592624811731255E-2</v>
      </c>
    </row>
    <row r="44" spans="1:3" x14ac:dyDescent="0.15">
      <c r="A44" t="s">
        <v>44</v>
      </c>
      <c r="B44" s="17">
        <f>IFERROR(SUMIFS('Full List'!B:B,'Full List'!A:A,VA!$A44,'Full List'!E:E,VA!$A$1),"")</f>
        <v>409466</v>
      </c>
      <c r="C44" s="18">
        <f t="shared" si="0"/>
        <v>0.11640566321485978</v>
      </c>
    </row>
    <row r="45" spans="1:3" x14ac:dyDescent="0.15">
      <c r="A45" t="s">
        <v>45</v>
      </c>
      <c r="B45" s="17">
        <f>IFERROR(SUMIFS('Full List'!B:B,'Full List'!A:A,VA!$A45,'Full List'!E:E,VA!$A$1),"")</f>
        <v>718468</v>
      </c>
      <c r="C45" s="18">
        <f t="shared" si="0"/>
        <v>0.20425076572573514</v>
      </c>
    </row>
    <row r="46" spans="1:3" x14ac:dyDescent="0.15">
      <c r="A46" t="s">
        <v>46</v>
      </c>
      <c r="B46" s="17">
        <f>IFERROR(SUMIFS('Full List'!B:B,'Full List'!A:A,VA!$A46,'Full List'!E:E,VA!$A$1),"")</f>
        <v>1283699</v>
      </c>
      <c r="C46" s="18">
        <f t="shared" si="0"/>
        <v>0.3649383183542767</v>
      </c>
    </row>
    <row r="47" spans="1:3" x14ac:dyDescent="0.15">
      <c r="A47" t="s">
        <v>47</v>
      </c>
      <c r="B47" s="17">
        <f>IFERROR(SUMIFS('Full List'!B:B,'Full List'!A:A,VA!$A47,'Full List'!E:E,VA!$A$1),"")</f>
        <v>1611865</v>
      </c>
      <c r="C47" s="18">
        <f t="shared" si="0"/>
        <v>0.45823148768840377</v>
      </c>
    </row>
    <row r="48" spans="1:3" x14ac:dyDescent="0.15">
      <c r="A48" t="s">
        <v>48</v>
      </c>
      <c r="B48" s="17">
        <f>IFERROR(SUMIFS('Full List'!B:B,'Full List'!A:A,VA!$A48,'Full List'!E:E,VA!$A$1),"")</f>
        <v>263116</v>
      </c>
      <c r="C48" s="18">
        <f t="shared" si="0"/>
        <v>7.4800331364364911E-2</v>
      </c>
    </row>
    <row r="49" spans="1:3" x14ac:dyDescent="0.15">
      <c r="A49" t="s">
        <v>49</v>
      </c>
      <c r="B49" s="17">
        <f>IFERROR(SUMIFS('Full List'!B:B,'Full List'!A:A,VA!$A49,'Full List'!E:E,VA!$A$1),"")</f>
        <v>353227</v>
      </c>
      <c r="C49" s="18">
        <f t="shared" si="0"/>
        <v>0.10041767375165526</v>
      </c>
    </row>
    <row r="50" spans="1:3" x14ac:dyDescent="0.15">
      <c r="A50" t="s">
        <v>50</v>
      </c>
      <c r="B50" s="17">
        <f>IFERROR(SUMIFS('Full List'!B:B,'Full List'!A:A,VA!$A50,'Full List'!E:E,VA!$A$1),"")</f>
        <v>617219</v>
      </c>
      <c r="C50" s="18">
        <f t="shared" si="0"/>
        <v>0.17546704010543618</v>
      </c>
    </row>
    <row r="51" spans="1:3" x14ac:dyDescent="0.15">
      <c r="A51" t="s">
        <v>51</v>
      </c>
      <c r="B51" s="17">
        <f>IFERROR(SUMIFS('Full List'!B:B,'Full List'!A:A,VA!$A51,'Full List'!E:E,VA!$A$1),"")</f>
        <v>962390</v>
      </c>
      <c r="C51" s="18">
        <f t="shared" si="0"/>
        <v>0.27359450167132043</v>
      </c>
    </row>
    <row r="52" spans="1:3" x14ac:dyDescent="0.15">
      <c r="A52" t="s">
        <v>52</v>
      </c>
      <c r="B52" s="17">
        <f>IFERROR(SUMIFS('Full List'!B:B,'Full List'!A:A,VA!$A52,'Full List'!E:E,VA!$A$1),"")</f>
        <v>456036</v>
      </c>
      <c r="C52" s="18">
        <f t="shared" si="0"/>
        <v>0.12964488633940741</v>
      </c>
    </row>
    <row r="53" spans="1:3" x14ac:dyDescent="0.15">
      <c r="A53" t="s">
        <v>53</v>
      </c>
      <c r="B53" s="17">
        <f>IFERROR(SUMIFS('Full List'!B:B,'Full List'!A:A,VA!$A53,'Full List'!E:E,VA!$A$1),"")</f>
        <v>346051</v>
      </c>
      <c r="C53" s="18">
        <f t="shared" si="0"/>
        <v>9.8377633701370662E-2</v>
      </c>
    </row>
    <row r="54" spans="1:3" x14ac:dyDescent="0.15">
      <c r="A54" t="s">
        <v>54</v>
      </c>
      <c r="B54" s="17">
        <f>IFERROR(SUMIFS('Full List'!B:B,'Full List'!A:A,VA!$A54,'Full List'!E:E,VA!$A$1),"")</f>
        <v>1156494</v>
      </c>
      <c r="C54" s="18">
        <f t="shared" si="0"/>
        <v>0.32877565188319918</v>
      </c>
    </row>
    <row r="55" spans="1:3" x14ac:dyDescent="0.15">
      <c r="A55" t="s">
        <v>55</v>
      </c>
      <c r="B55" s="17">
        <f>IFERROR(SUMIFS('Full List'!B:B,'Full List'!A:A,VA!$A55,'Full List'!E:E,VA!$A$1),"")</f>
        <v>981725</v>
      </c>
      <c r="C55" s="18">
        <f t="shared" si="0"/>
        <v>0.27909118148908141</v>
      </c>
    </row>
    <row r="56" spans="1:3" x14ac:dyDescent="0.15">
      <c r="A56" t="s">
        <v>56</v>
      </c>
      <c r="B56" s="17">
        <f>IFERROR(SUMIFS('Full List'!B:B,'Full List'!A:A,VA!$A56,'Full List'!E:E,VA!$A$1),"")</f>
        <v>828010</v>
      </c>
      <c r="C56" s="18">
        <f t="shared" si="0"/>
        <v>0.23539207943647589</v>
      </c>
    </row>
    <row r="57" spans="1:3" x14ac:dyDescent="0.15">
      <c r="A57" t="s">
        <v>57</v>
      </c>
      <c r="B57" s="17">
        <f>IFERROR(SUMIFS('Full List'!B:B,'Full List'!A:A,VA!$A57,'Full List'!E:E,VA!$A$1),"")</f>
        <v>491827</v>
      </c>
      <c r="C57" s="18">
        <f t="shared" si="0"/>
        <v>0.13981978509076415</v>
      </c>
    </row>
    <row r="58" spans="1:3" x14ac:dyDescent="0.15">
      <c r="A58" t="s">
        <v>58</v>
      </c>
      <c r="B58" s="17">
        <f>IFERROR(SUMIFS('Full List'!B:B,'Full List'!A:A,VA!$A58,'Full List'!E:E,VA!$A$1),"")</f>
        <v>446271</v>
      </c>
      <c r="C58" s="18">
        <f t="shared" si="0"/>
        <v>0.12686882849506109</v>
      </c>
    </row>
    <row r="59" spans="1:3" x14ac:dyDescent="0.15">
      <c r="A59" t="s">
        <v>59</v>
      </c>
      <c r="B59" s="17">
        <f>IFERROR(SUMIFS('Full List'!B:B,'Full List'!A:A,VA!$A59,'Full List'!E:E,VA!$A$1),"")</f>
        <v>1463543</v>
      </c>
      <c r="C59" s="18">
        <f t="shared" si="0"/>
        <v>0.4160655428252053</v>
      </c>
    </row>
    <row r="60" spans="1:3" x14ac:dyDescent="0.15">
      <c r="A60" t="s">
        <v>60</v>
      </c>
      <c r="B60" s="17">
        <f>IFERROR(SUMIFS('Full List'!B:B,'Full List'!A:A,VA!$A60,'Full List'!E:E,VA!$A$1),"")</f>
        <v>421653</v>
      </c>
      <c r="C60" s="18">
        <f t="shared" si="0"/>
        <v>0.11987026300482889</v>
      </c>
    </row>
    <row r="61" spans="1:3" x14ac:dyDescent="0.15">
      <c r="A61" t="s">
        <v>61</v>
      </c>
      <c r="B61" s="17">
        <f>IFERROR(SUMIFS('Full List'!B:B,'Full List'!A:A,VA!$A61,'Full List'!E:E,VA!$A$1),"")</f>
        <v>642884</v>
      </c>
      <c r="C61" s="18">
        <f t="shared" si="0"/>
        <v>0.18276325357959369</v>
      </c>
    </row>
    <row r="62" spans="1:3" x14ac:dyDescent="0.15">
      <c r="A62" t="s">
        <v>62</v>
      </c>
      <c r="B62" s="17">
        <f>IFERROR(SUMIFS('Full List'!B:B,'Full List'!A:A,VA!$A62,'Full List'!E:E,VA!$A$1),"")</f>
        <v>196380</v>
      </c>
      <c r="C62" s="18">
        <f t="shared" si="0"/>
        <v>5.5828186325932221E-2</v>
      </c>
    </row>
    <row r="63" spans="1:3" x14ac:dyDescent="0.15">
      <c r="A63" t="s">
        <v>63</v>
      </c>
      <c r="B63" s="17">
        <f>IFERROR(SUMIFS('Full List'!B:B,'Full List'!A:A,VA!$A63,'Full List'!E:E,VA!$A$1),"")</f>
        <v>697790</v>
      </c>
      <c r="C63" s="18">
        <f t="shared" si="0"/>
        <v>0.19837228911483981</v>
      </c>
    </row>
    <row r="64" spans="1:3" x14ac:dyDescent="0.15">
      <c r="A64" t="s">
        <v>64</v>
      </c>
      <c r="B64" s="17">
        <f>IFERROR(SUMIFS('Full List'!B:B,'Full List'!A:A,VA!$A64,'Full List'!E:E,VA!$A$1),"")</f>
        <v>285948</v>
      </c>
      <c r="C64" s="18">
        <f t="shared" si="0"/>
        <v>8.1291161134166748E-2</v>
      </c>
    </row>
    <row r="65" spans="1:3" x14ac:dyDescent="0.15">
      <c r="A65" t="s">
        <v>65</v>
      </c>
      <c r="B65" s="17">
        <f>IFERROR(SUMIFS('Full List'!B:B,'Full List'!A:A,VA!$A65,'Full List'!E:E,VA!$A$1),"")</f>
        <v>592813</v>
      </c>
      <c r="C65" s="18">
        <f t="shared" si="0"/>
        <v>0.1685287433569348</v>
      </c>
    </row>
    <row r="66" spans="1:3" x14ac:dyDescent="0.15">
      <c r="A66" t="s">
        <v>66</v>
      </c>
      <c r="B66" s="17">
        <f>IFERROR(SUMIFS('Full List'!B:B,'Full List'!A:A,VA!$A66,'Full List'!E:E,VA!$A$1),"")</f>
        <v>269347</v>
      </c>
      <c r="C66" s="18">
        <f t="shared" si="0"/>
        <v>7.6571720655519218E-2</v>
      </c>
    </row>
    <row r="67" spans="1:3" x14ac:dyDescent="0.15">
      <c r="A67" t="s">
        <v>67</v>
      </c>
      <c r="B67" s="17">
        <f>IFERROR(SUMIFS('Full List'!B:B,'Full List'!A:A,VA!$A67,'Full List'!E:E,VA!$A$1),"")</f>
        <v>1272678</v>
      </c>
      <c r="C67" s="18">
        <f t="shared" ref="C67:C82" si="1">IFERROR(B67/$B$2,"")</f>
        <v>0.3618051966438271</v>
      </c>
    </row>
    <row r="68" spans="1:3" x14ac:dyDescent="0.15">
      <c r="A68" t="s">
        <v>68</v>
      </c>
      <c r="B68" s="17">
        <f>IFERROR(SUMIFS('Full List'!B:B,'Full List'!A:A,VA!$A68,'Full List'!E:E,VA!$A$1),"")</f>
        <v>1114389</v>
      </c>
      <c r="C68" s="18">
        <f t="shared" si="1"/>
        <v>0.31680576805972743</v>
      </c>
    </row>
    <row r="69" spans="1:3" x14ac:dyDescent="0.15">
      <c r="A69" t="s">
        <v>69</v>
      </c>
      <c r="B69" s="17">
        <f>IFERROR(SUMIFS('Full List'!B:B,'Full List'!A:A,VA!$A69,'Full List'!E:E,VA!$A$1),"")</f>
        <v>2217853</v>
      </c>
      <c r="C69" s="18">
        <f t="shared" si="1"/>
        <v>0.63050570591469468</v>
      </c>
    </row>
    <row r="70" spans="1:3" x14ac:dyDescent="0.15">
      <c r="A70" t="s">
        <v>70</v>
      </c>
      <c r="B70" s="17">
        <f>IFERROR(SUMIFS('Full List'!B:B,'Full List'!A:A,VA!$A70,'Full List'!E:E,VA!$A$1),"")</f>
        <v>706830</v>
      </c>
      <c r="C70" s="18">
        <f t="shared" si="1"/>
        <v>0.20094223923392743</v>
      </c>
    </row>
    <row r="71" spans="1:3" x14ac:dyDescent="0.15">
      <c r="A71" t="s">
        <v>71</v>
      </c>
      <c r="B71" s="17">
        <f>IFERROR(SUMIFS('Full List'!B:B,'Full List'!A:A,VA!$A71,'Full List'!E:E,VA!$A$1),"")</f>
        <v>241986</v>
      </c>
      <c r="C71" s="18">
        <f t="shared" si="1"/>
        <v>6.8793357247515188E-2</v>
      </c>
    </row>
    <row r="72" spans="1:3" x14ac:dyDescent="0.15">
      <c r="A72" t="s">
        <v>72</v>
      </c>
      <c r="B72" s="17">
        <f>IFERROR(SUMIFS('Full List'!B:B,'Full List'!A:A,VA!$A72,'Full List'!E:E,VA!$A$1),"")</f>
        <v>511916</v>
      </c>
      <c r="C72" s="18">
        <f t="shared" si="1"/>
        <v>0.14553081694279416</v>
      </c>
    </row>
    <row r="73" spans="1:3" x14ac:dyDescent="0.15">
      <c r="A73" t="s">
        <v>73</v>
      </c>
      <c r="B73" s="17">
        <f>IFERROR(SUMIFS('Full List'!B:B,'Full List'!A:A,VA!$A73,'Full List'!E:E,VA!$A$1),"")</f>
        <v>2017892</v>
      </c>
      <c r="C73" s="18">
        <f t="shared" si="1"/>
        <v>0.5736594895692434</v>
      </c>
    </row>
    <row r="74" spans="1:3" x14ac:dyDescent="0.15">
      <c r="A74" t="s">
        <v>74</v>
      </c>
      <c r="B74" s="17">
        <f>IFERROR(SUMIFS('Full List'!B:B,'Full List'!A:A,VA!$A74,'Full List'!E:E,VA!$A$1),"")</f>
        <v>967016</v>
      </c>
      <c r="C74" s="18">
        <f t="shared" si="1"/>
        <v>0.27490961110172968</v>
      </c>
    </row>
    <row r="75" spans="1:3" x14ac:dyDescent="0.15">
      <c r="A75" t="s">
        <v>75</v>
      </c>
      <c r="B75" s="17">
        <f>IFERROR(SUMIFS('Full List'!B:B,'Full List'!A:A,VA!$A75,'Full List'!E:E,VA!$A$1),"")</f>
        <v>778347</v>
      </c>
      <c r="C75" s="18">
        <f t="shared" si="1"/>
        <v>0.22127355811299707</v>
      </c>
    </row>
    <row r="76" spans="1:3" x14ac:dyDescent="0.15">
      <c r="A76" t="s">
        <v>76</v>
      </c>
      <c r="B76" s="17">
        <f>IFERROR(SUMIFS('Full List'!B:B,'Full List'!A:A,VA!$A76,'Full List'!E:E,VA!$A$1),"")</f>
        <v>473408</v>
      </c>
      <c r="C76" s="18">
        <f t="shared" si="1"/>
        <v>0.13458351172312313</v>
      </c>
    </row>
    <row r="77" spans="1:3" x14ac:dyDescent="0.15">
      <c r="A77" t="s">
        <v>77</v>
      </c>
      <c r="B77" s="17">
        <f>IFERROR(SUMIFS('Full List'!B:B,'Full List'!A:A,VA!$A77,'Full List'!E:E,VA!$A$1),"")</f>
        <v>377762</v>
      </c>
      <c r="C77" s="18">
        <f t="shared" si="1"/>
        <v>0.10739264346092681</v>
      </c>
    </row>
    <row r="78" spans="1:3" x14ac:dyDescent="0.15">
      <c r="A78" t="s">
        <v>78</v>
      </c>
      <c r="B78" s="17">
        <f>IFERROR(SUMIFS('Full List'!B:B,'Full List'!A:A,VA!$A78,'Full List'!E:E,VA!$A$1),"")</f>
        <v>374485</v>
      </c>
      <c r="C78" s="18">
        <f t="shared" si="1"/>
        <v>0.10646103654275754</v>
      </c>
    </row>
    <row r="79" spans="1:3" x14ac:dyDescent="0.15">
      <c r="A79" t="s">
        <v>79</v>
      </c>
      <c r="B79" s="17">
        <f>IFERROR(SUMIFS('Full List'!B:B,'Full List'!A:A,VA!$A79,'Full List'!E:E,VA!$A$1),"")</f>
        <v>716827</v>
      </c>
      <c r="C79" s="18">
        <f t="shared" si="1"/>
        <v>0.20378425155035651</v>
      </c>
    </row>
    <row r="80" spans="1:3" x14ac:dyDescent="0.15">
      <c r="A80" t="s">
        <v>80</v>
      </c>
      <c r="B80" s="17">
        <f>IFERROR(SUMIFS('Full List'!B:B,'Full List'!A:A,VA!$A80,'Full List'!E:E,VA!$A$1),"")</f>
        <v>490380</v>
      </c>
      <c r="C80" s="18">
        <f t="shared" si="1"/>
        <v>0.13940842249979957</v>
      </c>
    </row>
    <row r="81" spans="1:6" x14ac:dyDescent="0.15">
      <c r="A81" t="s">
        <v>81</v>
      </c>
      <c r="B81" s="17">
        <f>IFERROR(SUMIFS('Full List'!B:B,'Full List'!A:A,VA!$A81,'Full List'!E:E,VA!$A$1),"")</f>
        <v>692328</v>
      </c>
      <c r="C81" s="18">
        <f t="shared" si="1"/>
        <v>0.19681951615571852</v>
      </c>
    </row>
    <row r="82" spans="1:6" x14ac:dyDescent="0.15">
      <c r="A82" t="s">
        <v>82</v>
      </c>
      <c r="B82" s="17">
        <f>IFERROR(SUMIFS('Full List'!B:B,'Full List'!A:A,VA!$A82,'Full List'!E:E,VA!$A$1),"")</f>
        <v>568967</v>
      </c>
      <c r="C82" s="18">
        <f t="shared" si="1"/>
        <v>0.1617496470582884</v>
      </c>
    </row>
    <row r="83" spans="1:6" x14ac:dyDescent="0.15">
      <c r="B83" s="17" t="s">
        <v>1244</v>
      </c>
      <c r="C83" s="18"/>
      <c r="D83" t="s">
        <v>812</v>
      </c>
      <c r="E83" t="s">
        <v>860</v>
      </c>
    </row>
    <row r="84" spans="1:6" x14ac:dyDescent="0.15">
      <c r="A84" t="s">
        <v>1051</v>
      </c>
      <c r="B84" s="17">
        <v>1152949</v>
      </c>
      <c r="C84" s="18">
        <v>0.32776785617831361</v>
      </c>
      <c r="D84">
        <v>27</v>
      </c>
      <c r="E84" t="str">
        <f>VLOOKUP(D84,Validation!$A$2:$C$41,3,FALSE)</f>
        <v xml:space="preserve">NFL </v>
      </c>
      <c r="F84" t="s">
        <v>1350</v>
      </c>
    </row>
    <row r="85" spans="1:6" x14ac:dyDescent="0.15">
      <c r="A85" t="s">
        <v>1250</v>
      </c>
      <c r="B85" s="17">
        <v>619318</v>
      </c>
      <c r="C85" s="18">
        <v>0.10369066442876319</v>
      </c>
      <c r="D85">
        <v>5</v>
      </c>
      <c r="E85" t="str">
        <f>VLOOKUP(D85,Validation!$A$2:$C$41,3,FALSE)</f>
        <v>CFB</v>
      </c>
      <c r="F85" t="s">
        <v>1350</v>
      </c>
    </row>
    <row r="86" spans="1:6" x14ac:dyDescent="0.15">
      <c r="A86" t="s">
        <v>1252</v>
      </c>
      <c r="B86" s="17">
        <v>558993</v>
      </c>
      <c r="C86" s="18">
        <v>0.11007801390615929</v>
      </c>
      <c r="D86">
        <v>5</v>
      </c>
      <c r="E86" t="str">
        <f>VLOOKUP(D86,Validation!$A$2:$C$41,3,FALSE)</f>
        <v>CFB</v>
      </c>
      <c r="F86" t="s">
        <v>1351</v>
      </c>
    </row>
    <row r="87" spans="1:6" x14ac:dyDescent="0.15">
      <c r="A87" t="s">
        <v>1382</v>
      </c>
      <c r="B87" s="17">
        <v>367261</v>
      </c>
      <c r="C87" s="18">
        <v>5.3082831425486511E-2</v>
      </c>
      <c r="D87">
        <v>4</v>
      </c>
      <c r="E87" t="str">
        <f>VLOOKUP(D87,Validation!$A$2:$C$41,3,FALSE)</f>
        <v>MCB</v>
      </c>
      <c r="F87" t="s">
        <v>1350</v>
      </c>
    </row>
    <row r="88" spans="1:6" x14ac:dyDescent="0.15">
      <c r="A88" t="s">
        <v>1050</v>
      </c>
      <c r="B88" s="17">
        <v>339563</v>
      </c>
      <c r="C88" s="18">
        <v>9.6533182775193613E-2</v>
      </c>
      <c r="D88">
        <v>17</v>
      </c>
      <c r="E88" t="str">
        <f>VLOOKUP(D88,Validation!$A$2:$C$41,3,FALSE)</f>
        <v>MLB</v>
      </c>
      <c r="F88" t="s">
        <v>1350</v>
      </c>
    </row>
    <row r="89" spans="1:6" x14ac:dyDescent="0.15">
      <c r="A89" t="s">
        <v>1251</v>
      </c>
      <c r="B89" s="17">
        <v>293524</v>
      </c>
      <c r="C89" s="18">
        <v>5.3779333393602073E-2</v>
      </c>
      <c r="D89">
        <v>4</v>
      </c>
      <c r="E89" t="str">
        <f>VLOOKUP(D89,Validation!$A$2:$C$41,3,FALSE)</f>
        <v>MCB</v>
      </c>
      <c r="F89" t="s">
        <v>1351</v>
      </c>
    </row>
    <row r="90" spans="1:6" x14ac:dyDescent="0.15">
      <c r="A90" t="s">
        <v>1384</v>
      </c>
      <c r="B90" s="17">
        <v>273946</v>
      </c>
      <c r="C90" s="18">
        <v>7.7879154349953295E-2</v>
      </c>
      <c r="D90">
        <v>4</v>
      </c>
      <c r="E90" t="str">
        <f>VLOOKUP(D90,Validation!$A$2:$C$41,3,FALSE)</f>
        <v>MCB</v>
      </c>
      <c r="F90" t="s">
        <v>1351</v>
      </c>
    </row>
    <row r="91" spans="1:6" x14ac:dyDescent="0.15">
      <c r="A91" t="s">
        <v>1254</v>
      </c>
      <c r="B91" s="17">
        <v>190702</v>
      </c>
      <c r="C91" s="18">
        <v>5.4214007479009702E-2</v>
      </c>
      <c r="D91">
        <v>4</v>
      </c>
      <c r="E91" t="str">
        <f>VLOOKUP(D91,Validation!$A$2:$C$41,3,FALSE)</f>
        <v>MCB</v>
      </c>
      <c r="F91" t="s">
        <v>1351</v>
      </c>
    </row>
    <row r="92" spans="1:6" x14ac:dyDescent="0.15">
      <c r="A92" t="s">
        <v>1255</v>
      </c>
      <c r="B92" s="17">
        <v>178203</v>
      </c>
      <c r="C92" s="18">
        <v>5.066071029554995E-2</v>
      </c>
      <c r="D92">
        <v>5</v>
      </c>
      <c r="E92" t="str">
        <f>VLOOKUP(D92,Validation!$A$2:$C$41,3,FALSE)</f>
        <v>CFB</v>
      </c>
      <c r="F92" t="s">
        <v>1351</v>
      </c>
    </row>
    <row r="93" spans="1:6" x14ac:dyDescent="0.15">
      <c r="A93" t="s">
        <v>1381</v>
      </c>
      <c r="B93" s="17">
        <v>148411</v>
      </c>
      <c r="C93" s="18">
        <v>4.2191246363264726E-2</v>
      </c>
      <c r="D93">
        <v>4</v>
      </c>
      <c r="E93" t="str">
        <f>VLOOKUP(D93,Validation!$A$2:$C$41,3,FALSE)</f>
        <v>MCB</v>
      </c>
      <c r="F93" t="s">
        <v>1350</v>
      </c>
    </row>
    <row r="94" spans="1:6" x14ac:dyDescent="0.15">
      <c r="A94" t="s">
        <v>1380</v>
      </c>
      <c r="B94" s="17">
        <v>147360</v>
      </c>
      <c r="C94" s="18">
        <v>4.1892461233269028E-2</v>
      </c>
      <c r="D94">
        <v>4</v>
      </c>
      <c r="E94" t="str">
        <f>VLOOKUP(D94,Validation!$A$2:$C$41,3,FALSE)</f>
        <v>MCB</v>
      </c>
      <c r="F94" t="s">
        <v>1350</v>
      </c>
    </row>
    <row r="95" spans="1:6" x14ac:dyDescent="0.15">
      <c r="A95" t="s">
        <v>861</v>
      </c>
      <c r="B95" s="17">
        <v>142194</v>
      </c>
      <c r="C95" s="18">
        <v>4.0423837083356784E-2</v>
      </c>
      <c r="D95">
        <v>17</v>
      </c>
      <c r="E95" t="str">
        <f>VLOOKUP(D95,Validation!$A$2:$C$41,3,FALSE)</f>
        <v>MLB</v>
      </c>
      <c r="F95" t="s">
        <v>1350</v>
      </c>
    </row>
    <row r="96" spans="1:6" x14ac:dyDescent="0.15">
      <c r="A96" t="s">
        <v>1046</v>
      </c>
      <c r="B96" s="17">
        <v>113253</v>
      </c>
      <c r="C96" s="18">
        <v>3.2196300977547616E-2</v>
      </c>
      <c r="D96">
        <v>17</v>
      </c>
      <c r="E96" t="str">
        <f>VLOOKUP(D96,Validation!$A$2:$C$41,3,FALSE)</f>
        <v>MLB</v>
      </c>
      <c r="F96" t="s">
        <v>1350</v>
      </c>
    </row>
    <row r="97" spans="1:6" x14ac:dyDescent="0.15">
      <c r="A97" t="s">
        <v>1383</v>
      </c>
      <c r="B97" s="17">
        <v>107133</v>
      </c>
      <c r="C97" s="18">
        <v>3.0456467489846706E-2</v>
      </c>
      <c r="D97">
        <v>4</v>
      </c>
      <c r="E97" t="str">
        <f>VLOOKUP(D97,Validation!$A$2:$C$41,3,FALSE)</f>
        <v>MCB</v>
      </c>
      <c r="F97" t="s">
        <v>1350</v>
      </c>
    </row>
    <row r="98" spans="1:6" x14ac:dyDescent="0.15">
      <c r="A98" t="s">
        <v>1084</v>
      </c>
      <c r="B98" s="17">
        <v>97980</v>
      </c>
      <c r="C98" s="18">
        <v>2.7854392994270491E-2</v>
      </c>
      <c r="D98">
        <v>27</v>
      </c>
      <c r="E98" t="str">
        <f>VLOOKUP(D98,Validation!$A$2:$C$41,3,FALSE)</f>
        <v xml:space="preserve">NFL </v>
      </c>
      <c r="F98" t="s">
        <v>1351</v>
      </c>
    </row>
    <row r="99" spans="1:6" x14ac:dyDescent="0.15">
      <c r="A99" t="s">
        <v>1253</v>
      </c>
      <c r="B99" s="17">
        <v>85644</v>
      </c>
      <c r="C99" s="18">
        <v>2.434743451317924E-2</v>
      </c>
      <c r="D99">
        <v>5</v>
      </c>
      <c r="E99" t="str">
        <f>VLOOKUP(D99,Validation!$A$2:$C$41,3,FALSE)</f>
        <v>CFB</v>
      </c>
      <c r="F99" t="s">
        <v>1350</v>
      </c>
    </row>
    <row r="100" spans="1:6" x14ac:dyDescent="0.15">
      <c r="A100" t="s">
        <v>1052</v>
      </c>
      <c r="B100" s="17">
        <v>66953</v>
      </c>
      <c r="C100" s="18">
        <v>1.9033835212751503E-2</v>
      </c>
      <c r="D100">
        <v>26</v>
      </c>
      <c r="E100" t="str">
        <f>VLOOKUP(D100,Validation!$A$2:$C$41,3,FALSE)</f>
        <v xml:space="preserve">NBA </v>
      </c>
      <c r="F100" t="s">
        <v>1351</v>
      </c>
    </row>
  </sheetData>
  <pageMargins left="0.7" right="0.7" top="0.75" bottom="0.75" header="0.3" footer="0.3"/>
  <pageSetup orientation="portrait" verticalDpi="0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 enableFormatConditionsCalculation="0"/>
  <dimension ref="A1:F97"/>
  <sheetViews>
    <sheetView topLeftCell="A72" zoomScale="85" zoomScaleNormal="85" zoomScalePageLayoutView="85" workbookViewId="0">
      <selection activeCell="F97" sqref="F97"/>
    </sheetView>
  </sheetViews>
  <sheetFormatPr baseColWidth="10" defaultColWidth="8.83203125" defaultRowHeight="13" x14ac:dyDescent="0.15"/>
  <cols>
    <col min="1" max="1" width="33.33203125" bestFit="1" customWidth="1"/>
    <col min="2" max="2" width="10.5" bestFit="1" customWidth="1"/>
  </cols>
  <sheetData>
    <row r="1" spans="1:3" x14ac:dyDescent="0.15">
      <c r="A1" t="s">
        <v>222</v>
      </c>
      <c r="B1" t="s">
        <v>807</v>
      </c>
      <c r="C1" t="s">
        <v>811</v>
      </c>
    </row>
    <row r="2" spans="1:3" x14ac:dyDescent="0.15">
      <c r="A2" t="s">
        <v>0</v>
      </c>
      <c r="B2" s="17">
        <f>IFERROR(SUMIFS('Full List'!B:B,'Full List'!A:A,WA!$A2,'Full List'!E:E,WA!$A$1),"")</f>
        <v>4687465</v>
      </c>
      <c r="C2" s="18">
        <f>IFERROR(B2/$B$2,"")</f>
        <v>1</v>
      </c>
    </row>
    <row r="3" spans="1:3" x14ac:dyDescent="0.15">
      <c r="A3" t="s">
        <v>3</v>
      </c>
      <c r="B3" s="17">
        <f>IFERROR(SUMIFS('Full List'!B:B,'Full List'!A:A,WA!$A3,'Full List'!E:E,WA!$A$1),"")</f>
        <v>54860</v>
      </c>
      <c r="C3" s="18">
        <f t="shared" ref="C3:C66" si="0">IFERROR(B3/$B$2,"")</f>
        <v>1.1703554053203597E-2</v>
      </c>
    </row>
    <row r="4" spans="1:3" x14ac:dyDescent="0.15">
      <c r="A4" t="s">
        <v>4</v>
      </c>
      <c r="B4" s="17">
        <f>IFERROR(SUMIFS('Full List'!B:B,'Full List'!A:A,WA!$A4,'Full List'!E:E,WA!$A$1),"")</f>
        <v>44328</v>
      </c>
      <c r="C4" s="18">
        <f t="shared" si="0"/>
        <v>9.4567106101058895E-3</v>
      </c>
    </row>
    <row r="5" spans="1:3" x14ac:dyDescent="0.15">
      <c r="A5" t="s">
        <v>5</v>
      </c>
      <c r="B5" s="17">
        <f>IFERROR(SUMIFS('Full List'!B:B,'Full List'!A:A,WA!$A5,'Full List'!E:E,WA!$A$1),"")</f>
        <v>66391</v>
      </c>
      <c r="C5" s="18">
        <f t="shared" si="0"/>
        <v>1.4163519087609187E-2</v>
      </c>
    </row>
    <row r="6" spans="1:3" x14ac:dyDescent="0.15">
      <c r="A6" t="s">
        <v>6</v>
      </c>
      <c r="B6" s="17">
        <f>IFERROR(SUMIFS('Full List'!B:B,'Full List'!A:A,WA!$A6,'Full List'!E:E,WA!$A$1),"")</f>
        <v>370733</v>
      </c>
      <c r="C6" s="18">
        <f t="shared" si="0"/>
        <v>7.9090297207552479E-2</v>
      </c>
    </row>
    <row r="7" spans="1:3" x14ac:dyDescent="0.15">
      <c r="A7" t="s">
        <v>7</v>
      </c>
      <c r="B7" s="17">
        <f>IFERROR(SUMIFS('Full List'!B:B,'Full List'!A:A,WA!$A7,'Full List'!E:E,WA!$A$1),"")</f>
        <v>723929</v>
      </c>
      <c r="C7" s="18">
        <f t="shared" si="0"/>
        <v>0.15443933981373728</v>
      </c>
    </row>
    <row r="8" spans="1:3" x14ac:dyDescent="0.15">
      <c r="A8" t="s">
        <v>8</v>
      </c>
      <c r="B8" s="17">
        <f>IFERROR(SUMIFS('Full List'!B:B,'Full List'!A:A,WA!$A8,'Full List'!E:E,WA!$A$1),"")</f>
        <v>39942</v>
      </c>
      <c r="C8" s="18">
        <f t="shared" si="0"/>
        <v>8.5210236236430564E-3</v>
      </c>
    </row>
    <row r="9" spans="1:3" x14ac:dyDescent="0.15">
      <c r="A9" t="s">
        <v>9</v>
      </c>
      <c r="B9" s="17">
        <f>IFERROR(SUMIFS('Full List'!B:B,'Full List'!A:A,WA!$A9,'Full List'!E:E,WA!$A$1),"")</f>
        <v>144368</v>
      </c>
      <c r="C9" s="18">
        <f t="shared" si="0"/>
        <v>3.0798736630566842E-2</v>
      </c>
    </row>
    <row r="10" spans="1:3" x14ac:dyDescent="0.15">
      <c r="A10" t="s">
        <v>10</v>
      </c>
      <c r="B10" s="17">
        <f>IFERROR(SUMIFS('Full List'!B:B,'Full List'!A:A,WA!$A10,'Full List'!E:E,WA!$A$1),"")</f>
        <v>92378</v>
      </c>
      <c r="C10" s="18">
        <f t="shared" si="0"/>
        <v>1.9707453815655158E-2</v>
      </c>
    </row>
    <row r="11" spans="1:3" x14ac:dyDescent="0.15">
      <c r="A11" t="s">
        <v>11</v>
      </c>
      <c r="B11" s="17">
        <f>IFERROR(SUMIFS('Full List'!B:B,'Full List'!A:A,WA!$A11,'Full List'!E:E,WA!$A$1),"")</f>
        <v>295954</v>
      </c>
      <c r="C11" s="18">
        <f t="shared" si="0"/>
        <v>6.3137324758691535E-2</v>
      </c>
    </row>
    <row r="12" spans="1:3" x14ac:dyDescent="0.15">
      <c r="A12" t="s">
        <v>12</v>
      </c>
      <c r="B12" s="17">
        <f>IFERROR(SUMIFS('Full List'!B:B,'Full List'!A:A,WA!$A12,'Full List'!E:E,WA!$A$1),"")</f>
        <v>61936</v>
      </c>
      <c r="C12" s="18">
        <f t="shared" si="0"/>
        <v>1.32131119912362E-2</v>
      </c>
    </row>
    <row r="13" spans="1:3" x14ac:dyDescent="0.15">
      <c r="A13" t="s">
        <v>13</v>
      </c>
      <c r="B13" s="17">
        <f>IFERROR(SUMIFS('Full List'!B:B,'Full List'!A:A,WA!$A13,'Full List'!E:E,WA!$A$1),"")</f>
        <v>38514</v>
      </c>
      <c r="C13" s="18">
        <f t="shared" si="0"/>
        <v>8.2163813489807384E-3</v>
      </c>
    </row>
    <row r="14" spans="1:3" x14ac:dyDescent="0.15">
      <c r="A14" t="s">
        <v>14</v>
      </c>
      <c r="B14" s="17">
        <f>IFERROR(SUMIFS('Full List'!B:B,'Full List'!A:A,WA!$A14,'Full List'!E:E,WA!$A$1),"")</f>
        <v>299381</v>
      </c>
      <c r="C14" s="18">
        <f t="shared" si="0"/>
        <v>6.386842355089585E-2</v>
      </c>
    </row>
    <row r="15" spans="1:3" x14ac:dyDescent="0.15">
      <c r="A15" t="s">
        <v>15</v>
      </c>
      <c r="B15" s="17">
        <f>IFERROR(SUMIFS('Full List'!B:B,'Full List'!A:A,WA!$A15,'Full List'!E:E,WA!$A$1),"")</f>
        <v>169618</v>
      </c>
      <c r="C15" s="18">
        <f t="shared" si="0"/>
        <v>3.6185443517978269E-2</v>
      </c>
    </row>
    <row r="16" spans="1:3" x14ac:dyDescent="0.15">
      <c r="A16" t="s">
        <v>16</v>
      </c>
      <c r="B16" s="17">
        <f>IFERROR(SUMIFS('Full List'!B:B,'Full List'!A:A,WA!$A16,'Full List'!E:E,WA!$A$1),"")</f>
        <v>79818</v>
      </c>
      <c r="C16" s="18">
        <f t="shared" si="0"/>
        <v>1.7027967142154661E-2</v>
      </c>
    </row>
    <row r="17" spans="1:3" x14ac:dyDescent="0.15">
      <c r="A17" t="s">
        <v>17</v>
      </c>
      <c r="B17" s="17">
        <f>IFERROR(SUMIFS('Full List'!B:B,'Full List'!A:A,WA!$A17,'Full List'!E:E,WA!$A$1),"")</f>
        <v>66369</v>
      </c>
      <c r="C17" s="18">
        <f t="shared" si="0"/>
        <v>1.4158825719232037E-2</v>
      </c>
    </row>
    <row r="18" spans="1:3" x14ac:dyDescent="0.15">
      <c r="A18" t="s">
        <v>18</v>
      </c>
      <c r="B18" s="17">
        <f>IFERROR(SUMIFS('Full List'!B:B,'Full List'!A:A,WA!$A18,'Full List'!E:E,WA!$A$1),"")</f>
        <v>81254</v>
      </c>
      <c r="C18" s="18">
        <f t="shared" si="0"/>
        <v>1.7334316096226852E-2</v>
      </c>
    </row>
    <row r="19" spans="1:3" x14ac:dyDescent="0.15">
      <c r="A19" t="s">
        <v>19</v>
      </c>
      <c r="B19" s="17">
        <f>IFERROR(SUMIFS('Full List'!B:B,'Full List'!A:A,WA!$A19,'Full List'!E:E,WA!$A$1),"")</f>
        <v>590448</v>
      </c>
      <c r="C19" s="18">
        <f t="shared" si="0"/>
        <v>0.12596318052508126</v>
      </c>
    </row>
    <row r="20" spans="1:3" x14ac:dyDescent="0.15">
      <c r="A20" t="s">
        <v>20</v>
      </c>
      <c r="B20" s="17">
        <f>IFERROR(SUMIFS('Full List'!B:B,'Full List'!A:A,WA!$A20,'Full List'!E:E,WA!$A$1),"")</f>
        <v>236215</v>
      </c>
      <c r="C20" s="18">
        <f t="shared" si="0"/>
        <v>5.039290960039168E-2</v>
      </c>
    </row>
    <row r="21" spans="1:3" x14ac:dyDescent="0.15">
      <c r="A21" t="s">
        <v>21</v>
      </c>
      <c r="B21" s="17">
        <f>IFERROR(SUMIFS('Full List'!B:B,'Full List'!A:A,WA!$A21,'Full List'!E:E,WA!$A$1),"")</f>
        <v>109358</v>
      </c>
      <c r="C21" s="18">
        <f t="shared" si="0"/>
        <v>2.3329880863110445E-2</v>
      </c>
    </row>
    <row r="22" spans="1:3" x14ac:dyDescent="0.15">
      <c r="A22" t="s">
        <v>22</v>
      </c>
      <c r="B22" s="17">
        <f>IFERROR(SUMIFS('Full List'!B:B,'Full List'!A:A,WA!$A22,'Full List'!E:E,WA!$A$1),"")</f>
        <v>80131</v>
      </c>
      <c r="C22" s="18">
        <f t="shared" si="0"/>
        <v>1.709474097406594E-2</v>
      </c>
    </row>
    <row r="23" spans="1:3" x14ac:dyDescent="0.15">
      <c r="A23" t="s">
        <v>23</v>
      </c>
      <c r="B23" s="17">
        <f>IFERROR(SUMIFS('Full List'!B:B,'Full List'!A:A,WA!$A23,'Full List'!E:E,WA!$A$1),"")</f>
        <v>54840</v>
      </c>
      <c r="C23" s="18">
        <f t="shared" si="0"/>
        <v>1.1699287354678916E-2</v>
      </c>
    </row>
    <row r="24" spans="1:3" x14ac:dyDescent="0.15">
      <c r="A24" t="s">
        <v>24</v>
      </c>
      <c r="B24" s="17">
        <f>IFERROR(SUMIFS('Full List'!B:B,'Full List'!A:A,WA!$A24,'Full List'!E:E,WA!$A$1),"")</f>
        <v>50820</v>
      </c>
      <c r="C24" s="18">
        <f t="shared" si="0"/>
        <v>1.0841680951217769E-2</v>
      </c>
    </row>
    <row r="25" spans="1:3" x14ac:dyDescent="0.15">
      <c r="A25" t="s">
        <v>25</v>
      </c>
      <c r="B25" s="17">
        <f>IFERROR(SUMIFS('Full List'!B:B,'Full List'!A:A,WA!$A25,'Full List'!E:E,WA!$A$1),"")</f>
        <v>96437</v>
      </c>
      <c r="C25" s="18">
        <f t="shared" si="0"/>
        <v>2.0573380281239433E-2</v>
      </c>
    </row>
    <row r="26" spans="1:3" x14ac:dyDescent="0.15">
      <c r="A26" t="s">
        <v>26</v>
      </c>
      <c r="B26" s="17">
        <f>IFERROR(SUMIFS('Full List'!B:B,'Full List'!A:A,WA!$A26,'Full List'!E:E,WA!$A$1),"")</f>
        <v>66709</v>
      </c>
      <c r="C26" s="18">
        <f t="shared" si="0"/>
        <v>1.4231359594151637E-2</v>
      </c>
    </row>
    <row r="27" spans="1:3" x14ac:dyDescent="0.15">
      <c r="A27" t="s">
        <v>27</v>
      </c>
      <c r="B27" s="17">
        <f>IFERROR(SUMIFS('Full List'!B:B,'Full List'!A:A,WA!$A27,'Full List'!E:E,WA!$A$1),"")</f>
        <v>246346</v>
      </c>
      <c r="C27" s="18">
        <f t="shared" si="0"/>
        <v>5.2554205738069508E-2</v>
      </c>
    </row>
    <row r="28" spans="1:3" x14ac:dyDescent="0.15">
      <c r="A28" t="s">
        <v>28</v>
      </c>
      <c r="B28" s="17">
        <f>IFERROR(SUMIFS('Full List'!B:B,'Full List'!A:A,WA!$A28,'Full List'!E:E,WA!$A$1),"")</f>
        <v>205273</v>
      </c>
      <c r="C28" s="18">
        <f t="shared" si="0"/>
        <v>4.3791900312855667E-2</v>
      </c>
    </row>
    <row r="29" spans="1:3" x14ac:dyDescent="0.15">
      <c r="A29" t="s">
        <v>29</v>
      </c>
      <c r="B29" s="17">
        <f>IFERROR(SUMIFS('Full List'!B:B,'Full List'!A:A,WA!$A29,'Full List'!E:E,WA!$A$1),"")</f>
        <v>1139285</v>
      </c>
      <c r="C29" s="18">
        <f t="shared" si="0"/>
        <v>0.24304928143463472</v>
      </c>
    </row>
    <row r="30" spans="1:3" x14ac:dyDescent="0.15">
      <c r="A30" t="s">
        <v>30</v>
      </c>
      <c r="B30" s="17">
        <f>IFERROR(SUMIFS('Full List'!B:B,'Full List'!A:A,WA!$A30,'Full List'!E:E,WA!$A$1),"")</f>
        <v>137128</v>
      </c>
      <c r="C30" s="18">
        <f t="shared" si="0"/>
        <v>2.9254191764631843E-2</v>
      </c>
    </row>
    <row r="31" spans="1:3" x14ac:dyDescent="0.15">
      <c r="A31" t="s">
        <v>31</v>
      </c>
      <c r="B31" s="17">
        <f>IFERROR(SUMIFS('Full List'!B:B,'Full List'!A:A,WA!$A31,'Full List'!E:E,WA!$A$1),"")</f>
        <v>3253</v>
      </c>
      <c r="C31" s="18">
        <f t="shared" si="0"/>
        <v>6.9397851503957895E-4</v>
      </c>
    </row>
    <row r="32" spans="1:3" x14ac:dyDescent="0.15">
      <c r="A32" t="s">
        <v>32</v>
      </c>
      <c r="B32" s="17">
        <f>IFERROR(SUMIFS('Full List'!B:B,'Full List'!A:A,WA!$A32,'Full List'!E:E,WA!$A$1),"")</f>
        <v>125679</v>
      </c>
      <c r="C32" s="18">
        <f t="shared" si="0"/>
        <v>2.6811720194177449E-2</v>
      </c>
    </row>
    <row r="33" spans="1:3" x14ac:dyDescent="0.15">
      <c r="A33" t="s">
        <v>33</v>
      </c>
      <c r="B33" s="17">
        <f>IFERROR(SUMIFS('Full List'!B:B,'Full List'!A:A,WA!$A33,'Full List'!E:E,WA!$A$1),"")</f>
        <v>1208252</v>
      </c>
      <c r="C33" s="18">
        <f t="shared" si="0"/>
        <v>0.25776235129222297</v>
      </c>
    </row>
    <row r="34" spans="1:3" x14ac:dyDescent="0.15">
      <c r="A34" t="s">
        <v>34</v>
      </c>
      <c r="B34" s="17">
        <f>IFERROR(SUMIFS('Full List'!B:B,'Full List'!A:A,WA!$A34,'Full List'!E:E,WA!$A$1),"")</f>
        <v>289148</v>
      </c>
      <c r="C34" s="18">
        <f t="shared" si="0"/>
        <v>6.168536725074214E-2</v>
      </c>
    </row>
    <row r="35" spans="1:3" x14ac:dyDescent="0.15">
      <c r="A35" t="s">
        <v>35</v>
      </c>
      <c r="B35" s="17">
        <f>IFERROR(SUMIFS('Full List'!B:B,'Full List'!A:A,WA!$A35,'Full List'!E:E,WA!$A$1),"")</f>
        <v>134363</v>
      </c>
      <c r="C35" s="18">
        <f t="shared" si="0"/>
        <v>2.8664320693594512E-2</v>
      </c>
    </row>
    <row r="36" spans="1:3" x14ac:dyDescent="0.15">
      <c r="A36" t="s">
        <v>36</v>
      </c>
      <c r="B36" s="17">
        <f>IFERROR(SUMIFS('Full List'!B:B,'Full List'!A:A,WA!$A36,'Full List'!E:E,WA!$A$1),"")</f>
        <v>139622</v>
      </c>
      <c r="C36" s="18">
        <f t="shared" si="0"/>
        <v>2.9786249070659729E-2</v>
      </c>
    </row>
    <row r="37" spans="1:3" x14ac:dyDescent="0.15">
      <c r="A37" t="s">
        <v>37</v>
      </c>
      <c r="B37" s="17">
        <f>IFERROR(SUMIFS('Full List'!B:B,'Full List'!A:A,WA!$A37,'Full List'!E:E,WA!$A$1),"")</f>
        <v>114438</v>
      </c>
      <c r="C37" s="18">
        <f t="shared" si="0"/>
        <v>2.4413622288379754E-2</v>
      </c>
    </row>
    <row r="38" spans="1:3" x14ac:dyDescent="0.15">
      <c r="A38" t="s">
        <v>38</v>
      </c>
      <c r="B38" s="17">
        <f>IFERROR(SUMIFS('Full List'!B:B,'Full List'!A:A,WA!$A38,'Full List'!E:E,WA!$A$1),"")</f>
        <v>95201</v>
      </c>
      <c r="C38" s="18">
        <f t="shared" si="0"/>
        <v>2.0309698312414064E-2</v>
      </c>
    </row>
    <row r="39" spans="1:3" x14ac:dyDescent="0.15">
      <c r="A39" t="s">
        <v>39</v>
      </c>
      <c r="B39" s="17">
        <f>IFERROR(SUMIFS('Full List'!B:B,'Full List'!A:A,WA!$A39,'Full List'!E:E,WA!$A$1),"")</f>
        <v>197226</v>
      </c>
      <c r="C39" s="18">
        <f t="shared" si="0"/>
        <v>4.2075194161449739E-2</v>
      </c>
    </row>
    <row r="40" spans="1:3" x14ac:dyDescent="0.15">
      <c r="A40" t="s">
        <v>40</v>
      </c>
      <c r="B40" s="17">
        <f>IFERROR(SUMIFS('Full List'!B:B,'Full List'!A:A,WA!$A40,'Full List'!E:E,WA!$A$1),"")</f>
        <v>41720</v>
      </c>
      <c r="C40" s="18">
        <f t="shared" si="0"/>
        <v>8.9003331224873153E-3</v>
      </c>
    </row>
    <row r="41" spans="1:3" x14ac:dyDescent="0.15">
      <c r="A41" t="s">
        <v>41</v>
      </c>
      <c r="B41" s="17">
        <f>IFERROR(SUMIFS('Full List'!B:B,'Full List'!A:A,WA!$A41,'Full List'!E:E,WA!$A$1),"")</f>
        <v>101076</v>
      </c>
      <c r="C41" s="18">
        <f t="shared" si="0"/>
        <v>2.1563041004039496E-2</v>
      </c>
    </row>
    <row r="42" spans="1:3" x14ac:dyDescent="0.15">
      <c r="A42" t="s">
        <v>42</v>
      </c>
      <c r="B42" s="17">
        <f>IFERROR(SUMIFS('Full List'!B:B,'Full List'!A:A,WA!$A42,'Full List'!E:E,WA!$A$1),"")</f>
        <v>95566</v>
      </c>
      <c r="C42" s="18">
        <f t="shared" si="0"/>
        <v>2.0387565560489519E-2</v>
      </c>
    </row>
    <row r="43" spans="1:3" x14ac:dyDescent="0.15">
      <c r="A43" t="s">
        <v>43</v>
      </c>
      <c r="B43" s="17">
        <f>IFERROR(SUMIFS('Full List'!B:B,'Full List'!A:A,WA!$A43,'Full List'!E:E,WA!$A$1),"")</f>
        <v>443712</v>
      </c>
      <c r="C43" s="18">
        <f t="shared" si="0"/>
        <v>9.4659266789192023E-2</v>
      </c>
    </row>
    <row r="44" spans="1:3" x14ac:dyDescent="0.15">
      <c r="A44" t="s">
        <v>44</v>
      </c>
      <c r="B44" s="17">
        <f>IFERROR(SUMIFS('Full List'!B:B,'Full List'!A:A,WA!$A44,'Full List'!E:E,WA!$A$1),"")</f>
        <v>537595</v>
      </c>
      <c r="C44" s="18">
        <f t="shared" si="0"/>
        <v>0.11468778966882953</v>
      </c>
    </row>
    <row r="45" spans="1:3" x14ac:dyDescent="0.15">
      <c r="A45" t="s">
        <v>45</v>
      </c>
      <c r="B45" s="17">
        <f>IFERROR(SUMIFS('Full List'!B:B,'Full List'!A:A,WA!$A45,'Full List'!E:E,WA!$A$1),"")</f>
        <v>809522</v>
      </c>
      <c r="C45" s="18">
        <f t="shared" si="0"/>
        <v>0.17269931615489395</v>
      </c>
    </row>
    <row r="46" spans="1:3" x14ac:dyDescent="0.15">
      <c r="A46" t="s">
        <v>46</v>
      </c>
      <c r="B46" s="17">
        <f>IFERROR(SUMIFS('Full List'!B:B,'Full List'!A:A,WA!$A46,'Full List'!E:E,WA!$A$1),"")</f>
        <v>1471539</v>
      </c>
      <c r="C46" s="18">
        <f t="shared" si="0"/>
        <v>0.31393066401562464</v>
      </c>
    </row>
    <row r="47" spans="1:3" x14ac:dyDescent="0.15">
      <c r="A47" t="s">
        <v>47</v>
      </c>
      <c r="B47" s="17">
        <f>IFERROR(SUMIFS('Full List'!B:B,'Full List'!A:A,WA!$A47,'Full List'!E:E,WA!$A$1),"")</f>
        <v>2015800</v>
      </c>
      <c r="C47" s="18">
        <f t="shared" si="0"/>
        <v>0.43004054430273081</v>
      </c>
    </row>
    <row r="48" spans="1:3" x14ac:dyDescent="0.15">
      <c r="A48" t="s">
        <v>48</v>
      </c>
      <c r="B48" s="17">
        <f>IFERROR(SUMIFS('Full List'!B:B,'Full List'!A:A,WA!$A48,'Full List'!E:E,WA!$A$1),"")</f>
        <v>395187</v>
      </c>
      <c r="C48" s="18">
        <f t="shared" si="0"/>
        <v>8.4307189493681559E-2</v>
      </c>
    </row>
    <row r="49" spans="1:3" x14ac:dyDescent="0.15">
      <c r="A49" t="s">
        <v>49</v>
      </c>
      <c r="B49" s="17">
        <f>IFERROR(SUMIFS('Full List'!B:B,'Full List'!A:A,WA!$A49,'Full List'!E:E,WA!$A$1),"")</f>
        <v>711103</v>
      </c>
      <c r="C49" s="18">
        <f t="shared" si="0"/>
        <v>0.15170310604985851</v>
      </c>
    </row>
    <row r="50" spans="1:3" x14ac:dyDescent="0.15">
      <c r="A50" t="s">
        <v>50</v>
      </c>
      <c r="B50" s="17">
        <f>IFERROR(SUMIFS('Full List'!B:B,'Full List'!A:A,WA!$A50,'Full List'!E:E,WA!$A$1),"")</f>
        <v>791072</v>
      </c>
      <c r="C50" s="18">
        <f t="shared" si="0"/>
        <v>0.16876328676587452</v>
      </c>
    </row>
    <row r="51" spans="1:3" x14ac:dyDescent="0.15">
      <c r="A51" t="s">
        <v>51</v>
      </c>
      <c r="B51" s="17">
        <f>IFERROR(SUMIFS('Full List'!B:B,'Full List'!A:A,WA!$A51,'Full List'!E:E,WA!$A$1),"")</f>
        <v>1560210</v>
      </c>
      <c r="C51" s="18">
        <f t="shared" si="0"/>
        <v>0.33284728525972995</v>
      </c>
    </row>
    <row r="52" spans="1:3" x14ac:dyDescent="0.15">
      <c r="A52" t="s">
        <v>52</v>
      </c>
      <c r="B52" s="17">
        <f>IFERROR(SUMIFS('Full List'!B:B,'Full List'!A:A,WA!$A52,'Full List'!E:E,WA!$A$1),"")</f>
        <v>616248</v>
      </c>
      <c r="C52" s="18">
        <f t="shared" si="0"/>
        <v>0.13146722162192145</v>
      </c>
    </row>
    <row r="53" spans="1:3" x14ac:dyDescent="0.15">
      <c r="A53" t="s">
        <v>53</v>
      </c>
      <c r="B53" s="17">
        <f>IFERROR(SUMIFS('Full List'!B:B,'Full List'!A:A,WA!$A53,'Full List'!E:E,WA!$A$1),"")</f>
        <v>417733</v>
      </c>
      <c r="C53" s="18">
        <f t="shared" si="0"/>
        <v>8.9117038740555932E-2</v>
      </c>
    </row>
    <row r="54" spans="1:3" x14ac:dyDescent="0.15">
      <c r="A54" t="s">
        <v>54</v>
      </c>
      <c r="B54" s="17">
        <f>IFERROR(SUMIFS('Full List'!B:B,'Full List'!A:A,WA!$A54,'Full List'!E:E,WA!$A$1),"")</f>
        <v>1628984</v>
      </c>
      <c r="C54" s="18">
        <f t="shared" si="0"/>
        <v>0.34751918147655503</v>
      </c>
    </row>
    <row r="55" spans="1:3" x14ac:dyDescent="0.15">
      <c r="A55" t="s">
        <v>55</v>
      </c>
      <c r="B55" s="17">
        <f>IFERROR(SUMIFS('Full List'!B:B,'Full List'!A:A,WA!$A55,'Full List'!E:E,WA!$A$1),"")</f>
        <v>1178144</v>
      </c>
      <c r="C55" s="18">
        <f t="shared" si="0"/>
        <v>0.2513392633331662</v>
      </c>
    </row>
    <row r="56" spans="1:3" x14ac:dyDescent="0.15">
      <c r="A56" t="s">
        <v>56</v>
      </c>
      <c r="B56" s="17">
        <f>IFERROR(SUMIFS('Full List'!B:B,'Full List'!A:A,WA!$A56,'Full List'!E:E,WA!$A$1),"")</f>
        <v>868262</v>
      </c>
      <c r="C56" s="18">
        <f t="shared" si="0"/>
        <v>0.18523060972188593</v>
      </c>
    </row>
    <row r="57" spans="1:3" x14ac:dyDescent="0.15">
      <c r="A57" t="s">
        <v>57</v>
      </c>
      <c r="B57" s="17">
        <f>IFERROR(SUMIFS('Full List'!B:B,'Full List'!A:A,WA!$A57,'Full List'!E:E,WA!$A$1),"")</f>
        <v>643263</v>
      </c>
      <c r="C57" s="18">
        <f t="shared" si="0"/>
        <v>0.13723046465413608</v>
      </c>
    </row>
    <row r="58" spans="1:3" x14ac:dyDescent="0.15">
      <c r="A58" t="s">
        <v>58</v>
      </c>
      <c r="B58" s="17">
        <f>IFERROR(SUMIFS('Full List'!B:B,'Full List'!A:A,WA!$A58,'Full List'!E:E,WA!$A$1),"")</f>
        <v>526920</v>
      </c>
      <c r="C58" s="18">
        <f t="shared" si="0"/>
        <v>0.11241043933128034</v>
      </c>
    </row>
    <row r="59" spans="1:3" x14ac:dyDescent="0.15">
      <c r="A59" t="s">
        <v>59</v>
      </c>
      <c r="B59" s="17">
        <f>IFERROR(SUMIFS('Full List'!B:B,'Full List'!A:A,WA!$A59,'Full List'!E:E,WA!$A$1),"")</f>
        <v>2300483</v>
      </c>
      <c r="C59" s="18">
        <f t="shared" si="0"/>
        <v>0.49077337110783759</v>
      </c>
    </row>
    <row r="60" spans="1:3" x14ac:dyDescent="0.15">
      <c r="A60" t="s">
        <v>60</v>
      </c>
      <c r="B60" s="17">
        <f>IFERROR(SUMIFS('Full List'!B:B,'Full List'!A:A,WA!$A60,'Full List'!E:E,WA!$A$1),"")</f>
        <v>1222374</v>
      </c>
      <c r="C60" s="18">
        <f t="shared" si="0"/>
        <v>0.26077506712050119</v>
      </c>
    </row>
    <row r="61" spans="1:3" x14ac:dyDescent="0.15">
      <c r="A61" t="s">
        <v>61</v>
      </c>
      <c r="B61" s="17">
        <f>IFERROR(SUMIFS('Full List'!B:B,'Full List'!A:A,WA!$A61,'Full List'!E:E,WA!$A$1),"")</f>
        <v>672944</v>
      </c>
      <c r="C61" s="18">
        <f t="shared" si="0"/>
        <v>0.14356245859969088</v>
      </c>
    </row>
    <row r="62" spans="1:3" x14ac:dyDescent="0.15">
      <c r="A62" t="s">
        <v>62</v>
      </c>
      <c r="B62" s="17">
        <f>IFERROR(SUMIFS('Full List'!B:B,'Full List'!A:A,WA!$A62,'Full List'!E:E,WA!$A$1),"")</f>
        <v>490597</v>
      </c>
      <c r="C62" s="18">
        <f t="shared" si="0"/>
        <v>0.10466147480567856</v>
      </c>
    </row>
    <row r="63" spans="1:3" x14ac:dyDescent="0.15">
      <c r="A63" t="s">
        <v>63</v>
      </c>
      <c r="B63" s="17">
        <f>IFERROR(SUMIFS('Full List'!B:B,'Full List'!A:A,WA!$A63,'Full List'!E:E,WA!$A$1),"")</f>
        <v>695767</v>
      </c>
      <c r="C63" s="18">
        <f t="shared" si="0"/>
        <v>0.14843140162113211</v>
      </c>
    </row>
    <row r="64" spans="1:3" x14ac:dyDescent="0.15">
      <c r="A64" t="s">
        <v>64</v>
      </c>
      <c r="B64" s="17">
        <f>IFERROR(SUMIFS('Full List'!B:B,'Full List'!A:A,WA!$A64,'Full List'!E:E,WA!$A$1),"")</f>
        <v>354450</v>
      </c>
      <c r="C64" s="18">
        <f t="shared" si="0"/>
        <v>7.5616564603682379E-2</v>
      </c>
    </row>
    <row r="65" spans="1:3" x14ac:dyDescent="0.15">
      <c r="A65" t="s">
        <v>65</v>
      </c>
      <c r="B65" s="17">
        <f>IFERROR(SUMIFS('Full List'!B:B,'Full List'!A:A,WA!$A65,'Full List'!E:E,WA!$A$1),"")</f>
        <v>687500</v>
      </c>
      <c r="C65" s="18">
        <f t="shared" si="0"/>
        <v>0.14666776178595467</v>
      </c>
    </row>
    <row r="66" spans="1:3" x14ac:dyDescent="0.15">
      <c r="A66" t="s">
        <v>66</v>
      </c>
      <c r="B66" s="17">
        <f>IFERROR(SUMIFS('Full List'!B:B,'Full List'!A:A,WA!$A66,'Full List'!E:E,WA!$A$1),"")</f>
        <v>455286</v>
      </c>
      <c r="C66" s="18">
        <f t="shared" si="0"/>
        <v>9.7128405225425679E-2</v>
      </c>
    </row>
    <row r="67" spans="1:3" x14ac:dyDescent="0.15">
      <c r="A67" t="s">
        <v>67</v>
      </c>
      <c r="B67" s="17">
        <f>IFERROR(SUMIFS('Full List'!B:B,'Full List'!A:A,WA!$A67,'Full List'!E:E,WA!$A$1),"")</f>
        <v>1000082</v>
      </c>
      <c r="C67" s="18">
        <f t="shared" ref="C67:C82" si="1">IFERROR(B67/$B$2,"")</f>
        <v>0.21335241969806709</v>
      </c>
    </row>
    <row r="68" spans="1:3" x14ac:dyDescent="0.15">
      <c r="A68" t="s">
        <v>68</v>
      </c>
      <c r="B68" s="17">
        <f>IFERROR(SUMIFS('Full List'!B:B,'Full List'!A:A,WA!$A68,'Full List'!E:E,WA!$A$1),"")</f>
        <v>1379582</v>
      </c>
      <c r="C68" s="18">
        <f t="shared" si="1"/>
        <v>0.29431302420391403</v>
      </c>
    </row>
    <row r="69" spans="1:3" x14ac:dyDescent="0.15">
      <c r="A69" t="s">
        <v>69</v>
      </c>
      <c r="B69" s="17">
        <f>IFERROR(SUMIFS('Full List'!B:B,'Full List'!A:A,WA!$A69,'Full List'!E:E,WA!$A$1),"")</f>
        <v>2814735</v>
      </c>
      <c r="C69" s="18">
        <f t="shared" si="1"/>
        <v>0.60048128359358421</v>
      </c>
    </row>
    <row r="70" spans="1:3" x14ac:dyDescent="0.15">
      <c r="A70" t="s">
        <v>70</v>
      </c>
      <c r="B70" s="17">
        <f>IFERROR(SUMIFS('Full List'!B:B,'Full List'!A:A,WA!$A70,'Full List'!E:E,WA!$A$1),"")</f>
        <v>944585</v>
      </c>
      <c r="C70" s="18">
        <f t="shared" si="1"/>
        <v>0.20151297129685236</v>
      </c>
    </row>
    <row r="71" spans="1:3" x14ac:dyDescent="0.15">
      <c r="A71" t="s">
        <v>71</v>
      </c>
      <c r="B71" s="17">
        <f>IFERROR(SUMIFS('Full List'!B:B,'Full List'!A:A,WA!$A71,'Full List'!E:E,WA!$A$1),"")</f>
        <v>182126</v>
      </c>
      <c r="C71" s="18">
        <f t="shared" si="1"/>
        <v>3.8853836775314586E-2</v>
      </c>
    </row>
    <row r="72" spans="1:3" x14ac:dyDescent="0.15">
      <c r="A72" t="s">
        <v>72</v>
      </c>
      <c r="B72" s="17">
        <f>IFERROR(SUMIFS('Full List'!B:B,'Full List'!A:A,WA!$A72,'Full List'!E:E,WA!$A$1),"")</f>
        <v>651415</v>
      </c>
      <c r="C72" s="18">
        <f t="shared" si="1"/>
        <v>0.13896957097279661</v>
      </c>
    </row>
    <row r="73" spans="1:3" x14ac:dyDescent="0.15">
      <c r="A73" t="s">
        <v>73</v>
      </c>
      <c r="B73" s="17">
        <f>IFERROR(SUMIFS('Full List'!B:B,'Full List'!A:A,WA!$A73,'Full List'!E:E,WA!$A$1),"")</f>
        <v>2961685</v>
      </c>
      <c r="C73" s="18">
        <f t="shared" si="1"/>
        <v>0.63183085100368752</v>
      </c>
    </row>
    <row r="74" spans="1:3" x14ac:dyDescent="0.15">
      <c r="A74" t="s">
        <v>74</v>
      </c>
      <c r="B74" s="17">
        <f>IFERROR(SUMIFS('Full List'!B:B,'Full List'!A:A,WA!$A74,'Full List'!E:E,WA!$A$1),"")</f>
        <v>1094992</v>
      </c>
      <c r="C74" s="18">
        <f t="shared" si="1"/>
        <v>0.23360003754694703</v>
      </c>
    </row>
    <row r="75" spans="1:3" x14ac:dyDescent="0.15">
      <c r="A75" t="s">
        <v>75</v>
      </c>
      <c r="B75" s="17">
        <f>IFERROR(SUMIFS('Full List'!B:B,'Full List'!A:A,WA!$A75,'Full List'!E:E,WA!$A$1),"")</f>
        <v>712759</v>
      </c>
      <c r="C75" s="18">
        <f t="shared" si="1"/>
        <v>0.15205638868770222</v>
      </c>
    </row>
    <row r="76" spans="1:3" x14ac:dyDescent="0.15">
      <c r="A76" t="s">
        <v>76</v>
      </c>
      <c r="B76" s="17">
        <f>IFERROR(SUMIFS('Full List'!B:B,'Full List'!A:A,WA!$A76,'Full List'!E:E,WA!$A$1),"")</f>
        <v>781848</v>
      </c>
      <c r="C76" s="18">
        <f t="shared" si="1"/>
        <v>0.16679548540629102</v>
      </c>
    </row>
    <row r="77" spans="1:3" x14ac:dyDescent="0.15">
      <c r="A77" t="s">
        <v>77</v>
      </c>
      <c r="B77" s="17">
        <f>IFERROR(SUMIFS('Full List'!B:B,'Full List'!A:A,WA!$A77,'Full List'!E:E,WA!$A$1),"")</f>
        <v>742755</v>
      </c>
      <c r="C77" s="18">
        <f t="shared" si="1"/>
        <v>0.15845558313502073</v>
      </c>
    </row>
    <row r="78" spans="1:3" x14ac:dyDescent="0.15">
      <c r="A78" t="s">
        <v>78</v>
      </c>
      <c r="B78" s="17">
        <f>IFERROR(SUMIFS('Full List'!B:B,'Full List'!A:A,WA!$A78,'Full List'!E:E,WA!$A$1),"")</f>
        <v>627063</v>
      </c>
      <c r="C78" s="18">
        <f t="shared" si="1"/>
        <v>0.13377443884914342</v>
      </c>
    </row>
    <row r="79" spans="1:3" x14ac:dyDescent="0.15">
      <c r="A79" t="s">
        <v>79</v>
      </c>
      <c r="B79" s="17">
        <f>IFERROR(SUMIFS('Full List'!B:B,'Full List'!A:A,WA!$A79,'Full List'!E:E,WA!$A$1),"")</f>
        <v>730146</v>
      </c>
      <c r="C79" s="18">
        <f t="shared" si="1"/>
        <v>0.15576564305013477</v>
      </c>
    </row>
    <row r="80" spans="1:3" x14ac:dyDescent="0.15">
      <c r="A80" t="s">
        <v>80</v>
      </c>
      <c r="B80" s="17">
        <f>IFERROR(SUMIFS('Full List'!B:B,'Full List'!A:A,WA!$A80,'Full List'!E:E,WA!$A$1),"")</f>
        <v>760292</v>
      </c>
      <c r="C80" s="18">
        <f t="shared" si="1"/>
        <v>0.16219683773638843</v>
      </c>
    </row>
    <row r="81" spans="1:6" x14ac:dyDescent="0.15">
      <c r="A81" t="s">
        <v>81</v>
      </c>
      <c r="B81" s="17">
        <f>IFERROR(SUMIFS('Full List'!B:B,'Full List'!A:A,WA!$A81,'Full List'!E:E,WA!$A$1),"")</f>
        <v>682839</v>
      </c>
      <c r="C81" s="18">
        <f t="shared" si="1"/>
        <v>0.14567340769477746</v>
      </c>
    </row>
    <row r="82" spans="1:6" x14ac:dyDescent="0.15">
      <c r="A82" t="s">
        <v>82</v>
      </c>
      <c r="B82" s="17">
        <f>IFERROR(SUMIFS('Full List'!B:B,'Full List'!A:A,WA!$A82,'Full List'!E:E,WA!$A$1),"")</f>
        <v>372367</v>
      </c>
      <c r="C82" s="18">
        <f t="shared" si="1"/>
        <v>7.9438886477019022E-2</v>
      </c>
    </row>
    <row r="83" spans="1:6" x14ac:dyDescent="0.15">
      <c r="B83" s="17"/>
      <c r="C83" s="18"/>
      <c r="D83" t="s">
        <v>812</v>
      </c>
      <c r="E83" t="s">
        <v>860</v>
      </c>
    </row>
    <row r="84" spans="1:6" x14ac:dyDescent="0.15">
      <c r="A84" t="s">
        <v>1157</v>
      </c>
      <c r="B84" s="17">
        <v>2361955</v>
      </c>
      <c r="C84" s="18">
        <f t="shared" ref="C84:C97" si="2">IFERROR(B84/$B$2,"")</f>
        <v>0.50388749569330116</v>
      </c>
      <c r="D84">
        <v>27</v>
      </c>
      <c r="E84" t="str">
        <f>VLOOKUP(D84,Validation!$A$2:$C$41,3,FALSE)</f>
        <v xml:space="preserve">NFL </v>
      </c>
      <c r="F84" t="s">
        <v>1350</v>
      </c>
    </row>
    <row r="85" spans="1:6" x14ac:dyDescent="0.15">
      <c r="A85" t="s">
        <v>1154</v>
      </c>
      <c r="B85" s="17">
        <v>2043920</v>
      </c>
      <c r="C85" s="18">
        <f t="shared" si="2"/>
        <v>0.43603952242843413</v>
      </c>
      <c r="D85">
        <v>17</v>
      </c>
      <c r="E85" t="str">
        <f>VLOOKUP(D85,Validation!$A$2:$C$41,3,FALSE)</f>
        <v>MLB</v>
      </c>
      <c r="F85" t="s">
        <v>1351</v>
      </c>
    </row>
    <row r="86" spans="1:6" x14ac:dyDescent="0.15">
      <c r="A86" t="s">
        <v>1262</v>
      </c>
      <c r="B86" s="17">
        <v>1184822</v>
      </c>
      <c r="C86" s="18">
        <f t="shared" si="2"/>
        <v>0.25276391397055764</v>
      </c>
      <c r="D86">
        <v>5</v>
      </c>
      <c r="E86" t="str">
        <f>VLOOKUP(D86,Validation!$A$2:$C$41,3,FALSE)</f>
        <v>CFB</v>
      </c>
      <c r="F86" t="s">
        <v>1350</v>
      </c>
    </row>
    <row r="87" spans="1:6" x14ac:dyDescent="0.15">
      <c r="A87" t="s">
        <v>1258</v>
      </c>
      <c r="B87" s="17">
        <v>824979</v>
      </c>
      <c r="C87" s="18">
        <f t="shared" si="2"/>
        <v>0.17599683410969469</v>
      </c>
      <c r="D87">
        <v>5</v>
      </c>
      <c r="E87" t="str">
        <f>VLOOKUP(D87,Validation!$A$2:$C$41,3,FALSE)</f>
        <v>CFB</v>
      </c>
      <c r="F87" t="s">
        <v>1350</v>
      </c>
    </row>
    <row r="88" spans="1:6" x14ac:dyDescent="0.15">
      <c r="A88" t="s">
        <v>1257</v>
      </c>
      <c r="B88" s="17">
        <v>818081</v>
      </c>
      <c r="C88" s="18">
        <f t="shared" si="2"/>
        <v>0.17452524978853176</v>
      </c>
      <c r="D88">
        <v>18</v>
      </c>
      <c r="E88" t="str">
        <f>VLOOKUP(D88,Validation!$A$2:$C$41,3,FALSE)</f>
        <v>MLS</v>
      </c>
    </row>
    <row r="89" spans="1:6" x14ac:dyDescent="0.15">
      <c r="A89" t="s">
        <v>1263</v>
      </c>
      <c r="B89" s="17">
        <v>680549</v>
      </c>
      <c r="C89" s="18">
        <f t="shared" si="2"/>
        <v>0.14518487071370134</v>
      </c>
      <c r="D89">
        <v>4</v>
      </c>
      <c r="E89" t="str">
        <f>VLOOKUP(D89,Validation!$A$2:$C$41,3,FALSE)</f>
        <v>MCB</v>
      </c>
      <c r="F89" t="s">
        <v>1350</v>
      </c>
    </row>
    <row r="90" spans="1:6" x14ac:dyDescent="0.15">
      <c r="A90" t="s">
        <v>1261</v>
      </c>
      <c r="B90" s="17">
        <v>531670</v>
      </c>
      <c r="C90" s="18">
        <f t="shared" si="2"/>
        <v>0.11342378023089239</v>
      </c>
      <c r="D90">
        <v>4</v>
      </c>
      <c r="E90" t="str">
        <f>VLOOKUP(D90,Validation!$A$2:$C$41,3,FALSE)</f>
        <v>MCB</v>
      </c>
      <c r="F90" t="s">
        <v>1350</v>
      </c>
    </row>
    <row r="91" spans="1:6" x14ac:dyDescent="0.15">
      <c r="A91" t="s">
        <v>1260</v>
      </c>
      <c r="B91" s="17">
        <v>294003</v>
      </c>
      <c r="C91" s="18">
        <f t="shared" si="2"/>
        <v>6.272110831760877E-2</v>
      </c>
      <c r="D91">
        <v>4</v>
      </c>
      <c r="E91" t="str">
        <f>VLOOKUP(D91,Validation!$A$2:$C$41,3,FALSE)</f>
        <v>MCB</v>
      </c>
      <c r="F91" t="s">
        <v>1351</v>
      </c>
    </row>
    <row r="92" spans="1:6" x14ac:dyDescent="0.15">
      <c r="A92" t="s">
        <v>1260</v>
      </c>
      <c r="B92" s="17">
        <v>291096</v>
      </c>
      <c r="C92" s="18">
        <f t="shared" si="2"/>
        <v>6.2100943687046196E-2</v>
      </c>
      <c r="D92">
        <v>4</v>
      </c>
      <c r="E92" t="str">
        <f>VLOOKUP(D92,Validation!$A$2:$C$41,3,FALSE)</f>
        <v>MCB</v>
      </c>
      <c r="F92" t="s">
        <v>1351</v>
      </c>
    </row>
    <row r="93" spans="1:6" x14ac:dyDescent="0.15">
      <c r="A93" t="s">
        <v>1156</v>
      </c>
      <c r="B93" s="17">
        <v>190982</v>
      </c>
      <c r="C93" s="18">
        <f t="shared" si="2"/>
        <v>4.0743130882043919E-2</v>
      </c>
      <c r="D93">
        <v>26</v>
      </c>
      <c r="E93" t="str">
        <f>VLOOKUP(D93,Validation!$A$2:$C$41,3,FALSE)</f>
        <v xml:space="preserve">NBA </v>
      </c>
      <c r="F93" t="s">
        <v>1350</v>
      </c>
    </row>
    <row r="94" spans="1:6" x14ac:dyDescent="0.15">
      <c r="A94" t="s">
        <v>1160</v>
      </c>
      <c r="B94" s="17">
        <v>103578</v>
      </c>
      <c r="C94" s="18">
        <f t="shared" si="2"/>
        <v>2.2096804989477255E-2</v>
      </c>
      <c r="D94">
        <v>5</v>
      </c>
      <c r="E94" t="str">
        <f>VLOOKUP(D94,Validation!$A$2:$C$41,3,FALSE)</f>
        <v>CFB</v>
      </c>
      <c r="F94" t="s">
        <v>1350</v>
      </c>
    </row>
    <row r="95" spans="1:6" x14ac:dyDescent="0.15">
      <c r="A95" t="s">
        <v>1256</v>
      </c>
      <c r="B95" s="17">
        <v>102498</v>
      </c>
      <c r="C95" s="18">
        <f t="shared" si="2"/>
        <v>2.1866403269144411E-2</v>
      </c>
      <c r="D95">
        <v>5</v>
      </c>
      <c r="E95" t="str">
        <f>VLOOKUP(D95,Validation!$A$2:$C$41,3,FALSE)</f>
        <v>CFB</v>
      </c>
      <c r="F95" t="s">
        <v>1351</v>
      </c>
    </row>
    <row r="96" spans="1:6" x14ac:dyDescent="0.15">
      <c r="A96" t="s">
        <v>1259</v>
      </c>
      <c r="B96" s="17">
        <v>66729</v>
      </c>
      <c r="C96" s="18">
        <f t="shared" si="2"/>
        <v>1.4235626292676318E-2</v>
      </c>
      <c r="D96">
        <v>4</v>
      </c>
      <c r="E96" t="str">
        <f>VLOOKUP(D96,Validation!$A$2:$C$41,3,FALSE)</f>
        <v>MCB</v>
      </c>
      <c r="F96" t="s">
        <v>1351</v>
      </c>
    </row>
    <row r="97" spans="1:6" x14ac:dyDescent="0.15">
      <c r="A97" t="s">
        <v>1264</v>
      </c>
      <c r="B97" s="17">
        <v>55149</v>
      </c>
      <c r="C97" s="18">
        <f t="shared" si="2"/>
        <v>1.1765207846885256E-2</v>
      </c>
      <c r="D97">
        <v>4</v>
      </c>
      <c r="E97" t="str">
        <f>VLOOKUP(D97,Validation!$A$2:$C$41,3,FALSE)</f>
        <v>MCB</v>
      </c>
      <c r="F97" s="17"/>
    </row>
  </sheetData>
  <pageMargins left="0.7" right="0.7" top="0.75" bottom="0.75" header="0.3" footer="0.3"/>
  <pageSetup orientation="portrait" verticalDpi="0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 enableFormatConditionsCalculation="0"/>
  <dimension ref="A1:F91"/>
  <sheetViews>
    <sheetView topLeftCell="A62" zoomScale="85" zoomScaleNormal="85" zoomScalePageLayoutView="85" workbookViewId="0">
      <selection activeCell="J90" sqref="J90"/>
    </sheetView>
  </sheetViews>
  <sheetFormatPr baseColWidth="10" defaultColWidth="8.83203125" defaultRowHeight="13" x14ac:dyDescent="0.15"/>
  <cols>
    <col min="1" max="1" width="33.33203125" bestFit="1" customWidth="1"/>
    <col min="2" max="2" width="10.5" bestFit="1" customWidth="1"/>
  </cols>
  <sheetData>
    <row r="1" spans="1:3" x14ac:dyDescent="0.15">
      <c r="A1" t="s">
        <v>450</v>
      </c>
      <c r="B1" t="s">
        <v>807</v>
      </c>
      <c r="C1" t="s">
        <v>811</v>
      </c>
    </row>
    <row r="2" spans="1:3" x14ac:dyDescent="0.15">
      <c r="A2" t="s">
        <v>0</v>
      </c>
      <c r="B2" s="17">
        <f>IFERROR(SUMIFS('Full List'!B:B,'Full List'!A:A,WI!$A2,'Full List'!E:E,WI!$A$1),"")</f>
        <v>1760870</v>
      </c>
      <c r="C2" s="18">
        <f>IFERROR(B2/$B$2,"")</f>
        <v>1</v>
      </c>
    </row>
    <row r="3" spans="1:3" x14ac:dyDescent="0.15">
      <c r="A3" t="s">
        <v>3</v>
      </c>
      <c r="B3" s="17">
        <f>IFERROR(SUMIFS('Full List'!B:B,'Full List'!A:A,WI!$A3,'Full List'!E:E,WI!$A$1),"")</f>
        <v>19034</v>
      </c>
      <c r="C3" s="18">
        <f t="shared" ref="C3:C66" si="0">IFERROR(B3/$B$2,"")</f>
        <v>1.0809429429770511E-2</v>
      </c>
    </row>
    <row r="4" spans="1:3" x14ac:dyDescent="0.15">
      <c r="A4" t="s">
        <v>4</v>
      </c>
      <c r="B4" s="17">
        <f>IFERROR(SUMIFS('Full List'!B:B,'Full List'!A:A,WI!$A4,'Full List'!E:E,WI!$A$1),"")</f>
        <v>18166</v>
      </c>
      <c r="C4" s="18">
        <f t="shared" si="0"/>
        <v>1.0316491279878697E-2</v>
      </c>
    </row>
    <row r="5" spans="1:3" x14ac:dyDescent="0.15">
      <c r="A5" t="s">
        <v>5</v>
      </c>
      <c r="B5" s="17">
        <f>IFERROR(SUMIFS('Full List'!B:B,'Full List'!A:A,WI!$A5,'Full List'!E:E,WI!$A$1),"")</f>
        <v>33158</v>
      </c>
      <c r="C5" s="18">
        <f t="shared" si="0"/>
        <v>1.8830464486305064E-2</v>
      </c>
    </row>
    <row r="6" spans="1:3" x14ac:dyDescent="0.15">
      <c r="A6" t="s">
        <v>6</v>
      </c>
      <c r="B6" s="17">
        <f>IFERROR(SUMIFS('Full List'!B:B,'Full List'!A:A,WI!$A6,'Full List'!E:E,WI!$A$1),"")</f>
        <v>189138</v>
      </c>
      <c r="C6" s="18">
        <f t="shared" si="0"/>
        <v>0.10741167718230193</v>
      </c>
    </row>
    <row r="7" spans="1:3" x14ac:dyDescent="0.15">
      <c r="A7" t="s">
        <v>7</v>
      </c>
      <c r="B7" s="17">
        <f>IFERROR(SUMIFS('Full List'!B:B,'Full List'!A:A,WI!$A7,'Full List'!E:E,WI!$A$1),"")</f>
        <v>319503</v>
      </c>
      <c r="C7" s="18">
        <f t="shared" si="0"/>
        <v>0.18144610334664116</v>
      </c>
    </row>
    <row r="8" spans="1:3" x14ac:dyDescent="0.15">
      <c r="A8" t="s">
        <v>8</v>
      </c>
      <c r="B8" s="17">
        <f>IFERROR(SUMIFS('Full List'!B:B,'Full List'!A:A,WI!$A8,'Full List'!E:E,WI!$A$1),"")</f>
        <v>33143</v>
      </c>
      <c r="C8" s="18">
        <f t="shared" si="0"/>
        <v>1.8821945969889883E-2</v>
      </c>
    </row>
    <row r="9" spans="1:3" x14ac:dyDescent="0.15">
      <c r="A9" t="s">
        <v>9</v>
      </c>
      <c r="B9" s="17">
        <f>IFERROR(SUMIFS('Full List'!B:B,'Full List'!A:A,WI!$A9,'Full List'!E:E,WI!$A$1),"")</f>
        <v>37823</v>
      </c>
      <c r="C9" s="18">
        <f t="shared" si="0"/>
        <v>2.1479723091426397E-2</v>
      </c>
    </row>
    <row r="10" spans="1:3" x14ac:dyDescent="0.15">
      <c r="A10" t="s">
        <v>10</v>
      </c>
      <c r="B10" s="17">
        <f>IFERROR(SUMIFS('Full List'!B:B,'Full List'!A:A,WI!$A10,'Full List'!E:E,WI!$A$1),"")</f>
        <v>21728</v>
      </c>
      <c r="C10" s="18">
        <f t="shared" si="0"/>
        <v>1.2339354977937042E-2</v>
      </c>
    </row>
    <row r="11" spans="1:3" x14ac:dyDescent="0.15">
      <c r="A11" t="s">
        <v>11</v>
      </c>
      <c r="B11" s="17">
        <f>IFERROR(SUMIFS('Full List'!B:B,'Full List'!A:A,WI!$A11,'Full List'!E:E,WI!$A$1),"")</f>
        <v>103978</v>
      </c>
      <c r="C11" s="18">
        <f t="shared" si="0"/>
        <v>5.9049219987846915E-2</v>
      </c>
    </row>
    <row r="12" spans="1:3" x14ac:dyDescent="0.15">
      <c r="A12" t="s">
        <v>12</v>
      </c>
      <c r="B12" s="17">
        <f>IFERROR(SUMIFS('Full List'!B:B,'Full List'!A:A,WI!$A12,'Full List'!E:E,WI!$A$1),"")</f>
        <v>22628</v>
      </c>
      <c r="C12" s="18">
        <f t="shared" si="0"/>
        <v>1.2850465962847911E-2</v>
      </c>
    </row>
    <row r="13" spans="1:3" x14ac:dyDescent="0.15">
      <c r="A13" t="s">
        <v>13</v>
      </c>
      <c r="B13" s="17">
        <f>IFERROR(SUMIFS('Full List'!B:B,'Full List'!A:A,WI!$A13,'Full List'!E:E,WI!$A$1),"")</f>
        <v>18848</v>
      </c>
      <c r="C13" s="18">
        <f t="shared" si="0"/>
        <v>1.0703799826222266E-2</v>
      </c>
    </row>
    <row r="14" spans="1:3" x14ac:dyDescent="0.15">
      <c r="A14" t="s">
        <v>14</v>
      </c>
      <c r="B14" s="17">
        <f>IFERROR(SUMIFS('Full List'!B:B,'Full List'!A:A,WI!$A14,'Full List'!E:E,WI!$A$1),"")</f>
        <v>119079</v>
      </c>
      <c r="C14" s="18">
        <f t="shared" si="0"/>
        <v>6.7625094413556935E-2</v>
      </c>
    </row>
    <row r="15" spans="1:3" x14ac:dyDescent="0.15">
      <c r="A15" t="s">
        <v>15</v>
      </c>
      <c r="B15" s="17">
        <f>IFERROR(SUMIFS('Full List'!B:B,'Full List'!A:A,WI!$A15,'Full List'!E:E,WI!$A$1),"")</f>
        <v>94504</v>
      </c>
      <c r="C15" s="18">
        <f t="shared" si="0"/>
        <v>5.3668925020018514E-2</v>
      </c>
    </row>
    <row r="16" spans="1:3" x14ac:dyDescent="0.15">
      <c r="A16" t="s">
        <v>16</v>
      </c>
      <c r="B16" s="17">
        <f>IFERROR(SUMIFS('Full List'!B:B,'Full List'!A:A,WI!$A16,'Full List'!E:E,WI!$A$1),"")</f>
        <v>49722</v>
      </c>
      <c r="C16" s="18">
        <f t="shared" si="0"/>
        <v>2.8237178213042415E-2</v>
      </c>
    </row>
    <row r="17" spans="1:3" x14ac:dyDescent="0.15">
      <c r="A17" t="s">
        <v>17</v>
      </c>
      <c r="B17" s="17">
        <f>IFERROR(SUMIFS('Full List'!B:B,'Full List'!A:A,WI!$A17,'Full List'!E:E,WI!$A$1),"")</f>
        <v>53622</v>
      </c>
      <c r="C17" s="18">
        <f t="shared" si="0"/>
        <v>3.0451992480989509E-2</v>
      </c>
    </row>
    <row r="18" spans="1:3" x14ac:dyDescent="0.15">
      <c r="A18" t="s">
        <v>18</v>
      </c>
      <c r="B18" s="17">
        <f>IFERROR(SUMIFS('Full List'!B:B,'Full List'!A:A,WI!$A18,'Full List'!E:E,WI!$A$1),"")</f>
        <v>19565</v>
      </c>
      <c r="C18" s="18">
        <f t="shared" si="0"/>
        <v>1.1110984910867924E-2</v>
      </c>
    </row>
    <row r="19" spans="1:3" x14ac:dyDescent="0.15">
      <c r="A19" t="s">
        <v>19</v>
      </c>
      <c r="B19" s="17">
        <f>IFERROR(SUMIFS('Full List'!B:B,'Full List'!A:A,WI!$A19,'Full List'!E:E,WI!$A$1),"")</f>
        <v>348515</v>
      </c>
      <c r="C19" s="18">
        <f t="shared" si="0"/>
        <v>0.19792204989579015</v>
      </c>
    </row>
    <row r="20" spans="1:3" x14ac:dyDescent="0.15">
      <c r="A20" t="s">
        <v>20</v>
      </c>
      <c r="B20" s="17">
        <f>IFERROR(SUMIFS('Full List'!B:B,'Full List'!A:A,WI!$A20,'Full List'!E:E,WI!$A$1),"")</f>
        <v>39271</v>
      </c>
      <c r="C20" s="18">
        <f t="shared" si="0"/>
        <v>2.2302043876038548E-2</v>
      </c>
    </row>
    <row r="21" spans="1:3" x14ac:dyDescent="0.15">
      <c r="A21" t="s">
        <v>21</v>
      </c>
      <c r="B21" s="17">
        <f>IFERROR(SUMIFS('Full List'!B:B,'Full List'!A:A,WI!$A21,'Full List'!E:E,WI!$A$1),"")</f>
        <v>56961</v>
      </c>
      <c r="C21" s="18">
        <f t="shared" si="0"/>
        <v>3.2348214235008832E-2</v>
      </c>
    </row>
    <row r="22" spans="1:3" x14ac:dyDescent="0.15">
      <c r="A22" t="s">
        <v>22</v>
      </c>
      <c r="B22" s="17">
        <f>IFERROR(SUMIFS('Full List'!B:B,'Full List'!A:A,WI!$A22,'Full List'!E:E,WI!$A$1),"")</f>
        <v>18691</v>
      </c>
      <c r="C22" s="18">
        <f t="shared" si="0"/>
        <v>1.0614639354410036E-2</v>
      </c>
    </row>
    <row r="23" spans="1:3" x14ac:dyDescent="0.15">
      <c r="A23" t="s">
        <v>23</v>
      </c>
      <c r="B23" s="17">
        <f>IFERROR(SUMIFS('Full List'!B:B,'Full List'!A:A,WI!$A23,'Full List'!E:E,WI!$A$1),"")</f>
        <v>22051</v>
      </c>
      <c r="C23" s="18">
        <f t="shared" si="0"/>
        <v>1.2522787031410609E-2</v>
      </c>
    </row>
    <row r="24" spans="1:3" x14ac:dyDescent="0.15">
      <c r="A24" t="s">
        <v>24</v>
      </c>
      <c r="B24" s="17">
        <f>IFERROR(SUMIFS('Full List'!B:B,'Full List'!A:A,WI!$A24,'Full List'!E:E,WI!$A$1),"")</f>
        <v>16728</v>
      </c>
      <c r="C24" s="18">
        <f t="shared" si="0"/>
        <v>9.4998495062099987E-3</v>
      </c>
    </row>
    <row r="25" spans="1:3" x14ac:dyDescent="0.15">
      <c r="A25" t="s">
        <v>25</v>
      </c>
      <c r="B25" s="17">
        <f>IFERROR(SUMIFS('Full List'!B:B,'Full List'!A:A,WI!$A25,'Full List'!E:E,WI!$A$1),"")</f>
        <v>30557</v>
      </c>
      <c r="C25" s="18">
        <f t="shared" si="0"/>
        <v>1.7353353739912657E-2</v>
      </c>
    </row>
    <row r="26" spans="1:3" x14ac:dyDescent="0.15">
      <c r="A26" t="s">
        <v>26</v>
      </c>
      <c r="B26" s="17">
        <f>IFERROR(SUMIFS('Full List'!B:B,'Full List'!A:A,WI!$A26,'Full List'!E:E,WI!$A$1),"")</f>
        <v>22987</v>
      </c>
      <c r="C26" s="18">
        <f t="shared" si="0"/>
        <v>1.3054342455717911E-2</v>
      </c>
    </row>
    <row r="27" spans="1:3" x14ac:dyDescent="0.15">
      <c r="A27" t="s">
        <v>27</v>
      </c>
      <c r="B27" s="17">
        <f>IFERROR(SUMIFS('Full List'!B:B,'Full List'!A:A,WI!$A27,'Full List'!E:E,WI!$A$1),"")</f>
        <v>152876</v>
      </c>
      <c r="C27" s="18">
        <f t="shared" si="0"/>
        <v>8.6818447699148718E-2</v>
      </c>
    </row>
    <row r="28" spans="1:3" x14ac:dyDescent="0.15">
      <c r="A28" t="s">
        <v>28</v>
      </c>
      <c r="B28" s="17">
        <f>IFERROR(SUMIFS('Full List'!B:B,'Full List'!A:A,WI!$A28,'Full List'!E:E,WI!$A$1),"")</f>
        <v>132256</v>
      </c>
      <c r="C28" s="18">
        <f t="shared" si="0"/>
        <v>7.5108327133746391E-2</v>
      </c>
    </row>
    <row r="29" spans="1:3" x14ac:dyDescent="0.15">
      <c r="A29" t="s">
        <v>29</v>
      </c>
      <c r="B29" s="17">
        <f>IFERROR(SUMIFS('Full List'!B:B,'Full List'!A:A,WI!$A29,'Full List'!E:E,WI!$A$1),"")</f>
        <v>807776</v>
      </c>
      <c r="C29" s="18">
        <f t="shared" si="0"/>
        <v>0.45873687438595695</v>
      </c>
    </row>
    <row r="30" spans="1:3" x14ac:dyDescent="0.15">
      <c r="A30" t="s">
        <v>30</v>
      </c>
      <c r="B30" s="17">
        <f>IFERROR(SUMIFS('Full List'!B:B,'Full List'!A:A,WI!$A30,'Full List'!E:E,WI!$A$1),"")</f>
        <v>56285</v>
      </c>
      <c r="C30" s="18">
        <f t="shared" si="0"/>
        <v>3.1964313095231338E-2</v>
      </c>
    </row>
    <row r="31" spans="1:3" x14ac:dyDescent="0.15">
      <c r="A31" t="s">
        <v>31</v>
      </c>
      <c r="B31" s="17">
        <f>IFERROR(SUMIFS('Full List'!B:B,'Full List'!A:A,WI!$A31,'Full List'!E:E,WI!$A$1),"")</f>
        <v>12886</v>
      </c>
      <c r="C31" s="18">
        <f t="shared" si="0"/>
        <v>7.3179735017349376E-3</v>
      </c>
    </row>
    <row r="32" spans="1:3" x14ac:dyDescent="0.15">
      <c r="A32" t="s">
        <v>32</v>
      </c>
      <c r="B32" s="17">
        <f>IFERROR(SUMIFS('Full List'!B:B,'Full List'!A:A,WI!$A32,'Full List'!E:E,WI!$A$1),"")</f>
        <v>43657</v>
      </c>
      <c r="C32" s="18">
        <f t="shared" si="0"/>
        <v>2.4792858075837511E-2</v>
      </c>
    </row>
    <row r="33" spans="1:3" x14ac:dyDescent="0.15">
      <c r="A33" t="s">
        <v>33</v>
      </c>
      <c r="B33" s="17">
        <f>IFERROR(SUMIFS('Full List'!B:B,'Full List'!A:A,WI!$A33,'Full List'!E:E,WI!$A$1),"")</f>
        <v>500909</v>
      </c>
      <c r="C33" s="18">
        <f t="shared" si="0"/>
        <v>0.28446676926746439</v>
      </c>
    </row>
    <row r="34" spans="1:3" x14ac:dyDescent="0.15">
      <c r="A34" t="s">
        <v>34</v>
      </c>
      <c r="B34" s="17">
        <f>IFERROR(SUMIFS('Full List'!B:B,'Full List'!A:A,WI!$A34,'Full List'!E:E,WI!$A$1),"")</f>
        <v>121903</v>
      </c>
      <c r="C34" s="18">
        <f t="shared" si="0"/>
        <v>6.922884710398837E-2</v>
      </c>
    </row>
    <row r="35" spans="1:3" x14ac:dyDescent="0.15">
      <c r="A35" t="s">
        <v>35</v>
      </c>
      <c r="B35" s="17">
        <f>IFERROR(SUMIFS('Full List'!B:B,'Full List'!A:A,WI!$A35,'Full List'!E:E,WI!$A$1),"")</f>
        <v>78165</v>
      </c>
      <c r="C35" s="18">
        <f t="shared" si="0"/>
        <v>4.438998903950888E-2</v>
      </c>
    </row>
    <row r="36" spans="1:3" x14ac:dyDescent="0.15">
      <c r="A36" t="s">
        <v>36</v>
      </c>
      <c r="B36" s="17">
        <f>IFERROR(SUMIFS('Full List'!B:B,'Full List'!A:A,WI!$A36,'Full List'!E:E,WI!$A$1),"")</f>
        <v>26495</v>
      </c>
      <c r="C36" s="18">
        <f t="shared" si="0"/>
        <v>1.5046539494681606E-2</v>
      </c>
    </row>
    <row r="37" spans="1:3" x14ac:dyDescent="0.15">
      <c r="A37" t="s">
        <v>37</v>
      </c>
      <c r="B37" s="17">
        <f>IFERROR(SUMIFS('Full List'!B:B,'Full List'!A:A,WI!$A37,'Full List'!E:E,WI!$A$1),"")</f>
        <v>12623</v>
      </c>
      <c r="C37" s="18">
        <f t="shared" si="0"/>
        <v>7.1686155139220956E-3</v>
      </c>
    </row>
    <row r="38" spans="1:3" x14ac:dyDescent="0.15">
      <c r="A38" t="s">
        <v>38</v>
      </c>
      <c r="B38" s="17">
        <f>IFERROR(SUMIFS('Full List'!B:B,'Full List'!A:A,WI!$A38,'Full List'!E:E,WI!$A$1),"")</f>
        <v>23793</v>
      </c>
      <c r="C38" s="18">
        <f t="shared" si="0"/>
        <v>1.3512070737760312E-2</v>
      </c>
    </row>
    <row r="39" spans="1:3" x14ac:dyDescent="0.15">
      <c r="A39" t="s">
        <v>39</v>
      </c>
      <c r="B39" s="17">
        <f>IFERROR(SUMIFS('Full List'!B:B,'Full List'!A:A,WI!$A39,'Full List'!E:E,WI!$A$1),"")</f>
        <v>86880</v>
      </c>
      <c r="C39" s="18">
        <f t="shared" si="0"/>
        <v>4.9339247076729119E-2</v>
      </c>
    </row>
    <row r="40" spans="1:3" x14ac:dyDescent="0.15">
      <c r="A40" t="s">
        <v>40</v>
      </c>
      <c r="B40" s="17">
        <f>IFERROR(SUMIFS('Full List'!B:B,'Full List'!A:A,WI!$A40,'Full List'!E:E,WI!$A$1),"")</f>
        <v>12127</v>
      </c>
      <c r="C40" s="18">
        <f t="shared" si="0"/>
        <v>6.8869365711267724E-3</v>
      </c>
    </row>
    <row r="41" spans="1:3" x14ac:dyDescent="0.15">
      <c r="A41" t="s">
        <v>41</v>
      </c>
      <c r="B41" s="17">
        <f>IFERROR(SUMIFS('Full List'!B:B,'Full List'!A:A,WI!$A41,'Full List'!E:E,WI!$A$1),"")</f>
        <v>39042</v>
      </c>
      <c r="C41" s="18">
        <f t="shared" si="0"/>
        <v>2.2171994525433451E-2</v>
      </c>
    </row>
    <row r="42" spans="1:3" x14ac:dyDescent="0.15">
      <c r="A42" t="s">
        <v>42</v>
      </c>
      <c r="B42" s="17">
        <f>IFERROR(SUMIFS('Full List'!B:B,'Full List'!A:A,WI!$A42,'Full List'!E:E,WI!$A$1),"")</f>
        <v>57082</v>
      </c>
      <c r="C42" s="18">
        <f t="shared" si="0"/>
        <v>3.2416930267424628E-2</v>
      </c>
    </row>
    <row r="43" spans="1:3" x14ac:dyDescent="0.15">
      <c r="A43" t="s">
        <v>43</v>
      </c>
      <c r="B43" s="17">
        <f>IFERROR(SUMIFS('Full List'!B:B,'Full List'!A:A,WI!$A43,'Full List'!E:E,WI!$A$1),"")</f>
        <v>134353</v>
      </c>
      <c r="C43" s="18">
        <f t="shared" si="0"/>
        <v>7.6299215728588707E-2</v>
      </c>
    </row>
    <row r="44" spans="1:3" x14ac:dyDescent="0.15">
      <c r="A44" t="s">
        <v>44</v>
      </c>
      <c r="B44" s="17">
        <f>IFERROR(SUMIFS('Full List'!B:B,'Full List'!A:A,WI!$A44,'Full List'!E:E,WI!$A$1),"")</f>
        <v>234160</v>
      </c>
      <c r="C44" s="18">
        <f t="shared" si="0"/>
        <v>0.13297972025192092</v>
      </c>
    </row>
    <row r="45" spans="1:3" x14ac:dyDescent="0.15">
      <c r="A45" t="s">
        <v>45</v>
      </c>
      <c r="B45" s="17">
        <f>IFERROR(SUMIFS('Full List'!B:B,'Full List'!A:A,WI!$A45,'Full List'!E:E,WI!$A$1),"")</f>
        <v>260625</v>
      </c>
      <c r="C45" s="18">
        <f t="shared" si="0"/>
        <v>0.14800922271377218</v>
      </c>
    </row>
    <row r="46" spans="1:3" x14ac:dyDescent="0.15">
      <c r="A46" t="s">
        <v>46</v>
      </c>
      <c r="B46" s="17">
        <f>IFERROR(SUMIFS('Full List'!B:B,'Full List'!A:A,WI!$A46,'Full List'!E:E,WI!$A$1),"")</f>
        <v>632029</v>
      </c>
      <c r="C46" s="18">
        <f t="shared" si="0"/>
        <v>0.35892996075803441</v>
      </c>
    </row>
    <row r="47" spans="1:3" x14ac:dyDescent="0.15">
      <c r="A47" t="s">
        <v>47</v>
      </c>
      <c r="B47" s="17">
        <f>IFERROR(SUMIFS('Full List'!B:B,'Full List'!A:A,WI!$A47,'Full List'!E:E,WI!$A$1),"")</f>
        <v>847779</v>
      </c>
      <c r="C47" s="18">
        <f t="shared" si="0"/>
        <v>0.48145462186305632</v>
      </c>
    </row>
    <row r="48" spans="1:3" x14ac:dyDescent="0.15">
      <c r="A48" t="s">
        <v>48</v>
      </c>
      <c r="B48" s="17">
        <f>IFERROR(SUMIFS('Full List'!B:B,'Full List'!A:A,WI!$A48,'Full List'!E:E,WI!$A$1),"")</f>
        <v>243998</v>
      </c>
      <c r="C48" s="18">
        <f t="shared" si="0"/>
        <v>0.13856673121809104</v>
      </c>
    </row>
    <row r="49" spans="1:3" x14ac:dyDescent="0.15">
      <c r="A49" t="s">
        <v>49</v>
      </c>
      <c r="B49" s="17">
        <f>IFERROR(SUMIFS('Full List'!B:B,'Full List'!A:A,WI!$A49,'Full List'!E:E,WI!$A$1),"")</f>
        <v>184373</v>
      </c>
      <c r="C49" s="18">
        <f t="shared" si="0"/>
        <v>0.10470562846774606</v>
      </c>
    </row>
    <row r="50" spans="1:3" x14ac:dyDescent="0.15">
      <c r="A50" t="s">
        <v>50</v>
      </c>
      <c r="B50" s="17">
        <f>IFERROR(SUMIFS('Full List'!B:B,'Full List'!A:A,WI!$A50,'Full List'!E:E,WI!$A$1),"")</f>
        <v>310213</v>
      </c>
      <c r="C50" s="18">
        <f t="shared" si="0"/>
        <v>0.17617030218017229</v>
      </c>
    </row>
    <row r="51" spans="1:3" x14ac:dyDescent="0.15">
      <c r="A51" t="s">
        <v>51</v>
      </c>
      <c r="B51" s="17">
        <f>IFERROR(SUMIFS('Full List'!B:B,'Full List'!A:A,WI!$A51,'Full List'!E:E,WI!$A$1),"")</f>
        <v>531528</v>
      </c>
      <c r="C51" s="18">
        <f t="shared" si="0"/>
        <v>0.30185533287522642</v>
      </c>
    </row>
    <row r="52" spans="1:3" x14ac:dyDescent="0.15">
      <c r="A52" t="s">
        <v>52</v>
      </c>
      <c r="B52" s="17">
        <f>IFERROR(SUMIFS('Full List'!B:B,'Full List'!A:A,WI!$A52,'Full List'!E:E,WI!$A$1),"")</f>
        <v>226300</v>
      </c>
      <c r="C52" s="18">
        <f t="shared" si="0"/>
        <v>0.12851601765036602</v>
      </c>
    </row>
    <row r="53" spans="1:3" x14ac:dyDescent="0.15">
      <c r="A53" t="s">
        <v>53</v>
      </c>
      <c r="B53" s="17">
        <f>IFERROR(SUMIFS('Full List'!B:B,'Full List'!A:A,WI!$A53,'Full List'!E:E,WI!$A$1),"")</f>
        <v>157209</v>
      </c>
      <c r="C53" s="18">
        <f t="shared" si="0"/>
        <v>8.9279163140947373E-2</v>
      </c>
    </row>
    <row r="54" spans="1:3" x14ac:dyDescent="0.15">
      <c r="A54" t="s">
        <v>54</v>
      </c>
      <c r="B54" s="17">
        <f>IFERROR(SUMIFS('Full List'!B:B,'Full List'!A:A,WI!$A54,'Full List'!E:E,WI!$A$1),"")</f>
        <v>639089</v>
      </c>
      <c r="C54" s="18">
        <f t="shared" si="0"/>
        <v>0.36293934248411297</v>
      </c>
    </row>
    <row r="55" spans="1:3" x14ac:dyDescent="0.15">
      <c r="A55" t="s">
        <v>55</v>
      </c>
      <c r="B55" s="17">
        <f>IFERROR(SUMIFS('Full List'!B:B,'Full List'!A:A,WI!$A55,'Full List'!E:E,WI!$A$1),"")</f>
        <v>522908</v>
      </c>
      <c r="C55" s="18">
        <f t="shared" si="0"/>
        <v>0.29696002544196903</v>
      </c>
    </row>
    <row r="56" spans="1:3" x14ac:dyDescent="0.15">
      <c r="A56" t="s">
        <v>56</v>
      </c>
      <c r="B56" s="17">
        <f>IFERROR(SUMIFS('Full List'!B:B,'Full List'!A:A,WI!$A56,'Full List'!E:E,WI!$A$1),"")</f>
        <v>413025</v>
      </c>
      <c r="C56" s="18">
        <f t="shared" si="0"/>
        <v>0.23455734949201248</v>
      </c>
    </row>
    <row r="57" spans="1:3" x14ac:dyDescent="0.15">
      <c r="A57" t="s">
        <v>57</v>
      </c>
      <c r="B57" s="17">
        <f>IFERROR(SUMIFS('Full List'!B:B,'Full List'!A:A,WI!$A57,'Full List'!E:E,WI!$A$1),"")</f>
        <v>339248</v>
      </c>
      <c r="C57" s="18">
        <f t="shared" si="0"/>
        <v>0.19265931045449125</v>
      </c>
    </row>
    <row r="58" spans="1:3" x14ac:dyDescent="0.15">
      <c r="A58" t="s">
        <v>58</v>
      </c>
      <c r="B58" s="17">
        <f>IFERROR(SUMIFS('Full List'!B:B,'Full List'!A:A,WI!$A58,'Full List'!E:E,WI!$A$1),"")</f>
        <v>238964</v>
      </c>
      <c r="C58" s="18">
        <f t="shared" si="0"/>
        <v>0.13570791710915628</v>
      </c>
    </row>
    <row r="59" spans="1:3" x14ac:dyDescent="0.15">
      <c r="A59" t="s">
        <v>59</v>
      </c>
      <c r="B59" s="17">
        <f>IFERROR(SUMIFS('Full List'!B:B,'Full List'!A:A,WI!$A59,'Full List'!E:E,WI!$A$1),"")</f>
        <v>1117410</v>
      </c>
      <c r="C59" s="18">
        <f t="shared" si="0"/>
        <v>0.63457836183250327</v>
      </c>
    </row>
    <row r="60" spans="1:3" x14ac:dyDescent="0.15">
      <c r="A60" t="s">
        <v>60</v>
      </c>
      <c r="B60" s="17">
        <f>IFERROR(SUMIFS('Full List'!B:B,'Full List'!A:A,WI!$A60,'Full List'!E:E,WI!$A$1),"")</f>
        <v>243091</v>
      </c>
      <c r="C60" s="18">
        <f t="shared" si="0"/>
        <v>0.13805164492551977</v>
      </c>
    </row>
    <row r="61" spans="1:3" x14ac:dyDescent="0.15">
      <c r="A61" t="s">
        <v>61</v>
      </c>
      <c r="B61" s="17">
        <f>IFERROR(SUMIFS('Full List'!B:B,'Full List'!A:A,WI!$A61,'Full List'!E:E,WI!$A$1),"")</f>
        <v>296178</v>
      </c>
      <c r="C61" s="18">
        <f t="shared" si="0"/>
        <v>0.16819981032103448</v>
      </c>
    </row>
    <row r="62" spans="1:3" x14ac:dyDescent="0.15">
      <c r="A62" t="s">
        <v>62</v>
      </c>
      <c r="B62" s="17">
        <f>IFERROR(SUMIFS('Full List'!B:B,'Full List'!A:A,WI!$A62,'Full List'!E:E,WI!$A$1),"")</f>
        <v>130916</v>
      </c>
      <c r="C62" s="18">
        <f t="shared" si="0"/>
        <v>7.4347339667323542E-2</v>
      </c>
    </row>
    <row r="63" spans="1:3" x14ac:dyDescent="0.15">
      <c r="A63" t="s">
        <v>63</v>
      </c>
      <c r="B63" s="17">
        <f>IFERROR(SUMIFS('Full List'!B:B,'Full List'!A:A,WI!$A63,'Full List'!E:E,WI!$A$1),"")</f>
        <v>223447</v>
      </c>
      <c r="C63" s="18">
        <f t="shared" si="0"/>
        <v>0.12689579582819857</v>
      </c>
    </row>
    <row r="64" spans="1:3" x14ac:dyDescent="0.15">
      <c r="A64" t="s">
        <v>64</v>
      </c>
      <c r="B64" s="17">
        <f>IFERROR(SUMIFS('Full List'!B:B,'Full List'!A:A,WI!$A64,'Full List'!E:E,WI!$A$1),"")</f>
        <v>107051</v>
      </c>
      <c r="C64" s="18">
        <f t="shared" si="0"/>
        <v>6.0794380050770355E-2</v>
      </c>
    </row>
    <row r="65" spans="1:3" x14ac:dyDescent="0.15">
      <c r="A65" t="s">
        <v>65</v>
      </c>
      <c r="B65" s="17">
        <f>IFERROR(SUMIFS('Full List'!B:B,'Full List'!A:A,WI!$A65,'Full List'!E:E,WI!$A$1),"")</f>
        <v>255962</v>
      </c>
      <c r="C65" s="18">
        <f t="shared" si="0"/>
        <v>0.14536109991083954</v>
      </c>
    </row>
    <row r="66" spans="1:3" x14ac:dyDescent="0.15">
      <c r="A66" t="s">
        <v>66</v>
      </c>
      <c r="B66" s="17">
        <f>IFERROR(SUMIFS('Full List'!B:B,'Full List'!A:A,WI!$A66,'Full List'!E:E,WI!$A$1),"")</f>
        <v>124172</v>
      </c>
      <c r="C66" s="18">
        <f t="shared" si="0"/>
        <v>7.0517414687058105E-2</v>
      </c>
    </row>
    <row r="67" spans="1:3" x14ac:dyDescent="0.15">
      <c r="A67" t="s">
        <v>67</v>
      </c>
      <c r="B67" s="17">
        <f>IFERROR(SUMIFS('Full List'!B:B,'Full List'!A:A,WI!$A67,'Full List'!E:E,WI!$A$1),"")</f>
        <v>480845</v>
      </c>
      <c r="C67" s="18">
        <f t="shared" ref="C67:C82" si="1">IFERROR(B67/$B$2,"")</f>
        <v>0.27307240171051811</v>
      </c>
    </row>
    <row r="68" spans="1:3" x14ac:dyDescent="0.15">
      <c r="A68" t="s">
        <v>68</v>
      </c>
      <c r="B68" s="17">
        <f>IFERROR(SUMIFS('Full List'!B:B,'Full List'!A:A,WI!$A68,'Full List'!E:E,WI!$A$1),"")</f>
        <v>628276</v>
      </c>
      <c r="C68" s="18">
        <f t="shared" si="1"/>
        <v>0.35679862795095607</v>
      </c>
    </row>
    <row r="69" spans="1:3" x14ac:dyDescent="0.15">
      <c r="A69" t="s">
        <v>69</v>
      </c>
      <c r="B69" s="17">
        <f>IFERROR(SUMIFS('Full List'!B:B,'Full List'!A:A,WI!$A69,'Full List'!E:E,WI!$A$1),"")</f>
        <v>1367839</v>
      </c>
      <c r="C69" s="18">
        <f t="shared" si="1"/>
        <v>0.77679726498832968</v>
      </c>
    </row>
    <row r="70" spans="1:3" x14ac:dyDescent="0.15">
      <c r="A70" t="s">
        <v>70</v>
      </c>
      <c r="B70" s="17">
        <f>IFERROR(SUMIFS('Full List'!B:B,'Full List'!A:A,WI!$A70,'Full List'!E:E,WI!$A$1),"")</f>
        <v>376970</v>
      </c>
      <c r="C70" s="18">
        <f t="shared" si="1"/>
        <v>0.21408167553538876</v>
      </c>
    </row>
    <row r="71" spans="1:3" x14ac:dyDescent="0.15">
      <c r="A71" t="s">
        <v>71</v>
      </c>
      <c r="B71" s="17">
        <f>IFERROR(SUMIFS('Full List'!B:B,'Full List'!A:A,WI!$A71,'Full List'!E:E,WI!$A$1),"")</f>
        <v>81515</v>
      </c>
      <c r="C71" s="18">
        <f t="shared" si="1"/>
        <v>4.6292457705565997E-2</v>
      </c>
    </row>
    <row r="72" spans="1:3" x14ac:dyDescent="0.15">
      <c r="A72" t="s">
        <v>72</v>
      </c>
      <c r="B72" s="17">
        <f>IFERROR(SUMIFS('Full List'!B:B,'Full List'!A:A,WI!$A72,'Full List'!E:E,WI!$A$1),"")</f>
        <v>206800</v>
      </c>
      <c r="C72" s="18">
        <f t="shared" si="1"/>
        <v>0.11744194631063054</v>
      </c>
    </row>
    <row r="73" spans="1:3" x14ac:dyDescent="0.15">
      <c r="A73" t="s">
        <v>73</v>
      </c>
      <c r="B73" s="17">
        <f>IFERROR(SUMIFS('Full List'!B:B,'Full List'!A:A,WI!$A73,'Full List'!E:E,WI!$A$1),"")</f>
        <v>1094698</v>
      </c>
      <c r="C73" s="18">
        <f t="shared" si="1"/>
        <v>0.6216801921777303</v>
      </c>
    </row>
    <row r="74" spans="1:3" x14ac:dyDescent="0.15">
      <c r="A74" t="s">
        <v>74</v>
      </c>
      <c r="B74" s="17">
        <f>IFERROR(SUMIFS('Full List'!B:B,'Full List'!A:A,WI!$A74,'Full List'!E:E,WI!$A$1),"")</f>
        <v>494668</v>
      </c>
      <c r="C74" s="18">
        <f t="shared" si="1"/>
        <v>0.28092249853765466</v>
      </c>
    </row>
    <row r="75" spans="1:3" x14ac:dyDescent="0.15">
      <c r="A75" t="s">
        <v>75</v>
      </c>
      <c r="B75" s="17">
        <f>IFERROR(SUMIFS('Full List'!B:B,'Full List'!A:A,WI!$A75,'Full List'!E:E,WI!$A$1),"")</f>
        <v>293380</v>
      </c>
      <c r="C75" s="18">
        <f t="shared" si="1"/>
        <v>0.16661082305905603</v>
      </c>
    </row>
    <row r="76" spans="1:3" x14ac:dyDescent="0.15">
      <c r="A76" t="s">
        <v>76</v>
      </c>
      <c r="B76" s="17">
        <f>IFERROR(SUMIFS('Full List'!B:B,'Full List'!A:A,WI!$A76,'Full List'!E:E,WI!$A$1),"")</f>
        <v>212993</v>
      </c>
      <c r="C76" s="18">
        <f t="shared" si="1"/>
        <v>0.12095895778791166</v>
      </c>
    </row>
    <row r="77" spans="1:3" x14ac:dyDescent="0.15">
      <c r="A77" t="s">
        <v>77</v>
      </c>
      <c r="B77" s="17">
        <f>IFERROR(SUMIFS('Full List'!B:B,'Full List'!A:A,WI!$A77,'Full List'!E:E,WI!$A$1),"")</f>
        <v>176181</v>
      </c>
      <c r="C77" s="18">
        <f t="shared" si="1"/>
        <v>0.10005338270286847</v>
      </c>
    </row>
    <row r="78" spans="1:3" x14ac:dyDescent="0.15">
      <c r="A78" t="s">
        <v>78</v>
      </c>
      <c r="B78" s="17">
        <f>IFERROR(SUMIFS('Full List'!B:B,'Full List'!A:A,WI!$A78,'Full List'!E:E,WI!$A$1),"")</f>
        <v>186425</v>
      </c>
      <c r="C78" s="18">
        <f t="shared" si="1"/>
        <v>0.10587096151334284</v>
      </c>
    </row>
    <row r="79" spans="1:3" x14ac:dyDescent="0.15">
      <c r="A79" t="s">
        <v>79</v>
      </c>
      <c r="B79" s="17">
        <f>IFERROR(SUMIFS('Full List'!B:B,'Full List'!A:A,WI!$A79,'Full List'!E:E,WI!$A$1),"")</f>
        <v>275271</v>
      </c>
      <c r="C79" s="18">
        <f t="shared" si="1"/>
        <v>0.15632670214155503</v>
      </c>
    </row>
    <row r="80" spans="1:3" x14ac:dyDescent="0.15">
      <c r="A80" t="s">
        <v>80</v>
      </c>
      <c r="B80" s="17">
        <f>IFERROR(SUMIFS('Full List'!B:B,'Full List'!A:A,WI!$A80,'Full List'!E:E,WI!$A$1),"")</f>
        <v>145388</v>
      </c>
      <c r="C80" s="18">
        <f t="shared" si="1"/>
        <v>8.2566004304690299E-2</v>
      </c>
    </row>
    <row r="81" spans="1:6" x14ac:dyDescent="0.15">
      <c r="A81" t="s">
        <v>81</v>
      </c>
      <c r="B81" s="17">
        <f>IFERROR(SUMIFS('Full List'!B:B,'Full List'!A:A,WI!$A81,'Full List'!E:E,WI!$A$1),"")</f>
        <v>302093</v>
      </c>
      <c r="C81" s="18">
        <f t="shared" si="1"/>
        <v>0.17155894529408758</v>
      </c>
    </row>
    <row r="82" spans="1:6" x14ac:dyDescent="0.15">
      <c r="A82" t="s">
        <v>82</v>
      </c>
      <c r="B82" s="17">
        <f>IFERROR(SUMIFS('Full List'!B:B,'Full List'!A:A,WI!$A82,'Full List'!E:E,WI!$A$1),"")</f>
        <v>217603</v>
      </c>
      <c r="C82" s="18">
        <f t="shared" si="1"/>
        <v>0.12357698183284399</v>
      </c>
    </row>
    <row r="83" spans="1:6" x14ac:dyDescent="0.15">
      <c r="B83" s="17"/>
      <c r="C83" s="18"/>
      <c r="D83" t="s">
        <v>812</v>
      </c>
      <c r="E83" t="s">
        <v>860</v>
      </c>
    </row>
    <row r="84" spans="1:6" x14ac:dyDescent="0.15">
      <c r="A84" t="s">
        <v>1267</v>
      </c>
      <c r="B84" s="17">
        <v>1350396</v>
      </c>
      <c r="C84" s="18">
        <f t="shared" ref="C84:C91" si="2">IFERROR(B84/$B$2,"")</f>
        <v>0.76689136619966269</v>
      </c>
      <c r="D84">
        <v>27</v>
      </c>
      <c r="E84" t="str">
        <f>VLOOKUP(D84,Validation!$A$2:$C$41,3,FALSE)</f>
        <v xml:space="preserve">NFL </v>
      </c>
      <c r="F84" t="s">
        <v>1350</v>
      </c>
    </row>
    <row r="85" spans="1:6" x14ac:dyDescent="0.15">
      <c r="A85" t="s">
        <v>1265</v>
      </c>
      <c r="B85" s="17">
        <v>1144770</v>
      </c>
      <c r="C85" s="18">
        <f t="shared" si="2"/>
        <v>0.65011613577379368</v>
      </c>
      <c r="D85">
        <v>17</v>
      </c>
      <c r="E85" t="str">
        <f>VLOOKUP(D85,Validation!$A$2:$C$41,3,FALSE)</f>
        <v>MLB</v>
      </c>
      <c r="F85" t="s">
        <v>1351</v>
      </c>
    </row>
    <row r="86" spans="1:6" x14ac:dyDescent="0.15">
      <c r="A86" t="s">
        <v>1271</v>
      </c>
      <c r="B86" s="17">
        <v>868961</v>
      </c>
      <c r="C86" s="18">
        <f t="shared" si="2"/>
        <v>0.49348390284348076</v>
      </c>
      <c r="D86">
        <v>5</v>
      </c>
      <c r="E86" t="str">
        <f>VLOOKUP(D86,Validation!$A$2:$C$41,3,FALSE)</f>
        <v>CFB</v>
      </c>
      <c r="F86" t="s">
        <v>1373</v>
      </c>
    </row>
    <row r="87" spans="1:6" x14ac:dyDescent="0.15">
      <c r="A87" t="s">
        <v>1266</v>
      </c>
      <c r="B87" s="17">
        <v>534950</v>
      </c>
      <c r="C87" s="18">
        <f t="shared" si="2"/>
        <v>0.30379869042007646</v>
      </c>
      <c r="D87">
        <v>26</v>
      </c>
      <c r="E87" t="str">
        <f>VLOOKUP(D87,Validation!$A$2:$C$41,3,FALSE)</f>
        <v xml:space="preserve">NBA </v>
      </c>
      <c r="F87" t="s">
        <v>1351</v>
      </c>
    </row>
    <row r="88" spans="1:6" x14ac:dyDescent="0.15">
      <c r="A88" t="s">
        <v>1269</v>
      </c>
      <c r="B88" s="17">
        <v>428166</v>
      </c>
      <c r="C88" s="18">
        <f t="shared" si="2"/>
        <v>0.24315593996149631</v>
      </c>
      <c r="D88">
        <v>4</v>
      </c>
      <c r="E88" t="str">
        <f>VLOOKUP(D88,Validation!$A$2:$C$41,3,FALSE)</f>
        <v>MCB</v>
      </c>
      <c r="F88" t="s">
        <v>1373</v>
      </c>
    </row>
    <row r="89" spans="1:6" x14ac:dyDescent="0.15">
      <c r="A89" t="s">
        <v>1268</v>
      </c>
      <c r="B89" s="17">
        <v>348371</v>
      </c>
      <c r="C89" s="18">
        <f t="shared" si="2"/>
        <v>0.1978402721382044</v>
      </c>
      <c r="D89">
        <v>4</v>
      </c>
      <c r="E89" t="str">
        <f>VLOOKUP(D89,Validation!$A$2:$C$41,3,FALSE)</f>
        <v>MCB</v>
      </c>
      <c r="F89" t="s">
        <v>1351</v>
      </c>
    </row>
    <row r="90" spans="1:6" x14ac:dyDescent="0.15">
      <c r="A90" t="s">
        <v>1270</v>
      </c>
      <c r="B90" s="17">
        <v>138487</v>
      </c>
      <c r="C90" s="18">
        <f t="shared" si="2"/>
        <v>7.8646918852612629E-2</v>
      </c>
      <c r="D90">
        <v>4</v>
      </c>
      <c r="E90" t="str">
        <f>VLOOKUP(D90,Validation!$A$2:$C$41,3,FALSE)</f>
        <v>MCB</v>
      </c>
      <c r="F90" t="s">
        <v>1351</v>
      </c>
    </row>
    <row r="91" spans="1:6" x14ac:dyDescent="0.15">
      <c r="A91" t="s">
        <v>1272</v>
      </c>
      <c r="B91" s="17">
        <v>137810</v>
      </c>
      <c r="C91" s="18">
        <f t="shared" si="2"/>
        <v>7.8262449811740784E-2</v>
      </c>
      <c r="D91">
        <v>6</v>
      </c>
      <c r="E91" t="str">
        <f>VLOOKUP(D91,Validation!$A$2:$C$41,3,FALSE)</f>
        <v>CH</v>
      </c>
      <c r="F91" t="s">
        <v>1373</v>
      </c>
    </row>
  </sheetData>
  <pageMargins left="0.7" right="0.7" top="0.75" bottom="0.75" header="0.3" footer="0.3"/>
  <pageSetup orientation="portrait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44</vt:i4>
      </vt:variant>
    </vt:vector>
  </HeadingPairs>
  <TitlesOfParts>
    <vt:vector size="44" baseType="lpstr">
      <vt:lpstr>2013 State Report</vt:lpstr>
      <vt:lpstr>Control</vt:lpstr>
      <vt:lpstr>Display</vt:lpstr>
      <vt:lpstr>Data Tab</vt:lpstr>
      <vt:lpstr>Validation</vt:lpstr>
      <vt:lpstr>Full List</vt:lpstr>
      <vt:lpstr>AL</vt:lpstr>
      <vt:lpstr>AR</vt:lpstr>
      <vt:lpstr>AZ</vt:lpstr>
      <vt:lpstr>CA</vt:lpstr>
      <vt:lpstr>CO</vt:lpstr>
      <vt:lpstr>CT</vt:lpstr>
      <vt:lpstr>DC</vt:lpstr>
      <vt:lpstr>FL</vt:lpstr>
      <vt:lpstr>GA</vt:lpstr>
      <vt:lpstr>HI</vt:lpstr>
      <vt:lpstr>IA</vt:lpstr>
      <vt:lpstr>IL</vt:lpstr>
      <vt:lpstr>IN</vt:lpstr>
      <vt:lpstr>KS</vt:lpstr>
      <vt:lpstr>KY</vt:lpstr>
      <vt:lpstr>LA</vt:lpstr>
      <vt:lpstr>MA</vt:lpstr>
      <vt:lpstr>MD</vt:lpstr>
      <vt:lpstr>MI</vt:lpstr>
      <vt:lpstr>MN</vt:lpstr>
      <vt:lpstr>MO</vt:lpstr>
      <vt:lpstr>NC</vt:lpstr>
      <vt:lpstr>NJ</vt:lpstr>
      <vt:lpstr>NM</vt:lpstr>
      <vt:lpstr>NV</vt:lpstr>
      <vt:lpstr>NY</vt:lpstr>
      <vt:lpstr>OH</vt:lpstr>
      <vt:lpstr>OK</vt:lpstr>
      <vt:lpstr>OR</vt:lpstr>
      <vt:lpstr>PA</vt:lpstr>
      <vt:lpstr>RI</vt:lpstr>
      <vt:lpstr>SC</vt:lpstr>
      <vt:lpstr>TN</vt:lpstr>
      <vt:lpstr>TX</vt:lpstr>
      <vt:lpstr>UT</vt:lpstr>
      <vt:lpstr>VA</vt:lpstr>
      <vt:lpstr>WA</vt:lpstr>
      <vt:lpstr>WI</vt:lpstr>
    </vt:vector>
  </TitlesOfParts>
  <Company>Interpublic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Haas, Patrick (NRK-OCT)</dc:creator>
  <cp:lastModifiedBy>David Fioretti</cp:lastModifiedBy>
  <dcterms:created xsi:type="dcterms:W3CDTF">2013-06-19T23:38:29Z</dcterms:created>
  <dcterms:modified xsi:type="dcterms:W3CDTF">2016-03-30T20:39:37Z</dcterms:modified>
</cp:coreProperties>
</file>